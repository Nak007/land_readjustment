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2502" documentId="13_ncr:1_{3F75F1C5-41B4-488B-A5B4-210865C82B4C}" xr6:coauthVersionLast="47" xr6:coauthVersionMax="47" xr10:uidLastSave="{3E666F4D-32FB-4E05-A7E0-1345E68B633E}"/>
  <bookViews>
    <workbookView xWindow="-110" yWindow="-110" windowWidth="19420" windowHeight="11620" activeTab="1" xr2:uid="{F777904D-E6FC-4706-9BA8-9F6D4B59C330}"/>
  </bookViews>
  <sheets>
    <sheet name="NegativeList" sheetId="4" r:id="rId1"/>
    <sheet name="Fraud_Analysis" sheetId="3" r:id="rId2"/>
    <sheet name="appData" sheetId="5" r:id="rId3"/>
    <sheet name="CIC" sheetId="6" r:id="rId4"/>
    <sheet name="Result" sheetId="7" r:id="rId5"/>
    <sheet name="GeneralDirector" sheetId="8" r:id="rId6"/>
  </sheets>
  <functionGroups builtInGroupCount="19"/>
  <definedNames>
    <definedName name="domain" localSheetId="0">{"@gmail.com","@yahoo.com","@whatever.com"}</definedName>
    <definedName name="domain">{"@gmail.com","@yahoo.com","@whatever.com"}</definedName>
    <definedName name="table" localSheetId="0">{"email","phone","id"}</definedName>
    <definedName name="table">{"email","phone","id"}</definedName>
  </definedNames>
  <calcPr calcId="191029"/>
  <extLst>
    <ext xmlns:x14="http://schemas.microsoft.com/office/spreadsheetml/2009/9/main" uri="{8193D73E-4604-4355-AFF4-8A2333D13BE4}">
      <x14:definedNames>
        <x14:definedName name="hash">
          <x14:argumentDescriptions count="4">
            <x14:argumentDescription index="0">is a text to be hashed</x14:argumentDescription>
            <x14:argumentDescription index="1">is the number 0 to 9 that specifies hashing algorithm, which are 0=MD5, 1=SHA1, 2=SHA256, 3,SHA384, 4=SHA512, 5=HMACMD5, 6=HMACSHA1, 7=HMACSHA256, 8=HMACSHA384, and 9=HMACSHA512.</x14:argumentDescription>
            <x14:argumentDescription index="2">is a logical value. If False, conversion uses Base of 16 system (Hexadecimal), otherwise Base of 64 system.</x14:argumentDescription>
            <x14:argumentDescription index="3">is a string of private key. It is only required when algorithm is HMAC (Hashed Message Authentication Code)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86" i="3" l="1"/>
  <c r="M85" i="3"/>
  <c r="J86" i="3" a="1"/>
  <c r="J85" i="3" a="1"/>
  <c r="J52" i="3" a="1"/>
  <c r="J51" i="3" a="1"/>
  <c r="J12" i="3" a="1"/>
  <c r="J10" i="3" a="1"/>
  <c r="J12" i="3" l="1"/>
  <c r="J85" i="3"/>
  <c r="J86" i="3"/>
  <c r="J52" i="3"/>
  <c r="J51" i="3"/>
  <c r="J10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7" i="3"/>
  <c r="M4" i="3"/>
  <c r="J38" i="3" a="1"/>
  <c r="J70" i="3" a="1"/>
  <c r="J33" i="3" a="1"/>
  <c r="J54" i="3" a="1"/>
  <c r="J49" i="3" a="1"/>
  <c r="J35" i="3" a="1"/>
  <c r="J53" i="3" a="1"/>
  <c r="J46" i="3" a="1"/>
  <c r="J77" i="3" a="1"/>
  <c r="J56" i="3" a="1"/>
  <c r="J61" i="3" a="1"/>
  <c r="J60" i="3" a="1"/>
  <c r="J43" i="3" a="1"/>
  <c r="J30" i="3" a="1"/>
  <c r="J25" i="3" a="1"/>
  <c r="J72" i="3" a="1"/>
  <c r="J47" i="3" a="1"/>
  <c r="J21" i="3" a="1"/>
  <c r="J34" i="3" a="1"/>
  <c r="J22" i="3" a="1"/>
  <c r="J78" i="3" a="1"/>
  <c r="J32" i="3" a="1"/>
  <c r="J40" i="3" a="1"/>
  <c r="J73" i="3" a="1"/>
  <c r="J18" i="3" a="1"/>
  <c r="J67" i="3" a="1"/>
  <c r="J62" i="3" a="1"/>
  <c r="J64" i="3" a="1"/>
  <c r="J13" i="3" a="1"/>
  <c r="J50" i="3" a="1"/>
  <c r="J45" i="3" a="1"/>
  <c r="J63" i="3" a="1"/>
  <c r="J37" i="3" a="1"/>
  <c r="J58" i="3" a="1"/>
  <c r="J65" i="3" a="1"/>
  <c r="J31" i="3" a="1"/>
  <c r="J19" i="3" a="1"/>
  <c r="J71" i="3" a="1"/>
  <c r="J84" i="3" a="1"/>
  <c r="J80" i="3" a="1"/>
  <c r="J20" i="3" a="1"/>
  <c r="J74" i="3" a="1"/>
  <c r="J42" i="3" a="1"/>
  <c r="J75" i="3" a="1"/>
  <c r="J59" i="3" a="1"/>
  <c r="J14" i="3" a="1"/>
  <c r="J24" i="3" a="1"/>
  <c r="J23" i="3" a="1"/>
  <c r="J82" i="3" a="1"/>
  <c r="J69" i="3" a="1"/>
  <c r="J26" i="3" a="1"/>
  <c r="J41" i="3" a="1"/>
  <c r="J57" i="3" a="1"/>
  <c r="J16" i="3" a="1"/>
  <c r="J79" i="3" a="1"/>
  <c r="J36" i="3" a="1"/>
  <c r="J27" i="3" a="1"/>
  <c r="J68" i="3" a="1"/>
  <c r="J17" i="3" a="1"/>
  <c r="J15" i="3" a="1"/>
  <c r="J76" i="3" a="1"/>
  <c r="J28" i="3" a="1"/>
  <c r="J39" i="3" a="1"/>
  <c r="J44" i="3" a="1"/>
  <c r="J81" i="3" a="1"/>
  <c r="J48" i="3" a="1"/>
  <c r="J66" i="3" a="1"/>
  <c r="J29" i="3" a="1"/>
  <c r="J83" i="3" a="1"/>
  <c r="J53" i="3" l="1"/>
  <c r="J54" i="3"/>
  <c r="J56" i="3"/>
  <c r="J84" i="3"/>
  <c r="J82" i="3"/>
  <c r="J80" i="3"/>
  <c r="J78" i="3"/>
  <c r="J83" i="3"/>
  <c r="J81" i="3"/>
  <c r="J79" i="3"/>
  <c r="J75" i="3"/>
  <c r="J77" i="3"/>
  <c r="J76" i="3"/>
  <c r="J74" i="3"/>
  <c r="J73" i="3"/>
  <c r="J72" i="3"/>
  <c r="J71" i="3"/>
  <c r="J70" i="3"/>
  <c r="J68" i="3"/>
  <c r="J69" i="3"/>
  <c r="J64" i="3"/>
  <c r="J65" i="3"/>
  <c r="J67" i="3"/>
  <c r="J66" i="3"/>
  <c r="J61" i="3"/>
  <c r="J63" i="3"/>
  <c r="J60" i="3"/>
  <c r="J62" i="3"/>
  <c r="J59" i="3"/>
  <c r="J57" i="3"/>
  <c r="J58" i="3"/>
  <c r="J50" i="3"/>
  <c r="J43" i="3"/>
  <c r="J48" i="3"/>
  <c r="J47" i="3"/>
  <c r="J42" i="3"/>
  <c r="J46" i="3"/>
  <c r="J49" i="3"/>
  <c r="J45" i="3"/>
  <c r="J41" i="3"/>
  <c r="J44" i="3"/>
  <c r="J40" i="3"/>
  <c r="J36" i="3"/>
  <c r="J28" i="3"/>
  <c r="J38" i="3"/>
  <c r="J35" i="3"/>
  <c r="J31" i="3"/>
  <c r="J39" i="3"/>
  <c r="J37" i="3"/>
  <c r="J34" i="3"/>
  <c r="J30" i="3"/>
  <c r="J32" i="3"/>
  <c r="J33" i="3"/>
  <c r="J29" i="3"/>
  <c r="J23" i="3"/>
  <c r="J22" i="3"/>
  <c r="J25" i="3"/>
  <c r="J24" i="3"/>
  <c r="J27" i="3"/>
  <c r="J26" i="3"/>
  <c r="J21" i="3"/>
  <c r="J20" i="3"/>
  <c r="J19" i="3"/>
  <c r="J16" i="3"/>
  <c r="J15" i="3"/>
  <c r="J17" i="3"/>
  <c r="J14" i="3"/>
  <c r="J18" i="3"/>
  <c r="J13" i="3"/>
  <c r="J9" i="3" a="1"/>
  <c r="J11" i="3" a="1"/>
  <c r="J5" i="3" a="1"/>
  <c r="J8" i="3" a="1"/>
  <c r="J4" i="3" a="1"/>
  <c r="J7" i="3" a="1"/>
  <c r="J6" i="3" a="1"/>
  <c r="J7" i="3" l="1"/>
  <c r="J5" i="3"/>
  <c r="J8" i="3"/>
  <c r="J11" i="3"/>
  <c r="J4" i="3"/>
  <c r="J6" i="3"/>
  <c r="J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<sst xmlns="http://schemas.openxmlformats.org/spreadsheetml/2006/main" count="1076" uniqueCount="486">
  <si>
    <t>score</t>
  </si>
  <si>
    <t>key</t>
  </si>
  <si>
    <t>no</t>
  </si>
  <si>
    <t>rule</t>
  </si>
  <si>
    <t>lookup_value</t>
  </si>
  <si>
    <t>sheet</t>
  </si>
  <si>
    <t>range</t>
  </si>
  <si>
    <t>col_index</t>
  </si>
  <si>
    <t>value</t>
  </si>
  <si>
    <t>nat_id</t>
  </si>
  <si>
    <t>X001USL</t>
  </si>
  <si>
    <t>Result</t>
  </si>
  <si>
    <t>email_address</t>
  </si>
  <si>
    <t>H032USL</t>
  </si>
  <si>
    <t>Email address</t>
  </si>
  <si>
    <t>appData</t>
  </si>
  <si>
    <t>A:B</t>
  </si>
  <si>
    <t>mobile_phone</t>
  </si>
  <si>
    <t>H039USL</t>
  </si>
  <si>
    <t>Phone number</t>
  </si>
  <si>
    <t>age</t>
  </si>
  <si>
    <t>N005USL, N011USL</t>
  </si>
  <si>
    <t>Age</t>
  </si>
  <si>
    <t>N005USL</t>
  </si>
  <si>
    <t>CIC</t>
  </si>
  <si>
    <t>N011USL, N012USL</t>
  </si>
  <si>
    <t>App-in time</t>
  </si>
  <si>
    <t>occupation</t>
  </si>
  <si>
    <t>C002USL, I001USL</t>
  </si>
  <si>
    <t>Main occupation</t>
  </si>
  <si>
    <t>curr_mthly_income</t>
  </si>
  <si>
    <t>Salary or monthly income of freelancer</t>
  </si>
  <si>
    <t>M015USL</t>
  </si>
  <si>
    <t>Office name</t>
  </si>
  <si>
    <t>Output</t>
  </si>
  <si>
    <t>N011USL</t>
  </si>
  <si>
    <t>N012USL</t>
  </si>
  <si>
    <t>C002USL</t>
  </si>
  <si>
    <t>I001USL</t>
  </si>
  <si>
    <t>I049USL</t>
  </si>
  <si>
    <t>VN00001</t>
  </si>
  <si>
    <t>Data Input</t>
  </si>
  <si>
    <t>table</t>
  </si>
  <si>
    <t>Application</t>
  </si>
  <si>
    <t>app_id</t>
  </si>
  <si>
    <t>H8</t>
  </si>
  <si>
    <t>checker_result</t>
  </si>
  <si>
    <t>V16</t>
  </si>
  <si>
    <t>director_result</t>
  </si>
  <si>
    <t>GeneralDirector</t>
  </si>
  <si>
    <t>K18</t>
  </si>
  <si>
    <t>HX711@gmail.com</t>
  </si>
  <si>
    <t>0815080818</t>
  </si>
  <si>
    <t>0814762377</t>
  </si>
  <si>
    <t>SL848@gmail.com</t>
  </si>
  <si>
    <t>0813154761</t>
  </si>
  <si>
    <t>0817765519</t>
  </si>
  <si>
    <t>0815476372</t>
  </si>
  <si>
    <t>0816442505</t>
  </si>
  <si>
    <t>IP601@gmail.com</t>
  </si>
  <si>
    <t>0813248642</t>
  </si>
  <si>
    <t>0818420813</t>
  </si>
  <si>
    <t>HE230@gmail.com</t>
  </si>
  <si>
    <t>0818872158</t>
  </si>
  <si>
    <t>HJ958@gmail.com</t>
  </si>
  <si>
    <t>YQ760@yahoo.com</t>
  </si>
  <si>
    <t>LV656@gmail.com</t>
  </si>
  <si>
    <t>Accept cookies</t>
  </si>
  <si>
    <t>Yes</t>
  </si>
  <si>
    <t>0934610252</t>
  </si>
  <si>
    <t>Login OTP</t>
  </si>
  <si>
    <t>Face authentication</t>
  </si>
  <si>
    <t>[New user, matching score = NA, result = NA]</t>
  </si>
  <si>
    <t>No Dual/Multiple nationality</t>
  </si>
  <si>
    <t>ID card picture (front)</t>
  </si>
  <si>
    <t>ID-front_HB220812000068.jpg</t>
  </si>
  <si>
    <t>ID card picture (back)</t>
  </si>
  <si>
    <t>ID-back_HB220812000068.jpg</t>
  </si>
  <si>
    <t>Consent to take liveness video</t>
  </si>
  <si>
    <t>Liveness video</t>
  </si>
  <si>
    <t>Full Name</t>
  </si>
  <si>
    <t>LÊ TRỌNG NGHĨA</t>
  </si>
  <si>
    <t>National ID No.</t>
  </si>
  <si>
    <t>079090006977</t>
  </si>
  <si>
    <t>Issue Date</t>
  </si>
  <si>
    <t>22/12/2021</t>
  </si>
  <si>
    <t>Expiration Date</t>
  </si>
  <si>
    <t>30/10/2030</t>
  </si>
  <si>
    <t>Gender</t>
  </si>
  <si>
    <t>Male</t>
  </si>
  <si>
    <t xml:space="preserve">Date of Birth </t>
  </si>
  <si>
    <t>30/10/1990</t>
  </si>
  <si>
    <t>Country of Citizenship</t>
  </si>
  <si>
    <t>VIET NAM</t>
  </si>
  <si>
    <t xml:space="preserve">Country of Issue </t>
  </si>
  <si>
    <t>Place of Issue</t>
  </si>
  <si>
    <t>CỤC TRƯỞNG CỤC CẢNH SÁT QUẢN LÝ HÀNH CHÍNH VỀ TRẬT TỰ XÃ HỘI</t>
  </si>
  <si>
    <t>Address on card</t>
  </si>
  <si>
    <t>50/5/5 NGUYỄN ĐÌNH CHIỂU, P 03, PHÚ NHUẬN, TP. HỒ CHÍ MINH</t>
  </si>
  <si>
    <t>City on card</t>
  </si>
  <si>
    <t>Hồ Chí Minh</t>
  </si>
  <si>
    <t>State/Province on card</t>
  </si>
  <si>
    <t>Same as address on the card ?</t>
  </si>
  <si>
    <t>Country (current resident)</t>
  </si>
  <si>
    <t>Address (current resident)</t>
  </si>
  <si>
    <t>City (current resident)</t>
  </si>
  <si>
    <t>State/Province (current resident)</t>
  </si>
  <si>
    <t>Education</t>
  </si>
  <si>
    <t>High school</t>
  </si>
  <si>
    <t>31</t>
  </si>
  <si>
    <t>Card type</t>
  </si>
  <si>
    <t>No.5 - Citizen Identification Card</t>
  </si>
  <si>
    <t>Citizen card model</t>
  </si>
  <si>
    <t>No. 4 - Card with chip</t>
  </si>
  <si>
    <t>Customer Sub-Type</t>
  </si>
  <si>
    <t>Individual</t>
  </si>
  <si>
    <t>Customer Segment</t>
  </si>
  <si>
    <t>e-KYC</t>
  </si>
  <si>
    <t>Inter Company Code</t>
  </si>
  <si>
    <t>blank</t>
  </si>
  <si>
    <t>Legal Designation</t>
  </si>
  <si>
    <t>Industry Group</t>
  </si>
  <si>
    <t>Personal</t>
  </si>
  <si>
    <t>Standard Industry Code</t>
  </si>
  <si>
    <t>Sub-Industry Code</t>
  </si>
  <si>
    <t>Residence Code</t>
  </si>
  <si>
    <t>VNese resident</t>
  </si>
  <si>
    <t>Loan Purpose</t>
  </si>
  <si>
    <t>Household business</t>
  </si>
  <si>
    <t>Requested loan amount (million VND)</t>
  </si>
  <si>
    <t>100000000</t>
  </si>
  <si>
    <t>Requested tenor (months)</t>
  </si>
  <si>
    <t>24</t>
  </si>
  <si>
    <t>Other bank name</t>
  </si>
  <si>
    <t>Asia Commercial Bank (ACB)</t>
  </si>
  <si>
    <t>Other bank no</t>
  </si>
  <si>
    <t>192486569</t>
  </si>
  <si>
    <t>Referal code</t>
  </si>
  <si>
    <t>Loan contract agreement</t>
  </si>
  <si>
    <t>Ben declare to open bank account</t>
  </si>
  <si>
    <t>Agree to term and condition to open bank account</t>
  </si>
  <si>
    <t>Consent to use e-Signature</t>
  </si>
  <si>
    <t>OTP-e-signature</t>
  </si>
  <si>
    <t>Product Offering Consent</t>
  </si>
  <si>
    <t>Accept</t>
  </si>
  <si>
    <t>Product Offering from KASIKORNBANK Public Company Limited Consent</t>
  </si>
  <si>
    <t>Product Development Consent</t>
  </si>
  <si>
    <t>Application ID</t>
  </si>
  <si>
    <t>HB220812000068</t>
  </si>
  <si>
    <t>12/08/2022 21:03:01</t>
  </si>
  <si>
    <t>Year in business</t>
  </si>
  <si>
    <t>1</t>
  </si>
  <si>
    <t>Month in business</t>
  </si>
  <si>
    <t>2</t>
  </si>
  <si>
    <t>Monthly revenue from business</t>
  </si>
  <si>
    <t>16000000</t>
  </si>
  <si>
    <t>Shop name</t>
  </si>
  <si>
    <t>Ngưu Gia Thôn</t>
  </si>
  <si>
    <t>Product category</t>
  </si>
  <si>
    <t>990501 - Toy, products for baby and mom</t>
  </si>
  <si>
    <t>Business platform</t>
  </si>
  <si>
    <t xml:space="preserve">Lazada, </t>
  </si>
  <si>
    <t>No.7 - Self-Employed</t>
  </si>
  <si>
    <t>Main business (Sector)</t>
  </si>
  <si>
    <t>RR10 - Entertainment Business</t>
  </si>
  <si>
    <t>Office Name</t>
  </si>
  <si>
    <t>Office Phone No.</t>
  </si>
  <si>
    <t>Position/ Title</t>
  </si>
  <si>
    <t>Business owner</t>
  </si>
  <si>
    <t>Main source of Income</t>
  </si>
  <si>
    <t>No. 99 - Other (Business Income)</t>
  </si>
  <si>
    <t>Country of main source of Income</t>
  </si>
  <si>
    <t>18000000</t>
  </si>
  <si>
    <t>linhkiemtien@hotmail.com</t>
  </si>
  <si>
    <t>Verify email address</t>
  </si>
  <si>
    <t>6M Bank statement</t>
  </si>
  <si>
    <t>[/Outbound/PII_statement_HB220812000068-1.pgp, /Outbound/PII_statement_HB220812000068-2.pgp]</t>
  </si>
  <si>
    <t>Payslip (latest 1M)</t>
  </si>
  <si>
    <t>path to CASA and loan application form in KB inbound folder</t>
  </si>
  <si>
    <t>/Outbound/Contract_HB220812000068.pdf.pgp</t>
  </si>
  <si>
    <t>path to credit scoring input in KB inbound folder</t>
  </si>
  <si>
    <t>/Outbound/NonPII_CreditScoreInput_HB220812000068.csv.pgp</t>
  </si>
  <si>
    <t>path to consent log in KB inbound folder</t>
  </si>
  <si>
    <t>/Outbound/NonPII_ConsentHB220812000068.csv.pgp</t>
  </si>
  <si>
    <t>path to activity log in KB inbound folder</t>
  </si>
  <si>
    <t>/Outbound/ActLog_HB220812000068.csv.pgp</t>
  </si>
  <si>
    <t>Application submit date</t>
  </si>
  <si>
    <t>16/08/2022 11:49:31</t>
  </si>
  <si>
    <t>hash</t>
  </si>
  <si>
    <t>CIC Report</t>
  </si>
  <si>
    <t>Confirmed all search results by</t>
  </si>
  <si>
    <t>ngan.tr</t>
  </si>
  <si>
    <t xml:space="preserve"> on  </t>
  </si>
  <si>
    <t>17/08/2022 17:53:52</t>
  </si>
  <si>
    <t/>
  </si>
  <si>
    <t>1. Report No. 6 &amp; 21</t>
  </si>
  <si>
    <t>Section</t>
  </si>
  <si>
    <t>Data</t>
  </si>
  <si>
    <t>I. Customer information (Report No. 6)</t>
  </si>
  <si>
    <t>Name of customer</t>
  </si>
  <si>
    <t>CIC no.</t>
  </si>
  <si>
    <t>7935572903</t>
  </si>
  <si>
    <t>ID card no.</t>
  </si>
  <si>
    <t>Retrieval date (dd/mm/yyyy)</t>
  </si>
  <si>
    <t>II. Credit Score information (Report No. 6)</t>
  </si>
  <si>
    <t>Credit Score</t>
  </si>
  <si>
    <t xml:space="preserve"> Remark: Please fill "No score" if there is no score or no CIC Report</t>
  </si>
  <si>
    <t>Rank (very good 1-10 bad)</t>
  </si>
  <si>
    <t>Last Date (end of month)</t>
  </si>
  <si>
    <t>Customer's rank (worst 1-100 best)
Xếp hạng của khách hàng</t>
  </si>
  <si>
    <t>III. Other General Information (Report No. 6)</t>
  </si>
  <si>
    <t>4.3 List of Financial Institutions to research customer information within 1 year (Report No. 6)</t>
  </si>
  <si>
    <t>Number of request in last 1 month</t>
  </si>
  <si>
    <t>Number of request in last 3 months</t>
  </si>
  <si>
    <t>Number of request in last 6 months</t>
  </si>
  <si>
    <t>Number of request in last 12 months</t>
  </si>
  <si>
    <t>IV. Optional Loan Information (Report No. 6)</t>
  </si>
  <si>
    <t>A. Minimum Remaining Month (Report No. 6)</t>
  </si>
  <si>
    <t>&lt;=1Y</t>
  </si>
  <si>
    <t>(1Y,5Y)</t>
  </si>
  <si>
    <t>&gt;=5Y</t>
  </si>
  <si>
    <t>Revolving</t>
  </si>
  <si>
    <t xml:space="preserve"> Remark: Input these values to get more accurate results; otherwise put the default value as 1</t>
  </si>
  <si>
    <t>B. Loan Amount by Types of Financial Institution and Types of Loans (mVND) (Report No. 6)</t>
  </si>
  <si>
    <t>Secured Loan</t>
  </si>
  <si>
    <t>Unsecured Loan</t>
  </si>
  <si>
    <t xml:space="preserve"> Remark: Input these values to get more accurate results; otherwise put the default value as 0</t>
  </si>
  <si>
    <t>V. General Loan Outstanding Information (Report No. 6)</t>
  </si>
  <si>
    <t>A. Information about current debit balance (Report No. 6)</t>
  </si>
  <si>
    <t>3.2 Information of Credit/Cash Card (sum of all institutions) (Report No. 6)</t>
  </si>
  <si>
    <t>Total limit (mVND)
Tổng hạn mức thẻ tín dụng</t>
  </si>
  <si>
    <t>Number of credit/cash card</t>
  </si>
  <si>
    <t>Total outstanding balance (mVND)
Tổng số tiền phải thanh toán thẻ</t>
  </si>
  <si>
    <t>Number of card issuer</t>
  </si>
  <si>
    <t>B. Historical Information of Credit Relationship (Report No. 6)</t>
  </si>
  <si>
    <t>2 Card holder's payment status (Report No. 21)</t>
  </si>
  <si>
    <t>3.7 Debt needs attention within 12 months (only includes loans) (loan classified in group 2, ie. DPD 10-90 days) (Report No. 6)</t>
  </si>
  <si>
    <t xml:space="preserve">    2.2 Cardholder's late card payment history in the last 3 years</t>
  </si>
  <si>
    <t>Last report date to CIC  (dd/mm/yyyy)</t>
  </si>
  <si>
    <t>Not Available</t>
  </si>
  <si>
    <t>Max DPD report date (dd/mm/yyyy)</t>
  </si>
  <si>
    <t>3.5 Bad debt history within 5 years (loan classified in groups 3 - 5, ie. DPD&gt;90 days) (Report No. 6)</t>
  </si>
  <si>
    <t>Max DPD (days)</t>
  </si>
  <si>
    <t>Last report date to CIC (dd/mm/yyyy)</t>
  </si>
  <si>
    <t>Debt Group (Card)</t>
  </si>
  <si>
    <t>Debt Group</t>
  </si>
  <si>
    <t xml:space="preserve"> Remark: Please select Not Available if data is not available</t>
  </si>
  <si>
    <t>3.4 Progress of outstanding loans in the last 12 months (Report No. 6)</t>
  </si>
  <si>
    <t>Loan outstanding balance (mVND)</t>
  </si>
  <si>
    <t>Card outstanding balance (mVND)</t>
  </si>
  <si>
    <t>Total outstanding balance (mVND)</t>
  </si>
  <si>
    <t>Last 1 month</t>
  </si>
  <si>
    <t>Last 2 months</t>
  </si>
  <si>
    <t>Last 3 months</t>
  </si>
  <si>
    <t>Last 4 months</t>
  </si>
  <si>
    <t>Last 5 months</t>
  </si>
  <si>
    <t>Last 6 months</t>
  </si>
  <si>
    <t>Last 7 months</t>
  </si>
  <si>
    <t>Last 8 months</t>
  </si>
  <si>
    <t>Last 9 months</t>
  </si>
  <si>
    <t>Last 10 months</t>
  </si>
  <si>
    <t>Last 11 months</t>
  </si>
  <si>
    <t>Last 12 months</t>
  </si>
  <si>
    <t>3.1 Details of Loan     (Calculated based on the exchange rate of</t>
  </si>
  <si>
    <t xml:space="preserve">VND/USD; </t>
  </si>
  <si>
    <t>rate as of</t>
  </si>
  <si>
    <t>; from:</t>
  </si>
  <si>
    <t>SBV</t>
  </si>
  <si>
    <t>) (Report No. 6)</t>
  </si>
  <si>
    <t>FI</t>
  </si>
  <si>
    <t xml:space="preserve">&lt; 1 year short-term loan </t>
  </si>
  <si>
    <t xml:space="preserve">1-5 years medium-term loan </t>
  </si>
  <si>
    <t xml:space="preserve">&gt; 5 years long-term loan </t>
  </si>
  <si>
    <t xml:space="preserve"> Other loan types or Bad Debt</t>
  </si>
  <si>
    <t>Total outstanding balance</t>
  </si>
  <si>
    <t>mVND</t>
  </si>
  <si>
    <t>Total Bank/FI</t>
  </si>
  <si>
    <t>All</t>
  </si>
  <si>
    <t>KBANK Flag</t>
  </si>
  <si>
    <t>FI Code</t>
  </si>
  <si>
    <t>FI Name</t>
  </si>
  <si>
    <t>mUSD</t>
  </si>
  <si>
    <t>Bank/FI #1</t>
  </si>
  <si>
    <t>No</t>
  </si>
  <si>
    <t>79809001</t>
  </si>
  <si>
    <t>Công ty Tài chính TNHH MTV Mirae Asset Việt Nam</t>
  </si>
  <si>
    <t>Bank/FI #2</t>
  </si>
  <si>
    <t>79824001</t>
  </si>
  <si>
    <t>Công ty Tài chính TNHH MTV Shinhan Việt Nam</t>
  </si>
  <si>
    <t>Bank/FI #3</t>
  </si>
  <si>
    <t>Please fill in</t>
  </si>
  <si>
    <t>Bank/FI #4</t>
  </si>
  <si>
    <t>Bank/FI #5</t>
  </si>
  <si>
    <t>Bank/FI #6</t>
  </si>
  <si>
    <t>Bank/FI #7</t>
  </si>
  <si>
    <t>Bank/FI #8</t>
  </si>
  <si>
    <t>Bank/FI #9</t>
  </si>
  <si>
    <t>Bank/FI #10</t>
  </si>
  <si>
    <t>Please add new rows below if necessary</t>
  </si>
  <si>
    <t>2.3 Card payment status of cardholders (Report No. 21)</t>
  </si>
  <si>
    <t>Estimated Debt Calculation Result</t>
  </si>
  <si>
    <t>Card total limit (mVND)</t>
  </si>
  <si>
    <t>1. Term Loan</t>
  </si>
  <si>
    <t>1.1 Term Loan Interest Amount</t>
  </si>
  <si>
    <t>VND/Month</t>
  </si>
  <si>
    <t>1.2 Term Loan Principle Amount</t>
  </si>
  <si>
    <t>2. Revolving Loan</t>
  </si>
  <si>
    <t>2.1 Revolving Loan Interest Amount</t>
  </si>
  <si>
    <t>-</t>
  </si>
  <si>
    <t>2.2 Revolving Loan Principle Amount</t>
  </si>
  <si>
    <t>3. Card</t>
  </si>
  <si>
    <t>3.1 Card Interest Amount</t>
  </si>
  <si>
    <t>3.2 Card Principle Amount</t>
  </si>
  <si>
    <t>Estimated Total Monthly Installment</t>
  </si>
  <si>
    <t xml:space="preserve">Note: </t>
  </si>
  <si>
    <t>1. The card total limit is the value of the green line on the graph</t>
  </si>
  <si>
    <t>2. If the last 1 month card outstanding balance is - , card total limit must be - as well</t>
  </si>
  <si>
    <t>3. If there is no card total limit, please delete Please fill in out</t>
  </si>
  <si>
    <t>Decision Engine Version</t>
  </si>
  <si>
    <t>2.3.9</t>
  </si>
  <si>
    <t>KBank Biz Loan Applicant Validation Form</t>
  </si>
  <si>
    <t xml:space="preserve">Application ID: </t>
  </si>
  <si>
    <t>Citizen ID:</t>
  </si>
  <si>
    <t>Loan origination progress:</t>
  </si>
  <si>
    <t>Making process:</t>
  </si>
  <si>
    <t>Checking process:</t>
  </si>
  <si>
    <t>Result:</t>
  </si>
  <si>
    <t>Approve</t>
  </si>
  <si>
    <t>Reason:</t>
  </si>
  <si>
    <t>All check points are valid</t>
  </si>
  <si>
    <t xml:space="preserve">CIC rank 5, Clear BS </t>
  </si>
  <si>
    <t>Maded by:</t>
  </si>
  <si>
    <t>Checked by:</t>
  </si>
  <si>
    <t>cuong_manh.d</t>
  </si>
  <si>
    <t>Making date:</t>
  </si>
  <si>
    <t>17/08/2022 17:56:38</t>
  </si>
  <si>
    <t>18/08/2022 08:52:06</t>
  </si>
  <si>
    <t>Remark:</t>
  </si>
  <si>
    <t>Applicant's General Information</t>
  </si>
  <si>
    <t>Full name:</t>
  </si>
  <si>
    <t>Date of Birth:</t>
  </si>
  <si>
    <t>Shop name:</t>
  </si>
  <si>
    <t>Shop's phone no:</t>
  </si>
  <si>
    <t>Requested tenor (months):</t>
  </si>
  <si>
    <t>Requested loan amount (VND):</t>
  </si>
  <si>
    <t>Source of Income (Country) :</t>
  </si>
  <si>
    <t>Credit Line Assignment</t>
  </si>
  <si>
    <t>Tenor (months):</t>
  </si>
  <si>
    <t>Amount (VND):</t>
  </si>
  <si>
    <t>Interest rate (%):</t>
  </si>
  <si>
    <t>Last installment date:</t>
  </si>
  <si>
    <t>12/08/2024</t>
  </si>
  <si>
    <t>Monthly installment (VND):</t>
  </si>
  <si>
    <t>AML Risk Analysis</t>
  </si>
  <si>
    <t>Overall AML Risk Rate</t>
  </si>
  <si>
    <t>Details:</t>
  </si>
  <si>
    <t>Customer &amp; Geographic Risk Score:</t>
  </si>
  <si>
    <t>Product and Channel Risk Score:</t>
  </si>
  <si>
    <t>Occupation :</t>
  </si>
  <si>
    <t>Product Risk</t>
  </si>
  <si>
    <t>PEP Status:</t>
  </si>
  <si>
    <t>Transaction channel</t>
  </si>
  <si>
    <t>Country of residence:</t>
  </si>
  <si>
    <t>Volume</t>
  </si>
  <si>
    <t>Country of citizenship:</t>
  </si>
  <si>
    <t>Frequency</t>
  </si>
  <si>
    <t>Watchlist check:</t>
  </si>
  <si>
    <t>Customer &amp; Geographic Risk Level:</t>
  </si>
  <si>
    <t>Product and Channel Risk Level:</t>
  </si>
  <si>
    <t>Opinion from General Director</t>
  </si>
  <si>
    <t>1. Request checker and maker to re-investigate applicant information</t>
  </si>
  <si>
    <t>Requested by:</t>
  </si>
  <si>
    <t>Time stamp:</t>
  </si>
  <si>
    <t>2. Approve or reject high risk applicant</t>
  </si>
  <si>
    <t>Approved/rejected by:</t>
  </si>
  <si>
    <t>Additional applicant information</t>
  </si>
  <si>
    <t>1. Office/ Shop name:</t>
  </si>
  <si>
    <t>2. Office/shop's phone number:</t>
  </si>
  <si>
    <t>3. Office/shop's address:</t>
  </si>
  <si>
    <t>dtype</t>
  </si>
  <si>
    <t>string</t>
  </si>
  <si>
    <t>integer</t>
  </si>
  <si>
    <t>date</t>
  </si>
  <si>
    <t>float</t>
  </si>
  <si>
    <t>I30</t>
  </si>
  <si>
    <t>I33</t>
  </si>
  <si>
    <t>I41</t>
  </si>
  <si>
    <t>I43</t>
  </si>
  <si>
    <t>NCB</t>
  </si>
  <si>
    <t>rule_scores</t>
  </si>
  <si>
    <t>triggered_rules</t>
  </si>
  <si>
    <t>create_date</t>
  </si>
  <si>
    <t>full_name</t>
  </si>
  <si>
    <t>issue_date</t>
  </si>
  <si>
    <t>card_type</t>
  </si>
  <si>
    <t>expirarion_date</t>
  </si>
  <si>
    <t>gender</t>
  </si>
  <si>
    <t>date_of_birth</t>
  </si>
  <si>
    <t>card_city</t>
  </si>
  <si>
    <t>card_province</t>
  </si>
  <si>
    <t>same_addr_on_card</t>
  </si>
  <si>
    <t>education</t>
  </si>
  <si>
    <t>citizen_card_model</t>
  </si>
  <si>
    <t>cust_type</t>
  </si>
  <si>
    <t>residence_code</t>
  </si>
  <si>
    <t>loan_purpose</t>
  </si>
  <si>
    <t>residence_addr</t>
  </si>
  <si>
    <t>shop_name</t>
  </si>
  <si>
    <t>loan_amount</t>
  </si>
  <si>
    <t>loan_tenor</t>
  </si>
  <si>
    <t>other_bank_name</t>
  </si>
  <si>
    <t>other_bank_no</t>
  </si>
  <si>
    <t>mthly_bus_rev</t>
  </si>
  <si>
    <t>bus_year</t>
  </si>
  <si>
    <t>bus_mth</t>
  </si>
  <si>
    <t>shop_product</t>
  </si>
  <si>
    <t>bus_platform</t>
  </si>
  <si>
    <t>main_sector</t>
  </si>
  <si>
    <t>office_phone</t>
  </si>
  <si>
    <t>position</t>
  </si>
  <si>
    <t>main_inc_source</t>
  </si>
  <si>
    <t>country_inc_source</t>
  </si>
  <si>
    <t>email_verified</t>
  </si>
  <si>
    <t>appin_date</t>
  </si>
  <si>
    <t>app_submit_date</t>
  </si>
  <si>
    <t>employer</t>
  </si>
  <si>
    <t>ind_group</t>
  </si>
  <si>
    <t>ind_code</t>
  </si>
  <si>
    <t>sub_ind_code</t>
  </si>
  <si>
    <t>ref_code</t>
  </si>
  <si>
    <t>F:I</t>
  </si>
  <si>
    <t>cic_no</t>
  </si>
  <si>
    <t>retrieval_date</t>
  </si>
  <si>
    <t>credit_scr</t>
  </si>
  <si>
    <t>credit_rnk</t>
  </si>
  <si>
    <t>last_date</t>
  </si>
  <si>
    <t>cust_rnk</t>
  </si>
  <si>
    <t>req_last_1mth</t>
  </si>
  <si>
    <t>req_last_3mth</t>
  </si>
  <si>
    <t>req_last_6mth</t>
  </si>
  <si>
    <t>req_last_12mth</t>
  </si>
  <si>
    <t>total_limit</t>
  </si>
  <si>
    <t>total_os</t>
  </si>
  <si>
    <t>N:R</t>
  </si>
  <si>
    <t>n_cards</t>
  </si>
  <si>
    <t>n_issuers</t>
  </si>
  <si>
    <t>O:R</t>
  </si>
  <si>
    <t>credit_debt_group</t>
  </si>
  <si>
    <t>card_debt_group</t>
  </si>
  <si>
    <t>max_dpd</t>
  </si>
  <si>
    <t>max_dpd_rpt_date</t>
  </si>
  <si>
    <t>grp35_5yr_rpt_date</t>
  </si>
  <si>
    <t>grp2_12mth_rpt_date</t>
  </si>
  <si>
    <t>J30</t>
  </si>
  <si>
    <t>K30</t>
  </si>
  <si>
    <t>L30</t>
  </si>
  <si>
    <t>J33</t>
  </si>
  <si>
    <t>n_acct_geq_5y</t>
  </si>
  <si>
    <t>n_acct_leq_1yr</t>
  </si>
  <si>
    <t>n_acct_btw_1n5</t>
  </si>
  <si>
    <t>n_rev_acct</t>
  </si>
  <si>
    <t>sl_amt</t>
  </si>
  <si>
    <t>usl_amt</t>
  </si>
  <si>
    <t>C002USL, I001USL, I049USL, M015USL, VN00001</t>
  </si>
  <si>
    <t>AUTO</t>
  </si>
  <si>
    <t>criminal_email</t>
  </si>
  <si>
    <t>criminal_phone</t>
  </si>
  <si>
    <t>criminal_id</t>
  </si>
  <si>
    <t>request_date</t>
  </si>
  <si>
    <t>N5</t>
  </si>
  <si>
    <t>input</t>
  </si>
  <si>
    <t>No.1 - Government Officer</t>
  </si>
  <si>
    <t>Salary earner</t>
  </si>
  <si>
    <t>No.2 - State Enterprise Employee</t>
  </si>
  <si>
    <t>No.3 - Private Enterprise Employee</t>
  </si>
  <si>
    <t>No.4 - Business Proprietor/Business Management</t>
  </si>
  <si>
    <t>No.5 - Stay-at-Home Spouse</t>
  </si>
  <si>
    <t>No.6 - Student</t>
  </si>
  <si>
    <t>No.8 - Farmer</t>
  </si>
  <si>
    <t>No.9 - Hired Worker</t>
  </si>
  <si>
    <t>No.10 - Monk/ Priest</t>
  </si>
  <si>
    <t>No.11 - Retiree</t>
  </si>
  <si>
    <t>No.99 - Others (Please Specify)</t>
  </si>
  <si>
    <t>Mapping</t>
  </si>
  <si>
    <t>user_id</t>
  </si>
  <si>
    <t>system_id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</si>
</sst>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Tahoma"/>
      <family val="2"/>
      <charset val="222"/>
      <scheme val="minor"/>
    </font>
    <font>
      <sz val="10"/>
      <color theme="1"/>
      <name val="Open sans"/>
      <family val="2"/>
    </font>
    <font>
      <b/>
      <sz val="10"/>
      <color theme="1" tint="0.249977111117893"/>
      <name val="Open Sans"/>
      <family val="2"/>
    </font>
    <font>
      <sz val="10"/>
      <color theme="1" tint="0.249977111117893"/>
      <name val="Open Sans"/>
      <family val="2"/>
    </font>
    <font>
      <sz val="8"/>
      <name val="Tahoma"/>
      <family val="2"/>
      <charset val="22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 vertical="center"/>
    </xf>
    <xf numFmtId="0" fontId="1" fillId="0" borderId="0" xfId="0" applyFont="1"/>
    <xf numFmtId="0" fontId="1" fillId="2" borderId="0" xfId="0" applyFont="1" applyFill="1"/>
    <xf numFmtId="22" fontId="1" fillId="0" borderId="0" xfId="0" applyNumberFormat="1" applyFont="1"/>
    <xf numFmtId="0" fontId="3" fillId="0" borderId="1" xfId="0" applyFont="1" applyFill="1" applyBorder="1" applyAlignment="1">
      <alignment horizontal="left" vertical="center"/>
    </xf>
    <xf numFmtId="0" fontId="3" fillId="0" borderId="1" xfId="0" quotePrefix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quotePrefix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2083-BA71-4D6B-994E-8A7F7B27CD6E}">
  <sheetPr codeName="Sheet3"/>
  <dimension ref="B2:C25"/>
  <sheetViews>
    <sheetView showGridLines="0" showRowColHeaders="0" zoomScaleNormal="100" workbookViewId="0">
      <selection activeCell="I14" sqref="I14"/>
    </sheetView>
  </sheetViews>
  <sheetFormatPr defaultRowHeight="12.5" x14ac:dyDescent="0.3"/>
  <cols>
    <col min="1" max="1" width="3.58203125" style="1" customWidth="1"/>
    <col min="2" max="3" width="18.58203125" style="1" customWidth="1"/>
    <col min="4" max="16384" width="8.6640625" style="1"/>
  </cols>
  <sheetData>
    <row r="2" spans="2:3" ht="16" customHeight="1" x14ac:dyDescent="0.3">
      <c r="B2" s="2" t="s">
        <v>42</v>
      </c>
      <c r="C2" s="2" t="s">
        <v>8</v>
      </c>
    </row>
    <row r="3" spans="2:3" ht="16" customHeight="1" x14ac:dyDescent="0.3">
      <c r="B3" s="4" t="s">
        <v>465</v>
      </c>
      <c r="C3" s="4" t="s">
        <v>51</v>
      </c>
    </row>
    <row r="4" spans="2:3" ht="14.5" x14ac:dyDescent="0.3">
      <c r="B4" s="4" t="s">
        <v>466</v>
      </c>
      <c r="C4" s="4" t="s">
        <v>52</v>
      </c>
    </row>
    <row r="5" spans="2:3" ht="14.5" x14ac:dyDescent="0.3">
      <c r="B5" s="4" t="s">
        <v>466</v>
      </c>
      <c r="C5" s="4" t="s">
        <v>53</v>
      </c>
    </row>
    <row r="6" spans="2:3" ht="14.5" x14ac:dyDescent="0.3">
      <c r="B6" s="4" t="s">
        <v>465</v>
      </c>
      <c r="C6" s="4" t="s">
        <v>54</v>
      </c>
    </row>
    <row r="7" spans="2:3" ht="14.5" x14ac:dyDescent="0.3">
      <c r="B7" s="4" t="s">
        <v>466</v>
      </c>
      <c r="C7" s="4" t="s">
        <v>55</v>
      </c>
    </row>
    <row r="8" spans="2:3" ht="14.5" x14ac:dyDescent="0.3">
      <c r="B8" s="4" t="s">
        <v>466</v>
      </c>
      <c r="C8" s="4" t="s">
        <v>56</v>
      </c>
    </row>
    <row r="9" spans="2:3" ht="14.5" x14ac:dyDescent="0.3">
      <c r="B9" s="4" t="s">
        <v>467</v>
      </c>
      <c r="C9" s="4">
        <v>138236127</v>
      </c>
    </row>
    <row r="10" spans="2:3" ht="14.5" x14ac:dyDescent="0.3">
      <c r="B10" s="4" t="s">
        <v>466</v>
      </c>
      <c r="C10" s="4" t="s">
        <v>57</v>
      </c>
    </row>
    <row r="11" spans="2:3" ht="14.5" x14ac:dyDescent="0.3">
      <c r="B11" s="4" t="s">
        <v>466</v>
      </c>
      <c r="C11" s="4" t="s">
        <v>58</v>
      </c>
    </row>
    <row r="12" spans="2:3" ht="14.5" x14ac:dyDescent="0.3">
      <c r="B12" s="4" t="s">
        <v>465</v>
      </c>
      <c r="C12" s="4" t="s">
        <v>59</v>
      </c>
    </row>
    <row r="13" spans="2:3" ht="14.5" x14ac:dyDescent="0.3">
      <c r="B13" s="4" t="s">
        <v>466</v>
      </c>
      <c r="C13" s="4" t="s">
        <v>60</v>
      </c>
    </row>
    <row r="14" spans="2:3" ht="14.5" x14ac:dyDescent="0.3">
      <c r="B14" s="4" t="s">
        <v>467</v>
      </c>
      <c r="C14" s="4">
        <v>674305599</v>
      </c>
    </row>
    <row r="15" spans="2:3" ht="14.5" x14ac:dyDescent="0.3">
      <c r="B15" s="4" t="s">
        <v>467</v>
      </c>
      <c r="C15" s="4">
        <v>133715219</v>
      </c>
    </row>
    <row r="16" spans="2:3" ht="14.5" x14ac:dyDescent="0.3">
      <c r="B16" s="4" t="s">
        <v>466</v>
      </c>
      <c r="C16" s="4" t="s">
        <v>61</v>
      </c>
    </row>
    <row r="17" spans="2:3" ht="14.5" x14ac:dyDescent="0.3">
      <c r="B17" s="4" t="s">
        <v>465</v>
      </c>
      <c r="C17" s="4" t="s">
        <v>62</v>
      </c>
    </row>
    <row r="18" spans="2:3" ht="14.5" x14ac:dyDescent="0.3">
      <c r="B18" s="4" t="s">
        <v>466</v>
      </c>
      <c r="C18" s="4" t="s">
        <v>63</v>
      </c>
    </row>
    <row r="19" spans="2:3" ht="14.5" x14ac:dyDescent="0.3">
      <c r="B19" s="4" t="s">
        <v>465</v>
      </c>
      <c r="C19" s="4" t="s">
        <v>64</v>
      </c>
    </row>
    <row r="20" spans="2:3" ht="14.5" x14ac:dyDescent="0.3">
      <c r="B20" s="4" t="s">
        <v>467</v>
      </c>
      <c r="C20" s="4">
        <v>679398156</v>
      </c>
    </row>
    <row r="21" spans="2:3" ht="14.5" x14ac:dyDescent="0.3">
      <c r="B21" s="4" t="s">
        <v>465</v>
      </c>
      <c r="C21" s="4" t="s">
        <v>65</v>
      </c>
    </row>
    <row r="22" spans="2:3" ht="14.5" x14ac:dyDescent="0.3">
      <c r="B22" s="4" t="s">
        <v>467</v>
      </c>
      <c r="C22" s="4">
        <v>837282015</v>
      </c>
    </row>
    <row r="23" spans="2:3" ht="14.5" x14ac:dyDescent="0.3">
      <c r="B23" s="4" t="s">
        <v>465</v>
      </c>
      <c r="C23" s="4" t="s">
        <v>66</v>
      </c>
    </row>
    <row r="24" spans="2:3" ht="14.5" x14ac:dyDescent="0.3">
      <c r="B24" s="4" t="s">
        <v>467</v>
      </c>
      <c r="C24" s="4">
        <v>671091365</v>
      </c>
    </row>
    <row r="25" spans="2:3" ht="14.5" x14ac:dyDescent="0.3">
      <c r="B25" s="4" t="s">
        <v>467</v>
      </c>
      <c r="C25" s="4">
        <v>492307565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AEE6-E4DE-42FC-8442-634B5D68199A}">
  <sheetPr codeName="Sheet2"/>
  <dimension ref="B2:T89"/>
  <sheetViews>
    <sheetView showGridLines="0" tabSelected="1" workbookViewId="0">
      <selection activeCell="J13" sqref="J13"/>
    </sheetView>
  </sheetViews>
  <sheetFormatPr defaultRowHeight="12.5" x14ac:dyDescent="0.3"/>
  <cols>
    <col min="1" max="1" width="3.58203125" style="1" customWidth="1"/>
    <col min="2" max="2" width="5.58203125" style="1" customWidth="1"/>
    <col min="3" max="13" width="10.58203125" style="1" customWidth="1"/>
    <col min="14" max="14" width="3.58203125" style="1" customWidth="1"/>
    <col min="15" max="15" width="5.58203125" style="1" customWidth="1"/>
    <col min="16" max="17" width="8.58203125" style="1" customWidth="1"/>
    <col min="18" max="18" width="3.58203125" style="1" customWidth="1"/>
    <col min="19" max="20" width="8.58203125" style="1" customWidth="1"/>
    <col min="21" max="16384" width="8.6640625" style="1"/>
  </cols>
  <sheetData>
    <row r="2" spans="2:20" ht="16" customHeight="1" x14ac:dyDescent="0.3">
      <c r="B2" s="16" t="s">
        <v>41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8"/>
      <c r="O2" s="16" t="s">
        <v>34</v>
      </c>
      <c r="P2" s="17"/>
      <c r="Q2" s="18"/>
      <c r="S2" s="16" t="s">
        <v>483</v>
      </c>
      <c r="T2" s="18"/>
    </row>
    <row r="3" spans="2:20" ht="16" customHeight="1" x14ac:dyDescent="0.3">
      <c r="B3" s="6" t="s">
        <v>2</v>
      </c>
      <c r="C3" s="6" t="s">
        <v>42</v>
      </c>
      <c r="D3" s="6" t="s">
        <v>1</v>
      </c>
      <c r="E3" s="6" t="s">
        <v>3</v>
      </c>
      <c r="F3" s="6" t="s">
        <v>4</v>
      </c>
      <c r="G3" s="6" t="s">
        <v>5</v>
      </c>
      <c r="H3" s="6" t="s">
        <v>6</v>
      </c>
      <c r="I3" s="6" t="s">
        <v>7</v>
      </c>
      <c r="J3" s="6" t="s">
        <v>8</v>
      </c>
      <c r="K3" s="6" t="s">
        <v>188</v>
      </c>
      <c r="L3" s="6" t="s">
        <v>379</v>
      </c>
      <c r="M3" s="6" t="s">
        <v>470</v>
      </c>
      <c r="O3" s="2" t="s">
        <v>2</v>
      </c>
      <c r="P3" s="2" t="s">
        <v>3</v>
      </c>
      <c r="Q3" s="2" t="s">
        <v>0</v>
      </c>
      <c r="S3" s="2" t="s">
        <v>1</v>
      </c>
      <c r="T3" s="2" t="s">
        <v>8</v>
      </c>
    </row>
    <row r="4" spans="2:20" ht="16" customHeight="1" x14ac:dyDescent="0.3">
      <c r="B4" s="3">
        <v>1</v>
      </c>
      <c r="C4" s="4" t="s">
        <v>43</v>
      </c>
      <c r="D4" s="4" t="s">
        <v>44</v>
      </c>
      <c r="E4" s="4"/>
      <c r="F4" s="4"/>
      <c r="G4" s="4" t="s">
        <v>11</v>
      </c>
      <c r="H4" s="4" t="s">
        <v>45</v>
      </c>
      <c r="I4" s="4"/>
      <c r="J4" s="5" t="str" cm="1">
        <f t="array" aca="1" ref="J4" ca="1">IFERROR(IF(F4&lt;&gt;"",VLOOKUP(F4,INDIRECT(G4 &amp; "!" &amp; H4),I4,FALSE),INDIRECT(G4 &amp; "!" &amp; H4)),"")</f>
        <v>HB220812000068</v>
      </c>
      <c r="K4" s="4" t="b">
        <v>0</v>
      </c>
      <c r="L4" s="5" t="s">
        <v>380</v>
      </c>
      <c r="M4" s="4" t="b">
        <f>ISBLANK(E4)=FALSE</f>
        <v>0</v>
      </c>
      <c r="O4" s="3">
        <v>1</v>
      </c>
      <c r="P4" s="4" t="s">
        <v>10</v>
      </c>
      <c r="Q4" s="3">
        <v>0</v>
      </c>
      <c r="S4" s="4" t="s">
        <v>471</v>
      </c>
      <c r="T4" s="4" t="s">
        <v>472</v>
      </c>
    </row>
    <row r="5" spans="2:20" ht="16" customHeight="1" x14ac:dyDescent="0.3">
      <c r="B5" s="3">
        <v>2</v>
      </c>
      <c r="C5" s="4" t="s">
        <v>43</v>
      </c>
      <c r="D5" s="4" t="s">
        <v>46</v>
      </c>
      <c r="E5" s="4" t="s">
        <v>40</v>
      </c>
      <c r="F5" s="4"/>
      <c r="G5" s="4" t="s">
        <v>11</v>
      </c>
      <c r="H5" s="4" t="s">
        <v>47</v>
      </c>
      <c r="I5" s="4"/>
      <c r="J5" s="5" t="str" cm="1">
        <f t="array" aca="1" ref="J5" ca="1">IFERROR(IF(F5&lt;&gt;"",VLOOKUP(F5,INDIRECT(G5 &amp; "!" &amp; H5),I5,FALSE),INDIRECT(G5 &amp; "!" &amp; H5)),"")</f>
        <v>Approve</v>
      </c>
      <c r="K5" s="4" t="b">
        <v>0</v>
      </c>
      <c r="L5" s="5" t="s">
        <v>380</v>
      </c>
      <c r="M5" s="4" t="b">
        <f t="shared" ref="M5:M67" si="0">ISBLANK(E5)=FALSE</f>
        <v>1</v>
      </c>
      <c r="O5" s="3">
        <v>2</v>
      </c>
      <c r="P5" s="4" t="s">
        <v>13</v>
      </c>
      <c r="Q5" s="3">
        <v>0</v>
      </c>
      <c r="S5" s="4" t="s">
        <v>473</v>
      </c>
      <c r="T5" s="4" t="s">
        <v>472</v>
      </c>
    </row>
    <row r="6" spans="2:20" ht="16" customHeight="1" x14ac:dyDescent="0.3">
      <c r="B6" s="3">
        <v>3</v>
      </c>
      <c r="C6" s="4" t="s">
        <v>43</v>
      </c>
      <c r="D6" s="4" t="s">
        <v>48</v>
      </c>
      <c r="E6" s="4" t="s">
        <v>40</v>
      </c>
      <c r="F6" s="4"/>
      <c r="G6" s="4" t="s">
        <v>49</v>
      </c>
      <c r="H6" s="4" t="s">
        <v>50</v>
      </c>
      <c r="I6" s="4"/>
      <c r="J6" s="5" cm="1">
        <f t="array" aca="1" ref="J6" ca="1">IFERROR(IF(F6&lt;&gt;"",VLOOKUP(F6,INDIRECT(G6 &amp; "!" &amp; H6),I6,FALSE),INDIRECT(G6 &amp; "!" &amp; H6)),"")</f>
        <v>0</v>
      </c>
      <c r="K6" s="4" t="b">
        <v>0</v>
      </c>
      <c r="L6" s="5" t="s">
        <v>380</v>
      </c>
      <c r="M6" s="4" t="b">
        <f t="shared" si="0"/>
        <v>1</v>
      </c>
      <c r="O6" s="3">
        <v>3</v>
      </c>
      <c r="P6" s="4" t="s">
        <v>18</v>
      </c>
      <c r="Q6" s="3">
        <v>0</v>
      </c>
      <c r="S6" s="4" t="s">
        <v>474</v>
      </c>
      <c r="T6" s="4" t="s">
        <v>472</v>
      </c>
    </row>
    <row r="7" spans="2:20" ht="16" customHeight="1" x14ac:dyDescent="0.3">
      <c r="B7" s="3">
        <v>4</v>
      </c>
      <c r="C7" s="4" t="s">
        <v>43</v>
      </c>
      <c r="D7" s="4" t="s">
        <v>12</v>
      </c>
      <c r="E7" s="4" t="s">
        <v>13</v>
      </c>
      <c r="F7" s="4" t="s">
        <v>14</v>
      </c>
      <c r="G7" s="4" t="s">
        <v>15</v>
      </c>
      <c r="H7" s="4" t="s">
        <v>16</v>
      </c>
      <c r="I7" s="4">
        <v>2</v>
      </c>
      <c r="J7" s="5" t="str" cm="1">
        <f t="array" aca="1" ref="J7" ca="1">IFERROR(IF(F7&lt;&gt;"",VLOOKUP(F7,INDIRECT(G7 &amp; "!" &amp; H7),I7,FALSE),INDIRECT(G7 &amp; "!" &amp; H7)),"")</f>
        <v>linhkiemtien@hotmail.com</v>
      </c>
      <c r="K7" s="4" t="b">
        <v>1</v>
      </c>
      <c r="L7" s="5" t="s">
        <v>380</v>
      </c>
      <c r="M7" s="4" t="b">
        <f t="shared" si="0"/>
        <v>1</v>
      </c>
      <c r="O7" s="3">
        <v>4</v>
      </c>
      <c r="P7" s="4" t="s">
        <v>23</v>
      </c>
      <c r="Q7" s="3">
        <v>100</v>
      </c>
      <c r="S7" s="4" t="s">
        <v>475</v>
      </c>
      <c r="T7" s="4" t="s">
        <v>168</v>
      </c>
    </row>
    <row r="8" spans="2:20" ht="16" customHeight="1" x14ac:dyDescent="0.3">
      <c r="B8" s="3">
        <v>5</v>
      </c>
      <c r="C8" s="4" t="s">
        <v>43</v>
      </c>
      <c r="D8" s="4" t="s">
        <v>17</v>
      </c>
      <c r="E8" s="4" t="s">
        <v>18</v>
      </c>
      <c r="F8" s="4" t="s">
        <v>19</v>
      </c>
      <c r="G8" s="4" t="s">
        <v>15</v>
      </c>
      <c r="H8" s="4" t="s">
        <v>16</v>
      </c>
      <c r="I8" s="4">
        <v>2</v>
      </c>
      <c r="J8" s="5" t="str" cm="1">
        <f t="array" aca="1" ref="J8" ca="1">IFERROR(IF(F8&lt;&gt;"",VLOOKUP(F8,INDIRECT(G8 &amp; "!" &amp; H8),I8,FALSE),INDIRECT(G8 &amp; "!" &amp; H8)),"")</f>
        <v>0934610252</v>
      </c>
      <c r="K8" s="4" t="b">
        <v>1</v>
      </c>
      <c r="L8" s="5" t="s">
        <v>380</v>
      </c>
      <c r="M8" s="4" t="b">
        <f t="shared" si="0"/>
        <v>1</v>
      </c>
      <c r="O8" s="3">
        <v>5</v>
      </c>
      <c r="P8" s="4" t="s">
        <v>35</v>
      </c>
      <c r="Q8" s="3">
        <v>0</v>
      </c>
      <c r="S8" s="4" t="s">
        <v>476</v>
      </c>
      <c r="T8" s="4">
        <v>0</v>
      </c>
    </row>
    <row r="9" spans="2:20" ht="16" customHeight="1" x14ac:dyDescent="0.3">
      <c r="B9" s="3">
        <v>6</v>
      </c>
      <c r="C9" s="4" t="s">
        <v>43</v>
      </c>
      <c r="D9" s="4" t="s">
        <v>20</v>
      </c>
      <c r="E9" s="4" t="s">
        <v>21</v>
      </c>
      <c r="F9" s="4" t="s">
        <v>22</v>
      </c>
      <c r="G9" s="4" t="s">
        <v>15</v>
      </c>
      <c r="H9" s="4" t="s">
        <v>16</v>
      </c>
      <c r="I9" s="4">
        <v>2</v>
      </c>
      <c r="J9" s="5" t="str" cm="1">
        <f t="array" aca="1" ref="J9" ca="1">IFERROR(IF(F9&lt;&gt;"",VLOOKUP(F9,INDIRECT(G9 &amp; "!" &amp; H9),I9,FALSE),INDIRECT(G9 &amp; "!" &amp; H9)),"")</f>
        <v>31</v>
      </c>
      <c r="K9" s="4" t="b">
        <v>0</v>
      </c>
      <c r="L9" s="5" t="s">
        <v>381</v>
      </c>
      <c r="M9" s="4" t="b">
        <f t="shared" si="0"/>
        <v>1</v>
      </c>
      <c r="O9" s="3">
        <v>6</v>
      </c>
      <c r="P9" s="4" t="s">
        <v>36</v>
      </c>
      <c r="Q9" s="3">
        <v>0</v>
      </c>
      <c r="S9" s="4" t="s">
        <v>477</v>
      </c>
      <c r="T9" s="4">
        <v>0</v>
      </c>
    </row>
    <row r="10" spans="2:20" ht="16" customHeight="1" x14ac:dyDescent="0.3">
      <c r="B10" s="12">
        <v>7</v>
      </c>
      <c r="C10" s="13" t="s">
        <v>43</v>
      </c>
      <c r="D10" s="13" t="s">
        <v>27</v>
      </c>
      <c r="E10" s="13" t="s">
        <v>28</v>
      </c>
      <c r="F10" s="13" t="s">
        <v>29</v>
      </c>
      <c r="G10" s="13" t="s">
        <v>15</v>
      </c>
      <c r="H10" s="13" t="s">
        <v>16</v>
      </c>
      <c r="I10" s="13">
        <v>2</v>
      </c>
      <c r="J10" s="14" t="str" cm="1">
        <f t="array" aca="1" ref="J10" ca="1">IFERROR(VLOOKUP(IF(F10&lt;&gt;"",VLOOKUP(F10,INDIRECT(G10 &amp; "!" &amp; H10),I10,FALSE),INDIRECT(G10 &amp; "!" &amp; H10)),$S$4:$T$15,2),"")</f>
        <v>Business owner</v>
      </c>
      <c r="K10" s="13" t="b">
        <v>0</v>
      </c>
      <c r="L10" s="14" t="s">
        <v>380</v>
      </c>
      <c r="M10" s="13" t="b">
        <f t="shared" si="0"/>
        <v>1</v>
      </c>
      <c r="O10" s="3">
        <v>7</v>
      </c>
      <c r="P10" s="4" t="s">
        <v>37</v>
      </c>
      <c r="Q10" s="3">
        <v>0</v>
      </c>
      <c r="S10" s="4" t="s">
        <v>162</v>
      </c>
      <c r="T10" s="4" t="s">
        <v>168</v>
      </c>
    </row>
    <row r="11" spans="2:20" ht="16" customHeight="1" x14ac:dyDescent="0.3">
      <c r="B11" s="3">
        <v>8</v>
      </c>
      <c r="C11" s="4" t="s">
        <v>43</v>
      </c>
      <c r="D11" s="4" t="s">
        <v>30</v>
      </c>
      <c r="E11" s="4" t="s">
        <v>28</v>
      </c>
      <c r="F11" s="4" t="s">
        <v>31</v>
      </c>
      <c r="G11" s="4" t="s">
        <v>15</v>
      </c>
      <c r="H11" s="4" t="s">
        <v>16</v>
      </c>
      <c r="I11" s="4">
        <v>2</v>
      </c>
      <c r="J11" s="5" t="str" cm="1">
        <f t="array" aca="1" ref="J11" ca="1">IFERROR(IF(F11&lt;&gt;"",VLOOKUP(F11,INDIRECT(G11 &amp; "!" &amp; H11),I11,FALSE),INDIRECT(G11 &amp; "!" &amp; H11)),"")</f>
        <v>18000000</v>
      </c>
      <c r="K11" s="4" t="b">
        <v>0</v>
      </c>
      <c r="L11" s="5" t="s">
        <v>383</v>
      </c>
      <c r="M11" s="4" t="b">
        <f t="shared" si="0"/>
        <v>1</v>
      </c>
      <c r="O11" s="3">
        <v>8</v>
      </c>
      <c r="P11" s="4" t="s">
        <v>38</v>
      </c>
      <c r="Q11" s="3">
        <v>200</v>
      </c>
      <c r="S11" s="4" t="s">
        <v>478</v>
      </c>
      <c r="T11" s="4" t="s">
        <v>168</v>
      </c>
    </row>
    <row r="12" spans="2:20" ht="16" customHeight="1" x14ac:dyDescent="0.3">
      <c r="B12" s="12">
        <v>9</v>
      </c>
      <c r="C12" s="13" t="s">
        <v>43</v>
      </c>
      <c r="D12" s="13" t="s">
        <v>425</v>
      </c>
      <c r="E12" s="13" t="s">
        <v>32</v>
      </c>
      <c r="F12" s="13" t="s">
        <v>33</v>
      </c>
      <c r="G12" s="13" t="s">
        <v>15</v>
      </c>
      <c r="H12" s="13" t="s">
        <v>16</v>
      </c>
      <c r="I12" s="13">
        <v>2</v>
      </c>
      <c r="J12" s="14" t="str" cm="1">
        <f t="array" aca="1" ref="J12" ca="1">IFERROR(SUBSTITUTE(LOWER(IF(F12&lt;&gt;"",VLOOKUP(F12,INDIRECT(G12 &amp; "!" &amp; H12),I12,FALSE),INDIRECT(G12 &amp; "!" &amp; H12)))," ",""),"")</f>
        <v>ngưugiathôn</v>
      </c>
      <c r="K12" s="13" t="b">
        <v>1</v>
      </c>
      <c r="L12" s="14" t="s">
        <v>380</v>
      </c>
      <c r="M12" s="13" t="b">
        <f t="shared" si="0"/>
        <v>1</v>
      </c>
      <c r="O12" s="3">
        <v>9</v>
      </c>
      <c r="P12" s="4" t="s">
        <v>39</v>
      </c>
      <c r="Q12" s="3">
        <v>0</v>
      </c>
      <c r="S12" s="4" t="s">
        <v>479</v>
      </c>
      <c r="T12" s="4" t="s">
        <v>472</v>
      </c>
    </row>
    <row r="13" spans="2:20" ht="16" customHeight="1" x14ac:dyDescent="0.3">
      <c r="B13" s="3">
        <v>10</v>
      </c>
      <c r="C13" s="4" t="s">
        <v>43</v>
      </c>
      <c r="D13" s="4" t="s">
        <v>392</v>
      </c>
      <c r="E13" s="4"/>
      <c r="F13" s="4" t="s">
        <v>80</v>
      </c>
      <c r="G13" s="4" t="s">
        <v>15</v>
      </c>
      <c r="H13" s="4" t="s">
        <v>16</v>
      </c>
      <c r="I13" s="4">
        <v>2</v>
      </c>
      <c r="J13" s="5" t="str" cm="1">
        <f t="array" aca="1" ref="J13" ca="1">IFERROR(IF(F13&lt;&gt;"",VLOOKUP(F13,INDIRECT(G13 &amp; "!" &amp; H13),I13,FALSE),INDIRECT(G13 &amp; "!" &amp; H13)),"")</f>
        <v>LÊ TRỌNG NGHĨA</v>
      </c>
      <c r="K13" s="4" t="b">
        <v>1</v>
      </c>
      <c r="L13" s="5" t="s">
        <v>380</v>
      </c>
      <c r="M13" s="4" t="b">
        <f t="shared" si="0"/>
        <v>0</v>
      </c>
      <c r="O13" s="3">
        <v>10</v>
      </c>
      <c r="P13" s="4" t="s">
        <v>32</v>
      </c>
      <c r="Q13" s="3">
        <v>0</v>
      </c>
      <c r="S13" s="4" t="s">
        <v>480</v>
      </c>
      <c r="T13" s="4">
        <v>0</v>
      </c>
    </row>
    <row r="14" spans="2:20" ht="16" customHeight="1" x14ac:dyDescent="0.3">
      <c r="B14" s="3">
        <v>11</v>
      </c>
      <c r="C14" s="4" t="s">
        <v>43</v>
      </c>
      <c r="D14" s="4" t="s">
        <v>9</v>
      </c>
      <c r="E14" s="4" t="s">
        <v>10</v>
      </c>
      <c r="F14" s="4" t="s">
        <v>82</v>
      </c>
      <c r="G14" s="4" t="s">
        <v>15</v>
      </c>
      <c r="H14" s="4" t="s">
        <v>16</v>
      </c>
      <c r="I14" s="4">
        <v>2</v>
      </c>
      <c r="J14" s="5" t="str" cm="1">
        <f t="array" aca="1" ref="J14" ca="1">IFERROR(IF(F14&lt;&gt;"",VLOOKUP(F14,INDIRECT(G14 &amp; "!" &amp; H14),I14,FALSE),INDIRECT(G14 &amp; "!" &amp; H14)),"")</f>
        <v>079090006977</v>
      </c>
      <c r="K14" s="4" t="b">
        <v>1</v>
      </c>
      <c r="L14" s="5" t="s">
        <v>380</v>
      </c>
      <c r="M14" s="4" t="b">
        <f t="shared" si="0"/>
        <v>1</v>
      </c>
      <c r="O14" s="3">
        <v>11</v>
      </c>
      <c r="P14" s="4" t="s">
        <v>40</v>
      </c>
      <c r="Q14" s="3">
        <v>0</v>
      </c>
      <c r="S14" s="4" t="s">
        <v>481</v>
      </c>
      <c r="T14" s="4">
        <v>0</v>
      </c>
    </row>
    <row r="15" spans="2:20" ht="16" customHeight="1" x14ac:dyDescent="0.3">
      <c r="B15" s="3">
        <v>12</v>
      </c>
      <c r="C15" s="4" t="s">
        <v>43</v>
      </c>
      <c r="D15" s="4" t="s">
        <v>393</v>
      </c>
      <c r="E15" s="4"/>
      <c r="F15" s="4" t="s">
        <v>84</v>
      </c>
      <c r="G15" s="4" t="s">
        <v>15</v>
      </c>
      <c r="H15" s="4" t="s">
        <v>16</v>
      </c>
      <c r="I15" s="4">
        <v>2</v>
      </c>
      <c r="J15" s="5" t="str" cm="1">
        <f t="array" aca="1" ref="J15" ca="1">IFERROR(IF(F15&lt;&gt;"",VLOOKUP(F15,INDIRECT(G15 &amp; "!" &amp; H15),I15,FALSE),INDIRECT(G15 &amp; "!" &amp; H15)),"")</f>
        <v>22/12/2021</v>
      </c>
      <c r="K15" s="4" t="b">
        <v>0</v>
      </c>
      <c r="L15" s="5" t="s">
        <v>382</v>
      </c>
      <c r="M15" s="4" t="b">
        <f t="shared" si="0"/>
        <v>0</v>
      </c>
      <c r="S15" s="4" t="s">
        <v>482</v>
      </c>
      <c r="T15" s="4">
        <v>0</v>
      </c>
    </row>
    <row r="16" spans="2:20" ht="16" customHeight="1" x14ac:dyDescent="0.3">
      <c r="B16" s="3">
        <v>13</v>
      </c>
      <c r="C16" s="4" t="s">
        <v>43</v>
      </c>
      <c r="D16" s="4" t="s">
        <v>395</v>
      </c>
      <c r="E16" s="4"/>
      <c r="F16" s="4" t="s">
        <v>86</v>
      </c>
      <c r="G16" s="4" t="s">
        <v>15</v>
      </c>
      <c r="H16" s="4" t="s">
        <v>16</v>
      </c>
      <c r="I16" s="4">
        <v>2</v>
      </c>
      <c r="J16" s="5" t="str" cm="1">
        <f t="array" aca="1" ref="J16" ca="1">IFERROR(IF(F16&lt;&gt;"",VLOOKUP(F16,INDIRECT(G16 &amp; "!" &amp; H16),I16,FALSE),INDIRECT(G16 &amp; "!" &amp; H16)),"")</f>
        <v>30/10/2030</v>
      </c>
      <c r="K16" s="4" t="b">
        <v>0</v>
      </c>
      <c r="L16" s="5" t="s">
        <v>382</v>
      </c>
      <c r="M16" s="4" t="b">
        <f t="shared" si="0"/>
        <v>0</v>
      </c>
    </row>
    <row r="17" spans="2:13" ht="16" customHeight="1" x14ac:dyDescent="0.3">
      <c r="B17" s="3">
        <v>14</v>
      </c>
      <c r="C17" s="4" t="s">
        <v>43</v>
      </c>
      <c r="D17" s="4" t="s">
        <v>396</v>
      </c>
      <c r="E17" s="4"/>
      <c r="F17" s="4" t="s">
        <v>88</v>
      </c>
      <c r="G17" s="4" t="s">
        <v>15</v>
      </c>
      <c r="H17" s="4" t="s">
        <v>16</v>
      </c>
      <c r="I17" s="4">
        <v>2</v>
      </c>
      <c r="J17" s="5" t="str" cm="1">
        <f t="array" aca="1" ref="J17" ca="1">IFERROR(IF(F17&lt;&gt;"",VLOOKUP(F17,INDIRECT(G17 &amp; "!" &amp; H17),I17,FALSE),INDIRECT(G17 &amp; "!" &amp; H17)),"")</f>
        <v>Male</v>
      </c>
      <c r="K17" s="4" t="b">
        <v>0</v>
      </c>
      <c r="L17" s="5" t="s">
        <v>380</v>
      </c>
      <c r="M17" s="4" t="b">
        <f t="shared" si="0"/>
        <v>0</v>
      </c>
    </row>
    <row r="18" spans="2:13" ht="16" customHeight="1" x14ac:dyDescent="0.3">
      <c r="B18" s="3">
        <v>15</v>
      </c>
      <c r="C18" s="10" t="s">
        <v>43</v>
      </c>
      <c r="D18" s="10" t="s">
        <v>397</v>
      </c>
      <c r="E18" s="10"/>
      <c r="F18" s="10" t="s">
        <v>90</v>
      </c>
      <c r="G18" s="10" t="s">
        <v>15</v>
      </c>
      <c r="H18" s="10" t="s">
        <v>16</v>
      </c>
      <c r="I18" s="10">
        <v>2</v>
      </c>
      <c r="J18" s="11" t="str" cm="1">
        <f t="array" aca="1" ref="J18" ca="1">IFERROR(IF(F18&lt;&gt;"",VLOOKUP(F18,INDIRECT(G18 &amp; "!" &amp; H18),I18,FALSE),INDIRECT(G18 &amp; "!" &amp; H18)),"")</f>
        <v>30/10/1990</v>
      </c>
      <c r="K18" s="10" t="b">
        <v>0</v>
      </c>
      <c r="L18" s="11" t="s">
        <v>382</v>
      </c>
      <c r="M18" s="10" t="b">
        <f t="shared" si="0"/>
        <v>0</v>
      </c>
    </row>
    <row r="19" spans="2:13" ht="16" customHeight="1" x14ac:dyDescent="0.3">
      <c r="B19" s="3">
        <v>16</v>
      </c>
      <c r="C19" s="4" t="s">
        <v>43</v>
      </c>
      <c r="D19" s="4" t="s">
        <v>398</v>
      </c>
      <c r="E19" s="4"/>
      <c r="F19" s="4" t="s">
        <v>99</v>
      </c>
      <c r="G19" s="4" t="s">
        <v>15</v>
      </c>
      <c r="H19" s="4" t="s">
        <v>16</v>
      </c>
      <c r="I19" s="4">
        <v>2</v>
      </c>
      <c r="J19" s="5" t="str" cm="1">
        <f t="array" aca="1" ref="J19" ca="1">IFERROR(IF(F19&lt;&gt;"",VLOOKUP(F19,INDIRECT(G19 &amp; "!" &amp; H19),I19,FALSE),INDIRECT(G19 &amp; "!" &amp; H19)),"")</f>
        <v>Hồ Chí Minh</v>
      </c>
      <c r="K19" s="4" t="b">
        <v>0</v>
      </c>
      <c r="L19" s="5" t="s">
        <v>380</v>
      </c>
      <c r="M19" s="4" t="b">
        <f t="shared" si="0"/>
        <v>0</v>
      </c>
    </row>
    <row r="20" spans="2:13" ht="16" customHeight="1" x14ac:dyDescent="0.3">
      <c r="B20" s="3">
        <v>17</v>
      </c>
      <c r="C20" s="4" t="s">
        <v>43</v>
      </c>
      <c r="D20" s="4" t="s">
        <v>399</v>
      </c>
      <c r="E20" s="4"/>
      <c r="F20" s="4" t="s">
        <v>101</v>
      </c>
      <c r="G20" s="4" t="s">
        <v>15</v>
      </c>
      <c r="H20" s="4" t="s">
        <v>16</v>
      </c>
      <c r="I20" s="4">
        <v>2</v>
      </c>
      <c r="J20" s="5" t="str" cm="1">
        <f t="array" aca="1" ref="J20" ca="1">IFERROR(IF(F20&lt;&gt;"",VLOOKUP(F20,INDIRECT(G20 &amp; "!" &amp; H20),I20,FALSE),INDIRECT(G20 &amp; "!" &amp; H20)),"")</f>
        <v>Hồ Chí Minh</v>
      </c>
      <c r="K20" s="4" t="b">
        <v>0</v>
      </c>
      <c r="L20" s="5" t="s">
        <v>380</v>
      </c>
      <c r="M20" s="4" t="b">
        <f t="shared" si="0"/>
        <v>0</v>
      </c>
    </row>
    <row r="21" spans="2:13" ht="16" customHeight="1" x14ac:dyDescent="0.3">
      <c r="B21" s="3">
        <v>18</v>
      </c>
      <c r="C21" s="4" t="s">
        <v>43</v>
      </c>
      <c r="D21" s="4" t="s">
        <v>400</v>
      </c>
      <c r="E21" s="4"/>
      <c r="F21" s="4" t="s">
        <v>102</v>
      </c>
      <c r="G21" s="4" t="s">
        <v>15</v>
      </c>
      <c r="H21" s="4" t="s">
        <v>16</v>
      </c>
      <c r="I21" s="4">
        <v>2</v>
      </c>
      <c r="J21" s="5" t="str" cm="1">
        <f t="array" aca="1" ref="J21" ca="1">IFERROR(IF(F21&lt;&gt;"",VLOOKUP(F21,INDIRECT(G21 &amp; "!" &amp; H21),I21,FALSE),INDIRECT(G21 &amp; "!" &amp; H21)),"")</f>
        <v>Yes</v>
      </c>
      <c r="K21" s="4" t="b">
        <v>0</v>
      </c>
      <c r="L21" s="5" t="s">
        <v>380</v>
      </c>
      <c r="M21" s="4" t="b">
        <f t="shared" si="0"/>
        <v>0</v>
      </c>
    </row>
    <row r="22" spans="2:13" ht="16" customHeight="1" x14ac:dyDescent="0.3">
      <c r="B22" s="3">
        <v>19</v>
      </c>
      <c r="C22" s="4" t="s">
        <v>43</v>
      </c>
      <c r="D22" s="4" t="s">
        <v>406</v>
      </c>
      <c r="E22" s="4"/>
      <c r="F22" s="4" t="s">
        <v>106</v>
      </c>
      <c r="G22" s="4" t="s">
        <v>15</v>
      </c>
      <c r="H22" s="4" t="s">
        <v>16</v>
      </c>
      <c r="I22" s="4">
        <v>2</v>
      </c>
      <c r="J22" s="5" t="str" cm="1">
        <f t="array" aca="1" ref="J22" ca="1">IFERROR(IF(F22&lt;&gt;"",VLOOKUP(F22,INDIRECT(G22 &amp; "!" &amp; H22),I22,FALSE),INDIRECT(G22 &amp; "!" &amp; H22)),"")</f>
        <v>Hồ Chí Minh</v>
      </c>
      <c r="K22" s="4" t="b">
        <v>0</v>
      </c>
      <c r="L22" s="5" t="s">
        <v>380</v>
      </c>
      <c r="M22" s="4" t="b">
        <f t="shared" si="0"/>
        <v>0</v>
      </c>
    </row>
    <row r="23" spans="2:13" ht="16" customHeight="1" x14ac:dyDescent="0.3">
      <c r="B23" s="3">
        <v>20</v>
      </c>
      <c r="C23" s="4" t="s">
        <v>43</v>
      </c>
      <c r="D23" s="4" t="s">
        <v>401</v>
      </c>
      <c r="E23" s="4"/>
      <c r="F23" s="4" t="s">
        <v>107</v>
      </c>
      <c r="G23" s="4" t="s">
        <v>15</v>
      </c>
      <c r="H23" s="4" t="s">
        <v>16</v>
      </c>
      <c r="I23" s="4">
        <v>2</v>
      </c>
      <c r="J23" s="5" t="str" cm="1">
        <f t="array" aca="1" ref="J23" ca="1">IFERROR(IF(F23&lt;&gt;"",VLOOKUP(F23,INDIRECT(G23 &amp; "!" &amp; H23),I23,FALSE),INDIRECT(G23 &amp; "!" &amp; H23)),"")</f>
        <v>High school</v>
      </c>
      <c r="K23" s="4" t="b">
        <v>0</v>
      </c>
      <c r="L23" s="5" t="s">
        <v>380</v>
      </c>
      <c r="M23" s="4" t="b">
        <f t="shared" si="0"/>
        <v>0</v>
      </c>
    </row>
    <row r="24" spans="2:13" ht="16" customHeight="1" x14ac:dyDescent="0.3">
      <c r="B24" s="3">
        <v>21</v>
      </c>
      <c r="C24" s="4" t="s">
        <v>43</v>
      </c>
      <c r="D24" s="4" t="s">
        <v>394</v>
      </c>
      <c r="E24" s="4"/>
      <c r="F24" s="4" t="s">
        <v>110</v>
      </c>
      <c r="G24" s="4" t="s">
        <v>15</v>
      </c>
      <c r="H24" s="4" t="s">
        <v>16</v>
      </c>
      <c r="I24" s="4">
        <v>2</v>
      </c>
      <c r="J24" s="5" t="str" cm="1">
        <f t="array" aca="1" ref="J24" ca="1">IFERROR(IF(F24&lt;&gt;"",VLOOKUP(F24,INDIRECT(G24 &amp; "!" &amp; H24),I24,FALSE),INDIRECT(G24 &amp; "!" &amp; H24)),"")</f>
        <v>No.5 - Citizen Identification Card</v>
      </c>
      <c r="K24" s="4" t="b">
        <v>0</v>
      </c>
      <c r="L24" s="5" t="s">
        <v>380</v>
      </c>
      <c r="M24" s="4" t="b">
        <f t="shared" si="0"/>
        <v>0</v>
      </c>
    </row>
    <row r="25" spans="2:13" ht="16" customHeight="1" x14ac:dyDescent="0.3">
      <c r="B25" s="3">
        <v>22</v>
      </c>
      <c r="C25" s="4" t="s">
        <v>43</v>
      </c>
      <c r="D25" s="4" t="s">
        <v>402</v>
      </c>
      <c r="E25" s="4"/>
      <c r="F25" s="4" t="s">
        <v>112</v>
      </c>
      <c r="G25" s="4" t="s">
        <v>15</v>
      </c>
      <c r="H25" s="4" t="s">
        <v>16</v>
      </c>
      <c r="I25" s="4">
        <v>2</v>
      </c>
      <c r="J25" s="5" t="str" cm="1">
        <f t="array" aca="1" ref="J25" ca="1">IFERROR(IF(F25&lt;&gt;"",VLOOKUP(F25,INDIRECT(G25 &amp; "!" &amp; H25),I25,FALSE),INDIRECT(G25 &amp; "!" &amp; H25)),"")</f>
        <v>No. 4 - Card with chip</v>
      </c>
      <c r="K25" s="4" t="b">
        <v>0</v>
      </c>
      <c r="L25" s="5" t="s">
        <v>380</v>
      </c>
      <c r="M25" s="4" t="b">
        <f t="shared" si="0"/>
        <v>0</v>
      </c>
    </row>
    <row r="26" spans="2:13" ht="16" customHeight="1" x14ac:dyDescent="0.3">
      <c r="B26" s="3">
        <v>23</v>
      </c>
      <c r="C26" s="4" t="s">
        <v>43</v>
      </c>
      <c r="D26" s="4" t="s">
        <v>403</v>
      </c>
      <c r="E26" s="4"/>
      <c r="F26" s="4" t="s">
        <v>114</v>
      </c>
      <c r="G26" s="4" t="s">
        <v>15</v>
      </c>
      <c r="H26" s="4" t="s">
        <v>16</v>
      </c>
      <c r="I26" s="4">
        <v>2</v>
      </c>
      <c r="J26" s="5" t="str" cm="1">
        <f t="array" aca="1" ref="J26" ca="1">IFERROR(IF(F26&lt;&gt;"",VLOOKUP(F26,INDIRECT(G26 &amp; "!" &amp; H26),I26,FALSE),INDIRECT(G26 &amp; "!" &amp; H26)),"")</f>
        <v>Individual</v>
      </c>
      <c r="K26" s="4" t="b">
        <v>0</v>
      </c>
      <c r="L26" s="5" t="s">
        <v>380</v>
      </c>
      <c r="M26" s="4" t="b">
        <f t="shared" si="0"/>
        <v>0</v>
      </c>
    </row>
    <row r="27" spans="2:13" ht="16" customHeight="1" x14ac:dyDescent="0.3">
      <c r="B27" s="3">
        <v>24</v>
      </c>
      <c r="C27" s="4" t="s">
        <v>43</v>
      </c>
      <c r="D27" s="4" t="s">
        <v>426</v>
      </c>
      <c r="E27" s="4"/>
      <c r="F27" s="4" t="s">
        <v>121</v>
      </c>
      <c r="G27" s="4" t="s">
        <v>15</v>
      </c>
      <c r="H27" s="4" t="s">
        <v>16</v>
      </c>
      <c r="I27" s="4">
        <v>2</v>
      </c>
      <c r="J27" s="5" t="str" cm="1">
        <f t="array" aca="1" ref="J27" ca="1">IFERROR(IF(F27&lt;&gt;"",VLOOKUP(F27,INDIRECT(G27 &amp; "!" &amp; H27),I27,FALSE),INDIRECT(G27 &amp; "!" &amp; H27)),"")</f>
        <v>Personal</v>
      </c>
      <c r="K27" s="4" t="b">
        <v>0</v>
      </c>
      <c r="L27" s="5" t="s">
        <v>380</v>
      </c>
      <c r="M27" s="4" t="b">
        <f t="shared" si="0"/>
        <v>0</v>
      </c>
    </row>
    <row r="28" spans="2:13" ht="16" customHeight="1" x14ac:dyDescent="0.3">
      <c r="B28" s="3">
        <v>25</v>
      </c>
      <c r="C28" s="4" t="s">
        <v>43</v>
      </c>
      <c r="D28" s="4" t="s">
        <v>427</v>
      </c>
      <c r="E28" s="4"/>
      <c r="F28" s="4" t="s">
        <v>123</v>
      </c>
      <c r="G28" s="4" t="s">
        <v>15</v>
      </c>
      <c r="H28" s="4" t="s">
        <v>16</v>
      </c>
      <c r="I28" s="4">
        <v>2</v>
      </c>
      <c r="J28" s="5" t="str" cm="1">
        <f t="array" aca="1" ref="J28" ca="1">IFERROR(IF(F28&lt;&gt;"",VLOOKUP(F28,INDIRECT(G28 &amp; "!" &amp; H28),I28,FALSE),INDIRECT(G28 &amp; "!" &amp; H28)),"")</f>
        <v>Personal</v>
      </c>
      <c r="K28" s="4" t="b">
        <v>0</v>
      </c>
      <c r="L28" s="5" t="s">
        <v>380</v>
      </c>
      <c r="M28" s="4" t="b">
        <f t="shared" si="0"/>
        <v>0</v>
      </c>
    </row>
    <row r="29" spans="2:13" ht="16" customHeight="1" x14ac:dyDescent="0.3">
      <c r="B29" s="3">
        <v>26</v>
      </c>
      <c r="C29" s="4" t="s">
        <v>43</v>
      </c>
      <c r="D29" s="4" t="s">
        <v>428</v>
      </c>
      <c r="E29" s="4"/>
      <c r="F29" s="4" t="s">
        <v>124</v>
      </c>
      <c r="G29" s="4" t="s">
        <v>15</v>
      </c>
      <c r="H29" s="4" t="s">
        <v>16</v>
      </c>
      <c r="I29" s="4">
        <v>2</v>
      </c>
      <c r="J29" s="5" t="str" cm="1">
        <f t="array" aca="1" ref="J29" ca="1">IFERROR(IF(F29&lt;&gt;"",VLOOKUP(F29,INDIRECT(G29 &amp; "!" &amp; H29),I29,FALSE),INDIRECT(G29 &amp; "!" &amp; H29)),"")</f>
        <v>Personal</v>
      </c>
      <c r="K29" s="4" t="b">
        <v>0</v>
      </c>
      <c r="L29" s="5" t="s">
        <v>380</v>
      </c>
      <c r="M29" s="4" t="b">
        <f t="shared" si="0"/>
        <v>0</v>
      </c>
    </row>
    <row r="30" spans="2:13" ht="16" customHeight="1" x14ac:dyDescent="0.3">
      <c r="B30" s="3">
        <v>27</v>
      </c>
      <c r="C30" s="4" t="s">
        <v>43</v>
      </c>
      <c r="D30" s="4" t="s">
        <v>404</v>
      </c>
      <c r="E30" s="4"/>
      <c r="F30" s="4" t="s">
        <v>125</v>
      </c>
      <c r="G30" s="4" t="s">
        <v>15</v>
      </c>
      <c r="H30" s="4" t="s">
        <v>16</v>
      </c>
      <c r="I30" s="4">
        <v>2</v>
      </c>
      <c r="J30" s="5" t="str" cm="1">
        <f t="array" aca="1" ref="J30" ca="1">IFERROR(IF(F30&lt;&gt;"",VLOOKUP(F30,INDIRECT(G30 &amp; "!" &amp; H30),I30,FALSE),INDIRECT(G30 &amp; "!" &amp; H30)),"")</f>
        <v>VNese resident</v>
      </c>
      <c r="K30" s="4" t="b">
        <v>0</v>
      </c>
      <c r="L30" s="5" t="s">
        <v>380</v>
      </c>
      <c r="M30" s="4" t="b">
        <f t="shared" si="0"/>
        <v>0</v>
      </c>
    </row>
    <row r="31" spans="2:13" ht="16" customHeight="1" x14ac:dyDescent="0.3">
      <c r="B31" s="3">
        <v>28</v>
      </c>
      <c r="C31" s="4" t="s">
        <v>43</v>
      </c>
      <c r="D31" s="4" t="s">
        <v>405</v>
      </c>
      <c r="E31" s="4"/>
      <c r="F31" s="4" t="s">
        <v>127</v>
      </c>
      <c r="G31" s="4" t="s">
        <v>15</v>
      </c>
      <c r="H31" s="4" t="s">
        <v>16</v>
      </c>
      <c r="I31" s="4">
        <v>2</v>
      </c>
      <c r="J31" s="5" t="str" cm="1">
        <f t="array" aca="1" ref="J31" ca="1">IFERROR(IF(F31&lt;&gt;"",VLOOKUP(F31,INDIRECT(G31 &amp; "!" &amp; H31),I31,FALSE),INDIRECT(G31 &amp; "!" &amp; H31)),"")</f>
        <v>Household business</v>
      </c>
      <c r="K31" s="4" t="b">
        <v>0</v>
      </c>
      <c r="L31" s="5" t="s">
        <v>380</v>
      </c>
      <c r="M31" s="4" t="b">
        <f t="shared" si="0"/>
        <v>0</v>
      </c>
    </row>
    <row r="32" spans="2:13" ht="16" customHeight="1" x14ac:dyDescent="0.3">
      <c r="B32" s="3">
        <v>29</v>
      </c>
      <c r="C32" s="4" t="s">
        <v>43</v>
      </c>
      <c r="D32" s="4" t="s">
        <v>408</v>
      </c>
      <c r="E32" s="4"/>
      <c r="F32" s="4" t="s">
        <v>129</v>
      </c>
      <c r="G32" s="4" t="s">
        <v>15</v>
      </c>
      <c r="H32" s="4" t="s">
        <v>16</v>
      </c>
      <c r="I32" s="4">
        <v>2</v>
      </c>
      <c r="J32" s="5" t="str" cm="1">
        <f t="array" aca="1" ref="J32" ca="1">IFERROR(IF(F32&lt;&gt;"",VLOOKUP(F32,INDIRECT(G32 &amp; "!" &amp; H32),I32,FALSE),INDIRECT(G32 &amp; "!" &amp; H32)),"")</f>
        <v>100000000</v>
      </c>
      <c r="K32" s="4" t="b">
        <v>0</v>
      </c>
      <c r="L32" s="5" t="s">
        <v>383</v>
      </c>
      <c r="M32" s="4" t="b">
        <f t="shared" si="0"/>
        <v>0</v>
      </c>
    </row>
    <row r="33" spans="2:13" ht="16" customHeight="1" x14ac:dyDescent="0.3">
      <c r="B33" s="3">
        <v>30</v>
      </c>
      <c r="C33" s="4" t="s">
        <v>43</v>
      </c>
      <c r="D33" s="4" t="s">
        <v>409</v>
      </c>
      <c r="E33" s="4"/>
      <c r="F33" s="4" t="s">
        <v>131</v>
      </c>
      <c r="G33" s="4" t="s">
        <v>15</v>
      </c>
      <c r="H33" s="4" t="s">
        <v>16</v>
      </c>
      <c r="I33" s="4">
        <v>2</v>
      </c>
      <c r="J33" s="5" t="str" cm="1">
        <f t="array" aca="1" ref="J33" ca="1">IFERROR(IF(F33&lt;&gt;"",VLOOKUP(F33,INDIRECT(G33 &amp; "!" &amp; H33),I33,FALSE),INDIRECT(G33 &amp; "!" &amp; H33)),"")</f>
        <v>24</v>
      </c>
      <c r="K33" s="4" t="b">
        <v>0</v>
      </c>
      <c r="L33" s="5" t="s">
        <v>383</v>
      </c>
      <c r="M33" s="4" t="b">
        <f t="shared" si="0"/>
        <v>0</v>
      </c>
    </row>
    <row r="34" spans="2:13" ht="16" customHeight="1" x14ac:dyDescent="0.3">
      <c r="B34" s="3">
        <v>31</v>
      </c>
      <c r="C34" s="4" t="s">
        <v>43</v>
      </c>
      <c r="D34" s="4" t="s">
        <v>410</v>
      </c>
      <c r="E34" s="4"/>
      <c r="F34" s="4" t="s">
        <v>133</v>
      </c>
      <c r="G34" s="4" t="s">
        <v>15</v>
      </c>
      <c r="H34" s="4" t="s">
        <v>16</v>
      </c>
      <c r="I34" s="4">
        <v>2</v>
      </c>
      <c r="J34" s="5" t="str" cm="1">
        <f t="array" aca="1" ref="J34" ca="1">IFERROR(IF(F34&lt;&gt;"",VLOOKUP(F34,INDIRECT(G34 &amp; "!" &amp; H34),I34,FALSE),INDIRECT(G34 &amp; "!" &amp; H34)),"")</f>
        <v>Asia Commercial Bank (ACB)</v>
      </c>
      <c r="K34" s="4" t="b">
        <v>0</v>
      </c>
      <c r="L34" s="5" t="s">
        <v>380</v>
      </c>
      <c r="M34" s="4" t="b">
        <f t="shared" si="0"/>
        <v>0</v>
      </c>
    </row>
    <row r="35" spans="2:13" ht="16" customHeight="1" x14ac:dyDescent="0.3">
      <c r="B35" s="3">
        <v>32</v>
      </c>
      <c r="C35" s="10" t="s">
        <v>43</v>
      </c>
      <c r="D35" s="10" t="s">
        <v>411</v>
      </c>
      <c r="E35" s="10"/>
      <c r="F35" s="10" t="s">
        <v>135</v>
      </c>
      <c r="G35" s="10" t="s">
        <v>15</v>
      </c>
      <c r="H35" s="10" t="s">
        <v>16</v>
      </c>
      <c r="I35" s="10">
        <v>2</v>
      </c>
      <c r="J35" s="11" t="str" cm="1">
        <f t="array" aca="1" ref="J35" ca="1">IFERROR(IF(F35&lt;&gt;"",VLOOKUP(F35,INDIRECT(G35 &amp; "!" &amp; H35),I35,FALSE),INDIRECT(G35 &amp; "!" &amp; H35)),"")</f>
        <v>192486569</v>
      </c>
      <c r="K35" s="10" t="b">
        <v>1</v>
      </c>
      <c r="L35" s="11" t="s">
        <v>380</v>
      </c>
      <c r="M35" s="10" t="b">
        <f t="shared" si="0"/>
        <v>0</v>
      </c>
    </row>
    <row r="36" spans="2:13" ht="16" customHeight="1" x14ac:dyDescent="0.3">
      <c r="B36" s="3">
        <v>33</v>
      </c>
      <c r="C36" s="4" t="s">
        <v>43</v>
      </c>
      <c r="D36" s="4" t="s">
        <v>429</v>
      </c>
      <c r="E36" s="4"/>
      <c r="F36" s="4" t="s">
        <v>137</v>
      </c>
      <c r="G36" s="4" t="s">
        <v>15</v>
      </c>
      <c r="H36" s="4" t="s">
        <v>16</v>
      </c>
      <c r="I36" s="4">
        <v>2</v>
      </c>
      <c r="J36" s="5" cm="1">
        <f t="array" aca="1" ref="J36" ca="1">IFERROR(IF(F36&lt;&gt;"",VLOOKUP(F36,INDIRECT(G36 &amp; "!" &amp; H36),I36,FALSE),INDIRECT(G36 &amp; "!" &amp; H36)),"")</f>
        <v>0</v>
      </c>
      <c r="K36" s="4" t="b">
        <v>0</v>
      </c>
      <c r="L36" s="5" t="s">
        <v>380</v>
      </c>
      <c r="M36" s="4" t="b">
        <f t="shared" si="0"/>
        <v>0</v>
      </c>
    </row>
    <row r="37" spans="2:13" ht="16" customHeight="1" x14ac:dyDescent="0.3">
      <c r="B37" s="3">
        <v>34</v>
      </c>
      <c r="C37" s="4" t="s">
        <v>43</v>
      </c>
      <c r="D37" s="4" t="s">
        <v>413</v>
      </c>
      <c r="E37" s="4"/>
      <c r="F37" s="4" t="s">
        <v>150</v>
      </c>
      <c r="G37" s="4" t="s">
        <v>15</v>
      </c>
      <c r="H37" s="4" t="s">
        <v>16</v>
      </c>
      <c r="I37" s="4">
        <v>2</v>
      </c>
      <c r="J37" s="5" t="str" cm="1">
        <f t="array" aca="1" ref="J37" ca="1">IFERROR(IF(F37&lt;&gt;"",VLOOKUP(F37,INDIRECT(G37 &amp; "!" &amp; H37),I37,FALSE),INDIRECT(G37 &amp; "!" &amp; H37)),"")</f>
        <v>1</v>
      </c>
      <c r="K37" s="4" t="b">
        <v>0</v>
      </c>
      <c r="L37" s="5" t="s">
        <v>383</v>
      </c>
      <c r="M37" s="4" t="b">
        <f t="shared" si="0"/>
        <v>0</v>
      </c>
    </row>
    <row r="38" spans="2:13" ht="16" customHeight="1" x14ac:dyDescent="0.3">
      <c r="B38" s="3">
        <v>35</v>
      </c>
      <c r="C38" s="4" t="s">
        <v>43</v>
      </c>
      <c r="D38" s="4" t="s">
        <v>414</v>
      </c>
      <c r="E38" s="4"/>
      <c r="F38" s="4" t="s">
        <v>152</v>
      </c>
      <c r="G38" s="4" t="s">
        <v>15</v>
      </c>
      <c r="H38" s="4" t="s">
        <v>16</v>
      </c>
      <c r="I38" s="4">
        <v>2</v>
      </c>
      <c r="J38" s="5" t="str" cm="1">
        <f t="array" aca="1" ref="J38" ca="1">IFERROR(IF(F38&lt;&gt;"",VLOOKUP(F38,INDIRECT(G38 &amp; "!" &amp; H38),I38,FALSE),INDIRECT(G38 &amp; "!" &amp; H38)),"")</f>
        <v>2</v>
      </c>
      <c r="K38" s="4" t="b">
        <v>0</v>
      </c>
      <c r="L38" s="5" t="s">
        <v>383</v>
      </c>
      <c r="M38" s="4" t="b">
        <f t="shared" si="0"/>
        <v>0</v>
      </c>
    </row>
    <row r="39" spans="2:13" ht="16" customHeight="1" x14ac:dyDescent="0.3">
      <c r="B39" s="3">
        <v>36</v>
      </c>
      <c r="C39" s="4" t="s">
        <v>43</v>
      </c>
      <c r="D39" s="4" t="s">
        <v>412</v>
      </c>
      <c r="E39" s="4"/>
      <c r="F39" s="4" t="s">
        <v>154</v>
      </c>
      <c r="G39" s="4" t="s">
        <v>15</v>
      </c>
      <c r="H39" s="4" t="s">
        <v>16</v>
      </c>
      <c r="I39" s="4">
        <v>2</v>
      </c>
      <c r="J39" s="5" t="str" cm="1">
        <f t="array" aca="1" ref="J39" ca="1">IFERROR(IF(F39&lt;&gt;"",VLOOKUP(F39,INDIRECT(G39 &amp; "!" &amp; H39),I39,FALSE),INDIRECT(G39 &amp; "!" &amp; H39)),"")</f>
        <v>16000000</v>
      </c>
      <c r="K39" s="4" t="b">
        <v>0</v>
      </c>
      <c r="L39" s="5" t="s">
        <v>383</v>
      </c>
      <c r="M39" s="4" t="b">
        <f t="shared" si="0"/>
        <v>0</v>
      </c>
    </row>
    <row r="40" spans="2:13" ht="16" customHeight="1" x14ac:dyDescent="0.3">
      <c r="B40" s="3">
        <v>37</v>
      </c>
      <c r="C40" s="4" t="s">
        <v>43</v>
      </c>
      <c r="D40" s="4" t="s">
        <v>407</v>
      </c>
      <c r="E40" s="4"/>
      <c r="F40" s="4" t="s">
        <v>156</v>
      </c>
      <c r="G40" s="4" t="s">
        <v>15</v>
      </c>
      <c r="H40" s="4" t="s">
        <v>16</v>
      </c>
      <c r="I40" s="4">
        <v>2</v>
      </c>
      <c r="J40" s="5" t="str" cm="1">
        <f t="array" aca="1" ref="J40" ca="1">IFERROR(IF(F40&lt;&gt;"",VLOOKUP(F40,INDIRECT(G40 &amp; "!" &amp; H40),I40,FALSE),INDIRECT(G40 &amp; "!" &amp; H40)),"")</f>
        <v>Ngưu Gia Thôn</v>
      </c>
      <c r="K40" s="4" t="b">
        <v>1</v>
      </c>
      <c r="L40" s="5" t="s">
        <v>380</v>
      </c>
      <c r="M40" s="4" t="b">
        <f t="shared" si="0"/>
        <v>0</v>
      </c>
    </row>
    <row r="41" spans="2:13" ht="16" customHeight="1" x14ac:dyDescent="0.3">
      <c r="B41" s="3">
        <v>38</v>
      </c>
      <c r="C41" s="4" t="s">
        <v>43</v>
      </c>
      <c r="D41" s="4" t="s">
        <v>415</v>
      </c>
      <c r="E41" s="4"/>
      <c r="F41" s="4" t="s">
        <v>158</v>
      </c>
      <c r="G41" s="4" t="s">
        <v>15</v>
      </c>
      <c r="H41" s="4" t="s">
        <v>16</v>
      </c>
      <c r="I41" s="4">
        <v>2</v>
      </c>
      <c r="J41" s="5" t="str" cm="1">
        <f t="array" aca="1" ref="J41" ca="1">IFERROR(IF(F41&lt;&gt;"",VLOOKUP(F41,INDIRECT(G41 &amp; "!" &amp; H41),I41,FALSE),INDIRECT(G41 &amp; "!" &amp; H41)),"")</f>
        <v>990501 - Toy, products for baby and mom</v>
      </c>
      <c r="K41" s="4" t="b">
        <v>0</v>
      </c>
      <c r="L41" s="5" t="s">
        <v>380</v>
      </c>
      <c r="M41" s="4" t="b">
        <f t="shared" si="0"/>
        <v>0</v>
      </c>
    </row>
    <row r="42" spans="2:13" ht="16" customHeight="1" x14ac:dyDescent="0.3">
      <c r="B42" s="3">
        <v>39</v>
      </c>
      <c r="C42" s="4" t="s">
        <v>43</v>
      </c>
      <c r="D42" s="4" t="s">
        <v>416</v>
      </c>
      <c r="E42" s="4"/>
      <c r="F42" s="4" t="s">
        <v>160</v>
      </c>
      <c r="G42" s="4" t="s">
        <v>15</v>
      </c>
      <c r="H42" s="4" t="s">
        <v>16</v>
      </c>
      <c r="I42" s="4">
        <v>2</v>
      </c>
      <c r="J42" s="5" t="str" cm="1">
        <f t="array" aca="1" ref="J42" ca="1">IFERROR(IF(F42&lt;&gt;"",VLOOKUP(F42,INDIRECT(G42 &amp; "!" &amp; H42),I42,FALSE),INDIRECT(G42 &amp; "!" &amp; H42)),"")</f>
        <v xml:space="preserve">Lazada, </v>
      </c>
      <c r="K42" s="4" t="b">
        <v>0</v>
      </c>
      <c r="L42" s="5" t="s">
        <v>380</v>
      </c>
      <c r="M42" s="4" t="b">
        <f t="shared" si="0"/>
        <v>0</v>
      </c>
    </row>
    <row r="43" spans="2:13" ht="16" customHeight="1" x14ac:dyDescent="0.3">
      <c r="B43" s="3">
        <v>40</v>
      </c>
      <c r="C43" s="4" t="s">
        <v>43</v>
      </c>
      <c r="D43" s="4" t="s">
        <v>417</v>
      </c>
      <c r="E43" s="4"/>
      <c r="F43" s="4" t="s">
        <v>163</v>
      </c>
      <c r="G43" s="4" t="s">
        <v>15</v>
      </c>
      <c r="H43" s="4" t="s">
        <v>16</v>
      </c>
      <c r="I43" s="4">
        <v>2</v>
      </c>
      <c r="J43" s="5" t="str" cm="1">
        <f t="array" aca="1" ref="J43" ca="1">IFERROR(IF(F43&lt;&gt;"",VLOOKUP(F43,INDIRECT(G43 &amp; "!" &amp; H43),I43,FALSE),INDIRECT(G43 &amp; "!" &amp; H43)),"")</f>
        <v>RR10 - Entertainment Business</v>
      </c>
      <c r="K43" s="4" t="b">
        <v>0</v>
      </c>
      <c r="L43" s="5" t="s">
        <v>380</v>
      </c>
      <c r="M43" s="4" t="b">
        <f t="shared" si="0"/>
        <v>0</v>
      </c>
    </row>
    <row r="44" spans="2:13" ht="16" customHeight="1" x14ac:dyDescent="0.3">
      <c r="B44" s="3">
        <v>41</v>
      </c>
      <c r="C44" s="4" t="s">
        <v>43</v>
      </c>
      <c r="D44" s="4" t="s">
        <v>418</v>
      </c>
      <c r="E44" s="4"/>
      <c r="F44" s="4" t="s">
        <v>166</v>
      </c>
      <c r="G44" s="4" t="s">
        <v>15</v>
      </c>
      <c r="H44" s="4" t="s">
        <v>16</v>
      </c>
      <c r="I44" s="4">
        <v>2</v>
      </c>
      <c r="J44" s="5" t="str" cm="1">
        <f t="array" aca="1" ref="J44" ca="1">IFERROR(IF(F44&lt;&gt;"",VLOOKUP(F44,INDIRECT(G44 &amp; "!" &amp; H44),I44,FALSE),INDIRECT(G44 &amp; "!" &amp; H44)),"")</f>
        <v>0934610252</v>
      </c>
      <c r="K44" s="4" t="b">
        <v>1</v>
      </c>
      <c r="L44" s="5" t="s">
        <v>380</v>
      </c>
      <c r="M44" s="4" t="b">
        <f t="shared" si="0"/>
        <v>0</v>
      </c>
    </row>
    <row r="45" spans="2:13" ht="16" customHeight="1" x14ac:dyDescent="0.3">
      <c r="B45" s="3">
        <v>42</v>
      </c>
      <c r="C45" s="4" t="s">
        <v>43</v>
      </c>
      <c r="D45" s="4" t="s">
        <v>419</v>
      </c>
      <c r="E45" s="4"/>
      <c r="F45" s="4" t="s">
        <v>167</v>
      </c>
      <c r="G45" s="4" t="s">
        <v>15</v>
      </c>
      <c r="H45" s="4" t="s">
        <v>16</v>
      </c>
      <c r="I45" s="4">
        <v>2</v>
      </c>
      <c r="J45" s="5" t="str" cm="1">
        <f t="array" aca="1" ref="J45" ca="1">IFERROR(IF(F45&lt;&gt;"",VLOOKUP(F45,INDIRECT(G45 &amp; "!" &amp; H45),I45,FALSE),INDIRECT(G45 &amp; "!" &amp; H45)),"")</f>
        <v>Business owner</v>
      </c>
      <c r="K45" s="4" t="b">
        <v>0</v>
      </c>
      <c r="L45" s="5" t="s">
        <v>380</v>
      </c>
      <c r="M45" s="4" t="b">
        <f t="shared" si="0"/>
        <v>0</v>
      </c>
    </row>
    <row r="46" spans="2:13" ht="16" customHeight="1" x14ac:dyDescent="0.3">
      <c r="B46" s="3">
        <v>43</v>
      </c>
      <c r="C46" s="4" t="s">
        <v>43</v>
      </c>
      <c r="D46" s="4" t="s">
        <v>420</v>
      </c>
      <c r="E46" s="4"/>
      <c r="F46" s="4" t="s">
        <v>169</v>
      </c>
      <c r="G46" s="4" t="s">
        <v>15</v>
      </c>
      <c r="H46" s="4" t="s">
        <v>16</v>
      </c>
      <c r="I46" s="4">
        <v>2</v>
      </c>
      <c r="J46" s="5" t="str" cm="1">
        <f t="array" aca="1" ref="J46" ca="1">IFERROR(IF(F46&lt;&gt;"",VLOOKUP(F46,INDIRECT(G46 &amp; "!" &amp; H46),I46,FALSE),INDIRECT(G46 &amp; "!" &amp; H46)),"")</f>
        <v>No. 99 - Other (Business Income)</v>
      </c>
      <c r="K46" s="4" t="b">
        <v>0</v>
      </c>
      <c r="L46" s="5" t="s">
        <v>380</v>
      </c>
      <c r="M46" s="4" t="b">
        <f t="shared" si="0"/>
        <v>0</v>
      </c>
    </row>
    <row r="47" spans="2:13" ht="16" customHeight="1" x14ac:dyDescent="0.3">
      <c r="B47" s="3">
        <v>44</v>
      </c>
      <c r="C47" s="4" t="s">
        <v>43</v>
      </c>
      <c r="D47" s="4" t="s">
        <v>421</v>
      </c>
      <c r="E47" s="4"/>
      <c r="F47" s="4" t="s">
        <v>171</v>
      </c>
      <c r="G47" s="4" t="s">
        <v>15</v>
      </c>
      <c r="H47" s="4" t="s">
        <v>16</v>
      </c>
      <c r="I47" s="4">
        <v>2</v>
      </c>
      <c r="J47" s="5" t="str" cm="1">
        <f t="array" aca="1" ref="J47" ca="1">IFERROR(IF(F47&lt;&gt;"",VLOOKUP(F47,INDIRECT(G47 &amp; "!" &amp; H47),I47,FALSE),INDIRECT(G47 &amp; "!" &amp; H47)),"")</f>
        <v>VIET NAM</v>
      </c>
      <c r="K47" s="4" t="b">
        <v>0</v>
      </c>
      <c r="L47" s="5" t="s">
        <v>380</v>
      </c>
      <c r="M47" s="4" t="b">
        <f t="shared" si="0"/>
        <v>0</v>
      </c>
    </row>
    <row r="48" spans="2:13" ht="16" customHeight="1" x14ac:dyDescent="0.3">
      <c r="B48" s="3">
        <v>45</v>
      </c>
      <c r="C48" s="4" t="s">
        <v>43</v>
      </c>
      <c r="D48" s="4" t="s">
        <v>422</v>
      </c>
      <c r="E48" s="4"/>
      <c r="F48" s="4" t="s">
        <v>174</v>
      </c>
      <c r="G48" s="4" t="s">
        <v>15</v>
      </c>
      <c r="H48" s="4" t="s">
        <v>16</v>
      </c>
      <c r="I48" s="4">
        <v>2</v>
      </c>
      <c r="J48" s="5" t="str" cm="1">
        <f t="array" aca="1" ref="J48" ca="1">IFERROR(IF(F48&lt;&gt;"",VLOOKUP(F48,INDIRECT(G48 &amp; "!" &amp; H48),I48,FALSE),INDIRECT(G48 &amp; "!" &amp; H48)),"")</f>
        <v>Yes</v>
      </c>
      <c r="K48" s="4" t="b">
        <v>0</v>
      </c>
      <c r="L48" s="5" t="s">
        <v>380</v>
      </c>
      <c r="M48" s="4" t="b">
        <f t="shared" si="0"/>
        <v>0</v>
      </c>
    </row>
    <row r="49" spans="2:13" ht="16" customHeight="1" x14ac:dyDescent="0.3">
      <c r="B49" s="3">
        <v>46</v>
      </c>
      <c r="C49" s="4" t="s">
        <v>43</v>
      </c>
      <c r="D49" s="4" t="s">
        <v>423</v>
      </c>
      <c r="E49" s="4" t="s">
        <v>463</v>
      </c>
      <c r="F49" s="4" t="s">
        <v>26</v>
      </c>
      <c r="G49" s="4" t="s">
        <v>15</v>
      </c>
      <c r="H49" s="4" t="s">
        <v>16</v>
      </c>
      <c r="I49" s="4">
        <v>2</v>
      </c>
      <c r="J49" s="5" t="str" cm="1">
        <f t="array" aca="1" ref="J49" ca="1">IFERROR(IF(F49&lt;&gt;"",VLOOKUP(F49,INDIRECT(G49 &amp; "!" &amp; H49),I49,FALSE),INDIRECT(G49 &amp; "!" &amp; H49)),"")</f>
        <v>12/08/2022 21:03:01</v>
      </c>
      <c r="K49" s="4" t="b">
        <v>0</v>
      </c>
      <c r="L49" s="5" t="s">
        <v>382</v>
      </c>
      <c r="M49" s="4" t="b">
        <f t="shared" si="0"/>
        <v>1</v>
      </c>
    </row>
    <row r="50" spans="2:13" ht="16" customHeight="1" x14ac:dyDescent="0.3">
      <c r="B50" s="3">
        <v>47</v>
      </c>
      <c r="C50" s="4" t="s">
        <v>43</v>
      </c>
      <c r="D50" s="4" t="s">
        <v>424</v>
      </c>
      <c r="E50" s="4"/>
      <c r="F50" s="4" t="s">
        <v>186</v>
      </c>
      <c r="G50" s="4" t="s">
        <v>15</v>
      </c>
      <c r="H50" s="4" t="s">
        <v>16</v>
      </c>
      <c r="I50" s="4">
        <v>2</v>
      </c>
      <c r="J50" s="5" t="str" cm="1">
        <f t="array" aca="1" ref="J50" ca="1">IFERROR(IF(F50&lt;&gt;"",VLOOKUP(F50,INDIRECT(G50 &amp; "!" &amp; H50),I50,FALSE),INDIRECT(G50 &amp; "!" &amp; H50)),"")</f>
        <v>16/08/2022 11:49:31</v>
      </c>
      <c r="K50" s="4" t="b">
        <v>0</v>
      </c>
      <c r="L50" s="5" t="s">
        <v>382</v>
      </c>
      <c r="M50" s="4" t="b">
        <f t="shared" si="0"/>
        <v>0</v>
      </c>
    </row>
    <row r="51" spans="2:13" ht="16" customHeight="1" x14ac:dyDescent="0.3">
      <c r="B51" s="12">
        <v>48</v>
      </c>
      <c r="C51" s="13" t="s">
        <v>43</v>
      </c>
      <c r="D51" s="13" t="s">
        <v>484</v>
      </c>
      <c r="E51" s="13"/>
      <c r="F51" s="13"/>
      <c r="G51" s="13"/>
      <c r="H51" s="13"/>
      <c r="I51" s="13"/>
      <c r="J51" s="14" t="str" cm="1">
        <f t="array" ref="J51">IFERROR(get_environ(42),"")</f>
        <v>danusorn.s</v>
      </c>
      <c r="K51" s="13" t="b">
        <v>1</v>
      </c>
      <c r="L51" s="14" t="s">
        <v>380</v>
      </c>
      <c r="M51" s="13" t="b">
        <f t="shared" si="0"/>
        <v>0</v>
      </c>
    </row>
    <row r="52" spans="2:13" ht="16" customHeight="1" x14ac:dyDescent="0.3">
      <c r="B52" s="12">
        <v>49</v>
      </c>
      <c r="C52" s="13" t="s">
        <v>43</v>
      </c>
      <c r="D52" s="13" t="s">
        <v>485</v>
      </c>
      <c r="E52" s="13"/>
      <c r="F52" s="13"/>
      <c r="G52" s="13"/>
      <c r="H52" s="13"/>
      <c r="I52" s="13"/>
      <c r="J52" s="14" t="str" cm="1">
        <f t="array" ref="J52">IFERROR(get_environ(39),"")</f>
        <v>KASIKORNBANK.COM</v>
      </c>
      <c r="K52" s="13" t="b">
        <v>0</v>
      </c>
      <c r="L52" s="14" t="s">
        <v>380</v>
      </c>
      <c r="M52" s="13" t="b">
        <f t="shared" si="0"/>
        <v>0</v>
      </c>
    </row>
    <row r="53" spans="2:13" ht="16" customHeight="1" x14ac:dyDescent="0.3">
      <c r="B53" s="12">
        <v>50</v>
      </c>
      <c r="C53" s="13" t="s">
        <v>43</v>
      </c>
      <c r="D53" s="13" t="s">
        <v>390</v>
      </c>
      <c r="E53" s="13"/>
      <c r="F53" s="13"/>
      <c r="G53" s="13"/>
      <c r="H53" s="13"/>
      <c r="I53" s="13"/>
      <c r="J53" s="14" t="str" cm="1">
        <f t="array" aca="1" ref="J53" ca="1">_xlfn.TEXTJOIN(", ",TRUE,IF(INDIRECT("Q4:Q100")&gt;0 + ISNUMBER(INDIRECT("Q4:Q100")),INDIRECT("P4:P100"),""))</f>
        <v>N005USL, I001USL</v>
      </c>
      <c r="K53" s="13" t="b">
        <v>0</v>
      </c>
      <c r="L53" s="14" t="s">
        <v>380</v>
      </c>
      <c r="M53" s="13" t="b">
        <f t="shared" si="0"/>
        <v>0</v>
      </c>
    </row>
    <row r="54" spans="2:13" ht="16" customHeight="1" x14ac:dyDescent="0.3">
      <c r="B54" s="12">
        <v>51</v>
      </c>
      <c r="C54" s="13" t="s">
        <v>43</v>
      </c>
      <c r="D54" s="13" t="s">
        <v>389</v>
      </c>
      <c r="E54" s="13"/>
      <c r="F54" s="13"/>
      <c r="G54" s="13"/>
      <c r="H54" s="13"/>
      <c r="I54" s="13"/>
      <c r="J54" s="14" t="str" cm="1">
        <f t="array" aca="1" ref="J54" ca="1">_xlfn.TEXTJOIN(", ",TRUE,IF(INDIRECT("Q4:Q100")&gt;0 + ISNUMBER(INDIRECT("Q4:Q100")),INDIRECT("Q4:Q100"),""))</f>
        <v>100, 200</v>
      </c>
      <c r="K54" s="13" t="b">
        <v>0</v>
      </c>
      <c r="L54" s="14" t="s">
        <v>380</v>
      </c>
      <c r="M54" s="13" t="b">
        <f t="shared" si="0"/>
        <v>0</v>
      </c>
    </row>
    <row r="55" spans="2:13" ht="16" customHeight="1" x14ac:dyDescent="0.3">
      <c r="B55" s="12">
        <v>52</v>
      </c>
      <c r="C55" s="13" t="s">
        <v>43</v>
      </c>
      <c r="D55" s="13" t="s">
        <v>391</v>
      </c>
      <c r="E55" s="13"/>
      <c r="F55" s="13"/>
      <c r="G55" s="13"/>
      <c r="H55" s="13"/>
      <c r="I55" s="13"/>
      <c r="J55" s="14" t="s">
        <v>464</v>
      </c>
      <c r="K55" s="13" t="b">
        <v>0</v>
      </c>
      <c r="L55" s="14" t="s">
        <v>380</v>
      </c>
      <c r="M55" s="13" t="b">
        <f t="shared" si="0"/>
        <v>0</v>
      </c>
    </row>
    <row r="56" spans="2:13" ht="16" customHeight="1" x14ac:dyDescent="0.3">
      <c r="B56" s="3">
        <v>53</v>
      </c>
      <c r="C56" s="4" t="s">
        <v>388</v>
      </c>
      <c r="D56" s="4" t="s">
        <v>44</v>
      </c>
      <c r="E56" s="4"/>
      <c r="F56" s="4"/>
      <c r="G56" s="4" t="s">
        <v>11</v>
      </c>
      <c r="H56" s="4" t="s">
        <v>45</v>
      </c>
      <c r="I56" s="4"/>
      <c r="J56" s="5" t="str" cm="1">
        <f t="array" aca="1" ref="J56" ca="1">IFERROR(IF(F56&lt;&gt;"",VLOOKUP(F56,INDIRECT(G56 &amp; "!" &amp; H56),I56,FALSE),INDIRECT(G56 &amp; "!" &amp; H56)),"")</f>
        <v>HB220812000068</v>
      </c>
      <c r="K56" s="4" t="b">
        <v>0</v>
      </c>
      <c r="L56" s="5" t="s">
        <v>380</v>
      </c>
      <c r="M56" s="4" t="b">
        <f t="shared" si="0"/>
        <v>0</v>
      </c>
    </row>
    <row r="57" spans="2:13" ht="16" customHeight="1" x14ac:dyDescent="0.3">
      <c r="B57" s="3">
        <v>54</v>
      </c>
      <c r="C57" s="4" t="s">
        <v>388</v>
      </c>
      <c r="D57" s="4" t="s">
        <v>431</v>
      </c>
      <c r="E57" s="4"/>
      <c r="F57" s="4" t="s">
        <v>200</v>
      </c>
      <c r="G57" s="4" t="s">
        <v>24</v>
      </c>
      <c r="H57" s="4" t="s">
        <v>430</v>
      </c>
      <c r="I57" s="4">
        <v>4</v>
      </c>
      <c r="J57" s="5" t="str" cm="1">
        <f t="array" aca="1" ref="J57" ca="1">IFERROR(IF(F57&lt;&gt;"",VLOOKUP(F57,INDIRECT(G57 &amp; "!" &amp; H57),I57,FALSE),INDIRECT(G57 &amp; "!" &amp; H57)),"")</f>
        <v>7935572903</v>
      </c>
      <c r="K57" s="4" t="b">
        <v>1</v>
      </c>
      <c r="L57" s="5" t="s">
        <v>380</v>
      </c>
      <c r="M57" s="4" t="b">
        <f t="shared" si="0"/>
        <v>0</v>
      </c>
    </row>
    <row r="58" spans="2:13" ht="16" customHeight="1" x14ac:dyDescent="0.3">
      <c r="B58" s="3">
        <v>55</v>
      </c>
      <c r="C58" s="4" t="s">
        <v>388</v>
      </c>
      <c r="D58" s="4" t="s">
        <v>9</v>
      </c>
      <c r="E58" s="4"/>
      <c r="F58" s="4" t="s">
        <v>202</v>
      </c>
      <c r="G58" s="4" t="s">
        <v>24</v>
      </c>
      <c r="H58" s="4" t="s">
        <v>430</v>
      </c>
      <c r="I58" s="4">
        <v>4</v>
      </c>
      <c r="J58" s="5" t="str" cm="1">
        <f t="array" aca="1" ref="J58" ca="1">IFERROR(IF(F58&lt;&gt;"",VLOOKUP(F58,INDIRECT(G58 &amp; "!" &amp; H58),I58,FALSE),INDIRECT(G58 &amp; "!" &amp; H58)),"")</f>
        <v>079090006977</v>
      </c>
      <c r="K58" s="4" t="b">
        <v>1</v>
      </c>
      <c r="L58" s="5" t="s">
        <v>380</v>
      </c>
      <c r="M58" s="4" t="b">
        <f t="shared" si="0"/>
        <v>0</v>
      </c>
    </row>
    <row r="59" spans="2:13" ht="16" customHeight="1" x14ac:dyDescent="0.3">
      <c r="B59" s="3">
        <v>56</v>
      </c>
      <c r="C59" s="4" t="s">
        <v>388</v>
      </c>
      <c r="D59" s="4" t="s">
        <v>432</v>
      </c>
      <c r="E59" s="4"/>
      <c r="F59" s="4" t="s">
        <v>203</v>
      </c>
      <c r="G59" s="4" t="s">
        <v>24</v>
      </c>
      <c r="H59" s="4" t="s">
        <v>430</v>
      </c>
      <c r="I59" s="4">
        <v>4</v>
      </c>
      <c r="J59" s="5" cm="1">
        <f t="array" aca="1" ref="J59" ca="1">IFERROR(IF(F59&lt;&gt;"",VLOOKUP(F59,INDIRECT(G59 &amp; "!" &amp; H59),I59,FALSE),INDIRECT(G59 &amp; "!" &amp; H59)),"")</f>
        <v>44789</v>
      </c>
      <c r="K59" s="4" t="b">
        <v>0</v>
      </c>
      <c r="L59" s="5" t="s">
        <v>382</v>
      </c>
      <c r="M59" s="4" t="b">
        <f t="shared" si="0"/>
        <v>0</v>
      </c>
    </row>
    <row r="60" spans="2:13" ht="16" customHeight="1" x14ac:dyDescent="0.3">
      <c r="B60" s="3">
        <v>57</v>
      </c>
      <c r="C60" s="4" t="s">
        <v>388</v>
      </c>
      <c r="D60" s="4" t="s">
        <v>433</v>
      </c>
      <c r="E60" s="4"/>
      <c r="F60" s="4" t="s">
        <v>205</v>
      </c>
      <c r="G60" s="4" t="s">
        <v>24</v>
      </c>
      <c r="H60" s="4" t="s">
        <v>430</v>
      </c>
      <c r="I60" s="4">
        <v>4</v>
      </c>
      <c r="J60" s="5" cm="1">
        <f t="array" aca="1" ref="J60" ca="1">IFERROR(IF(F60&lt;&gt;"",VLOOKUP(F60,INDIRECT(G60 &amp; "!" &amp; H60),I60,FALSE),INDIRECT(G60 &amp; "!" &amp; H60)),"")</f>
        <v>646</v>
      </c>
      <c r="K60" s="4" t="b">
        <v>0</v>
      </c>
      <c r="L60" s="5" t="s">
        <v>380</v>
      </c>
      <c r="M60" s="4" t="b">
        <f t="shared" si="0"/>
        <v>0</v>
      </c>
    </row>
    <row r="61" spans="2:13" ht="16" customHeight="1" x14ac:dyDescent="0.3">
      <c r="B61" s="3">
        <v>58</v>
      </c>
      <c r="C61" s="4" t="s">
        <v>388</v>
      </c>
      <c r="D61" s="4" t="s">
        <v>434</v>
      </c>
      <c r="E61" s="4" t="s">
        <v>23</v>
      </c>
      <c r="F61" s="4" t="s">
        <v>207</v>
      </c>
      <c r="G61" s="4" t="s">
        <v>24</v>
      </c>
      <c r="H61" s="4" t="s">
        <v>430</v>
      </c>
      <c r="I61" s="4">
        <v>4</v>
      </c>
      <c r="J61" s="5" cm="1">
        <f t="array" aca="1" ref="J61" ca="1">IFERROR(IF(F61&lt;&gt;"",VLOOKUP(F61,INDIRECT(G61 &amp; "!" &amp; H61),I61,FALSE),INDIRECT(G61 &amp; "!" &amp; H61)),"")</f>
        <v>1</v>
      </c>
      <c r="K61" s="4" t="b">
        <v>0</v>
      </c>
      <c r="L61" s="5" t="s">
        <v>381</v>
      </c>
      <c r="M61" s="4" t="b">
        <f t="shared" si="0"/>
        <v>1</v>
      </c>
    </row>
    <row r="62" spans="2:13" ht="16" customHeight="1" x14ac:dyDescent="0.3">
      <c r="B62" s="3">
        <v>59</v>
      </c>
      <c r="C62" s="4" t="s">
        <v>388</v>
      </c>
      <c r="D62" s="4" t="s">
        <v>435</v>
      </c>
      <c r="E62" s="4"/>
      <c r="F62" s="4" t="s">
        <v>208</v>
      </c>
      <c r="G62" s="4" t="s">
        <v>24</v>
      </c>
      <c r="H62" s="4" t="s">
        <v>430</v>
      </c>
      <c r="I62" s="4">
        <v>4</v>
      </c>
      <c r="J62" s="5" cm="1">
        <f t="array" aca="1" ref="J62" ca="1">IFERROR(IF(F62&lt;&gt;"",VLOOKUP(F62,INDIRECT(G62 &amp; "!" &amp; H62),I62,FALSE),INDIRECT(G62 &amp; "!" &amp; H62)),"")</f>
        <v>44764</v>
      </c>
      <c r="K62" s="4" t="b">
        <v>0</v>
      </c>
      <c r="L62" s="5" t="s">
        <v>382</v>
      </c>
      <c r="M62" s="4" t="b">
        <f t="shared" si="0"/>
        <v>0</v>
      </c>
    </row>
    <row r="63" spans="2:13" ht="16" customHeight="1" x14ac:dyDescent="0.3">
      <c r="B63" s="3">
        <v>60</v>
      </c>
      <c r="C63" s="4" t="s">
        <v>388</v>
      </c>
      <c r="D63" s="4" t="s">
        <v>436</v>
      </c>
      <c r="E63" s="4"/>
      <c r="F63" s="4" t="s">
        <v>209</v>
      </c>
      <c r="G63" s="4" t="s">
        <v>24</v>
      </c>
      <c r="H63" s="4" t="s">
        <v>430</v>
      </c>
      <c r="I63" s="4">
        <v>4</v>
      </c>
      <c r="J63" s="5" cm="1">
        <f t="array" aca="1" ref="J63" ca="1">IFERROR(IF(F63&lt;&gt;"",VLOOKUP(F63,INDIRECT(G63 &amp; "!" &amp; H63),I63,FALSE),INDIRECT(G63 &amp; "!" &amp; H63)),"")</f>
        <v>94</v>
      </c>
      <c r="K63" s="4" t="b">
        <v>0</v>
      </c>
      <c r="L63" s="5" t="s">
        <v>381</v>
      </c>
      <c r="M63" s="4" t="b">
        <f t="shared" si="0"/>
        <v>0</v>
      </c>
    </row>
    <row r="64" spans="2:13" ht="16" customHeight="1" x14ac:dyDescent="0.3">
      <c r="B64" s="3">
        <v>61</v>
      </c>
      <c r="C64" s="4" t="s">
        <v>388</v>
      </c>
      <c r="D64" s="4" t="s">
        <v>437</v>
      </c>
      <c r="E64" s="4"/>
      <c r="F64" s="4" t="s">
        <v>212</v>
      </c>
      <c r="G64" s="4" t="s">
        <v>24</v>
      </c>
      <c r="H64" s="4" t="s">
        <v>430</v>
      </c>
      <c r="I64" s="4">
        <v>4</v>
      </c>
      <c r="J64" s="5" cm="1">
        <f t="array" aca="1" ref="J64" ca="1">IFERROR(IF(F64&lt;&gt;"",VLOOKUP(F64,INDIRECT(G64 &amp; "!" &amp; H64),I64,FALSE),INDIRECT(G64 &amp; "!" &amp; H64)),"")</f>
        <v>3</v>
      </c>
      <c r="K64" s="4" t="b">
        <v>0</v>
      </c>
      <c r="L64" s="5" t="s">
        <v>381</v>
      </c>
      <c r="M64" s="4" t="b">
        <f t="shared" si="0"/>
        <v>0</v>
      </c>
    </row>
    <row r="65" spans="2:13" ht="16" customHeight="1" x14ac:dyDescent="0.3">
      <c r="B65" s="3">
        <v>62</v>
      </c>
      <c r="C65" s="4" t="s">
        <v>388</v>
      </c>
      <c r="D65" s="4" t="s">
        <v>438</v>
      </c>
      <c r="E65" s="4"/>
      <c r="F65" s="4" t="s">
        <v>213</v>
      </c>
      <c r="G65" s="4" t="s">
        <v>24</v>
      </c>
      <c r="H65" s="4" t="s">
        <v>430</v>
      </c>
      <c r="I65" s="4">
        <v>4</v>
      </c>
      <c r="J65" s="5" cm="1">
        <f t="array" aca="1" ref="J65" ca="1">IFERROR(IF(F65&lt;&gt;"",VLOOKUP(F65,INDIRECT(G65 &amp; "!" &amp; H65),I65,FALSE),INDIRECT(G65 &amp; "!" &amp; H65)),"")</f>
        <v>3</v>
      </c>
      <c r="K65" s="4" t="b">
        <v>0</v>
      </c>
      <c r="L65" s="5" t="s">
        <v>381</v>
      </c>
      <c r="M65" s="4" t="b">
        <f t="shared" si="0"/>
        <v>0</v>
      </c>
    </row>
    <row r="66" spans="2:13" ht="16" customHeight="1" x14ac:dyDescent="0.3">
      <c r="B66" s="3">
        <v>63</v>
      </c>
      <c r="C66" s="4" t="s">
        <v>388</v>
      </c>
      <c r="D66" s="4" t="s">
        <v>439</v>
      </c>
      <c r="E66" s="4" t="s">
        <v>25</v>
      </c>
      <c r="F66" s="4" t="s">
        <v>214</v>
      </c>
      <c r="G66" s="4" t="s">
        <v>24</v>
      </c>
      <c r="H66" s="4" t="s">
        <v>430</v>
      </c>
      <c r="I66" s="4">
        <v>4</v>
      </c>
      <c r="J66" s="5" cm="1">
        <f t="array" aca="1" ref="J66" ca="1">IFERROR(IF(F66&lt;&gt;"",VLOOKUP(F66,INDIRECT(G66 &amp; "!" &amp; H66),I66,FALSE),INDIRECT(G66 &amp; "!" &amp; H66)),"")</f>
        <v>5</v>
      </c>
      <c r="K66" s="4" t="b">
        <v>0</v>
      </c>
      <c r="L66" s="5" t="s">
        <v>381</v>
      </c>
      <c r="M66" s="4" t="b">
        <f t="shared" si="0"/>
        <v>1</v>
      </c>
    </row>
    <row r="67" spans="2:13" ht="16" customHeight="1" x14ac:dyDescent="0.3">
      <c r="B67" s="3">
        <v>64</v>
      </c>
      <c r="C67" s="4" t="s">
        <v>388</v>
      </c>
      <c r="D67" s="4" t="s">
        <v>440</v>
      </c>
      <c r="E67" s="4"/>
      <c r="F67" s="4" t="s">
        <v>215</v>
      </c>
      <c r="G67" s="4" t="s">
        <v>24</v>
      </c>
      <c r="H67" s="4" t="s">
        <v>430</v>
      </c>
      <c r="I67" s="4">
        <v>4</v>
      </c>
      <c r="J67" s="5" cm="1">
        <f t="array" aca="1" ref="J67" ca="1">IFERROR(IF(F67&lt;&gt;"",VLOOKUP(F67,INDIRECT(G67 &amp; "!" &amp; H67),I67,FALSE),INDIRECT(G67 &amp; "!" &amp; H67)),"")</f>
        <v>6</v>
      </c>
      <c r="K67" s="4" t="b">
        <v>0</v>
      </c>
      <c r="L67" s="5" t="s">
        <v>381</v>
      </c>
      <c r="M67" s="4" t="b">
        <f t="shared" si="0"/>
        <v>0</v>
      </c>
    </row>
    <row r="68" spans="2:13" ht="16" customHeight="1" x14ac:dyDescent="0.3">
      <c r="B68" s="3">
        <v>65</v>
      </c>
      <c r="C68" s="4" t="s">
        <v>388</v>
      </c>
      <c r="D68" s="4" t="s">
        <v>441</v>
      </c>
      <c r="E68" s="4"/>
      <c r="F68" s="4" t="s">
        <v>230</v>
      </c>
      <c r="G68" s="4" t="s">
        <v>24</v>
      </c>
      <c r="H68" s="4" t="s">
        <v>430</v>
      </c>
      <c r="I68" s="4">
        <v>4</v>
      </c>
      <c r="J68" s="5" cm="1">
        <f t="array" aca="1" ref="J68" ca="1">IFERROR(IF(F68&lt;&gt;"",VLOOKUP(F68,INDIRECT(G68 &amp; "!" &amp; H68),I68,FALSE),INDIRECT(G68 &amp; "!" &amp; H68)),"")</f>
        <v>140</v>
      </c>
      <c r="K68" s="4" t="b">
        <v>0</v>
      </c>
      <c r="L68" s="5" t="s">
        <v>383</v>
      </c>
      <c r="M68" s="4" t="b">
        <f t="shared" ref="M68:M87" si="1">ISBLANK(E68)=FALSE</f>
        <v>0</v>
      </c>
    </row>
    <row r="69" spans="2:13" ht="16" customHeight="1" x14ac:dyDescent="0.3">
      <c r="B69" s="3">
        <v>66</v>
      </c>
      <c r="C69" s="4" t="s">
        <v>388</v>
      </c>
      <c r="D69" s="4" t="s">
        <v>442</v>
      </c>
      <c r="E69" s="4"/>
      <c r="F69" s="4" t="s">
        <v>232</v>
      </c>
      <c r="G69" s="4" t="s">
        <v>24</v>
      </c>
      <c r="H69" s="4" t="s">
        <v>430</v>
      </c>
      <c r="I69" s="4">
        <v>4</v>
      </c>
      <c r="J69" s="5" cm="1">
        <f t="array" aca="1" ref="J69" ca="1">IFERROR(IF(F69&lt;&gt;"",VLOOKUP(F69,INDIRECT(G69 &amp; "!" &amp; H69),I69,FALSE),INDIRECT(G69 &amp; "!" &amp; H69)),"")</f>
        <v>89</v>
      </c>
      <c r="K69" s="4" t="b">
        <v>0</v>
      </c>
      <c r="L69" s="5" t="s">
        <v>383</v>
      </c>
      <c r="M69" s="4" t="b">
        <f t="shared" si="1"/>
        <v>0</v>
      </c>
    </row>
    <row r="70" spans="2:13" ht="16" customHeight="1" x14ac:dyDescent="0.3">
      <c r="B70" s="3">
        <v>67</v>
      </c>
      <c r="C70" s="4" t="s">
        <v>388</v>
      </c>
      <c r="D70" s="4" t="s">
        <v>452</v>
      </c>
      <c r="E70" s="4"/>
      <c r="F70" s="4"/>
      <c r="G70" s="4" t="s">
        <v>24</v>
      </c>
      <c r="H70" s="4" t="s">
        <v>386</v>
      </c>
      <c r="I70" s="4"/>
      <c r="J70" s="5" cm="1">
        <f t="array" aca="1" ref="J70" ca="1">IFERROR(IF(F70&lt;&gt;"",VLOOKUP(F70,INDIRECT(G70 &amp; "!" &amp; H70),I70,FALSE),INDIRECT(G70 &amp; "!" &amp; H70)),"")</f>
        <v>0</v>
      </c>
      <c r="K70" s="4" t="b">
        <v>0</v>
      </c>
      <c r="L70" s="5" t="s">
        <v>381</v>
      </c>
      <c r="M70" s="4" t="b">
        <f t="shared" si="1"/>
        <v>0</v>
      </c>
    </row>
    <row r="71" spans="2:13" ht="16" customHeight="1" x14ac:dyDescent="0.3">
      <c r="B71" s="3">
        <v>68</v>
      </c>
      <c r="C71" s="4" t="s">
        <v>388</v>
      </c>
      <c r="D71" s="4" t="s">
        <v>451</v>
      </c>
      <c r="E71" s="4"/>
      <c r="F71" s="4"/>
      <c r="G71" s="4" t="s">
        <v>24</v>
      </c>
      <c r="H71" s="4" t="s">
        <v>387</v>
      </c>
      <c r="I71" s="4"/>
      <c r="J71" s="5" cm="1">
        <f t="array" aca="1" ref="J71" ca="1">IFERROR(IF(F71&lt;&gt;"",VLOOKUP(F71,INDIRECT(G71 &amp; "!" &amp; H71),I71,FALSE),INDIRECT(G71 &amp; "!" &amp; H71)),"")</f>
        <v>0</v>
      </c>
      <c r="K71" s="4" t="b">
        <v>0</v>
      </c>
      <c r="L71" s="5" t="s">
        <v>381</v>
      </c>
      <c r="M71" s="4" t="b">
        <f t="shared" si="1"/>
        <v>0</v>
      </c>
    </row>
    <row r="72" spans="2:13" ht="16" customHeight="1" x14ac:dyDescent="0.3">
      <c r="B72" s="3">
        <v>69</v>
      </c>
      <c r="C72" s="4" t="s">
        <v>388</v>
      </c>
      <c r="D72" s="4" t="s">
        <v>447</v>
      </c>
      <c r="E72" s="4"/>
      <c r="F72" s="4" t="s">
        <v>245</v>
      </c>
      <c r="G72" s="4" t="s">
        <v>24</v>
      </c>
      <c r="H72" s="4" t="s">
        <v>430</v>
      </c>
      <c r="I72" s="4">
        <v>4</v>
      </c>
      <c r="J72" s="5" cm="1">
        <f t="array" aca="1" ref="J72" ca="1">IFERROR(IF(F72&lt;&gt;"",VLOOKUP(F72,INDIRECT(G72 &amp; "!" &amp; H72),I72,FALSE),INDIRECT(G72 &amp; "!" &amp; H72)),"")</f>
        <v>0</v>
      </c>
      <c r="K72" s="4" t="b">
        <v>0</v>
      </c>
      <c r="L72" s="5" t="s">
        <v>381</v>
      </c>
      <c r="M72" s="4" t="b">
        <f t="shared" si="1"/>
        <v>0</v>
      </c>
    </row>
    <row r="73" spans="2:13" ht="16" customHeight="1" x14ac:dyDescent="0.3">
      <c r="B73" s="3">
        <v>70</v>
      </c>
      <c r="C73" s="4" t="s">
        <v>388</v>
      </c>
      <c r="D73" s="4" t="s">
        <v>444</v>
      </c>
      <c r="E73" s="4"/>
      <c r="F73" s="4" t="s">
        <v>231</v>
      </c>
      <c r="G73" s="4" t="s">
        <v>24</v>
      </c>
      <c r="H73" s="4" t="s">
        <v>443</v>
      </c>
      <c r="I73" s="4">
        <v>5</v>
      </c>
      <c r="J73" s="5" cm="1">
        <f t="array" aca="1" ref="J73" ca="1">IFERROR(IF(F73&lt;&gt;"",VLOOKUP(F73,INDIRECT(G73 &amp; "!" &amp; H73),I73,FALSE),INDIRECT(G73 &amp; "!" &amp; H73)),"")</f>
        <v>4</v>
      </c>
      <c r="K73" s="4" t="b">
        <v>0</v>
      </c>
      <c r="L73" s="5" t="s">
        <v>381</v>
      </c>
      <c r="M73" s="4" t="b">
        <f t="shared" si="1"/>
        <v>0</v>
      </c>
    </row>
    <row r="74" spans="2:13" ht="16" customHeight="1" x14ac:dyDescent="0.3">
      <c r="B74" s="3">
        <v>71</v>
      </c>
      <c r="C74" s="4" t="s">
        <v>388</v>
      </c>
      <c r="D74" s="4" t="s">
        <v>445</v>
      </c>
      <c r="E74" s="4"/>
      <c r="F74" s="4" t="s">
        <v>233</v>
      </c>
      <c r="G74" s="4" t="s">
        <v>24</v>
      </c>
      <c r="H74" s="4" t="s">
        <v>443</v>
      </c>
      <c r="I74" s="4">
        <v>5</v>
      </c>
      <c r="J74" s="5" cm="1">
        <f t="array" aca="1" ref="J74" ca="1">IFERROR(IF(F74&lt;&gt;"",VLOOKUP(F74,INDIRECT(G74 &amp; "!" &amp; H74),I74,FALSE),INDIRECT(G74 &amp; "!" &amp; H74)),"")</f>
        <v>4</v>
      </c>
      <c r="K74" s="4" t="b">
        <v>0</v>
      </c>
      <c r="L74" s="5" t="s">
        <v>381</v>
      </c>
      <c r="M74" s="4" t="b">
        <f t="shared" si="1"/>
        <v>0</v>
      </c>
    </row>
    <row r="75" spans="2:13" ht="16" customHeight="1" x14ac:dyDescent="0.3">
      <c r="B75" s="3">
        <v>72</v>
      </c>
      <c r="C75" s="4" t="s">
        <v>388</v>
      </c>
      <c r="D75" s="4" t="s">
        <v>450</v>
      </c>
      <c r="E75" s="4"/>
      <c r="F75" s="4" t="s">
        <v>240</v>
      </c>
      <c r="G75" s="4" t="s">
        <v>24</v>
      </c>
      <c r="H75" s="4" t="s">
        <v>446</v>
      </c>
      <c r="I75" s="4">
        <v>4</v>
      </c>
      <c r="J75" s="5" t="str" cm="1">
        <f t="array" aca="1" ref="J75" ca="1">IFERROR(IF(F75&lt;&gt;"",VLOOKUP(F75,INDIRECT(G75 &amp; "!" &amp; H75),I75,FALSE),INDIRECT(G75 &amp; "!" &amp; H75)),"")</f>
        <v>Not Available</v>
      </c>
      <c r="K75" s="4" t="b">
        <v>0</v>
      </c>
      <c r="L75" s="5" t="s">
        <v>381</v>
      </c>
      <c r="M75" s="4" t="b">
        <f t="shared" si="1"/>
        <v>0</v>
      </c>
    </row>
    <row r="76" spans="2:13" ht="16" customHeight="1" x14ac:dyDescent="0.3">
      <c r="B76" s="3">
        <v>73</v>
      </c>
      <c r="C76" s="4" t="s">
        <v>388</v>
      </c>
      <c r="D76" s="4" t="s">
        <v>449</v>
      </c>
      <c r="E76" s="4"/>
      <c r="F76" s="4" t="s">
        <v>242</v>
      </c>
      <c r="G76" s="4" t="s">
        <v>24</v>
      </c>
      <c r="H76" s="4" t="s">
        <v>446</v>
      </c>
      <c r="I76" s="4">
        <v>4</v>
      </c>
      <c r="J76" s="5" t="str" cm="1">
        <f t="array" aca="1" ref="J76" ca="1">IFERROR(IF(F76&lt;&gt;"",VLOOKUP(F76,INDIRECT(G76 &amp; "!" &amp; H76),I76,FALSE),INDIRECT(G76 &amp; "!" &amp; H76)),"")</f>
        <v>Not Available</v>
      </c>
      <c r="K76" s="4" t="b">
        <v>0</v>
      </c>
      <c r="L76" s="5" t="s">
        <v>381</v>
      </c>
      <c r="M76" s="4" t="b">
        <f t="shared" si="1"/>
        <v>0</v>
      </c>
    </row>
    <row r="77" spans="2:13" ht="16" customHeight="1" x14ac:dyDescent="0.3">
      <c r="B77" s="3">
        <v>74</v>
      </c>
      <c r="C77" s="4" t="s">
        <v>388</v>
      </c>
      <c r="D77" s="4" t="s">
        <v>448</v>
      </c>
      <c r="E77" s="4"/>
      <c r="F77" s="4" t="s">
        <v>244</v>
      </c>
      <c r="G77" s="4" t="s">
        <v>24</v>
      </c>
      <c r="H77" s="4" t="s">
        <v>446</v>
      </c>
      <c r="I77" s="4">
        <v>4</v>
      </c>
      <c r="J77" s="5" t="str" cm="1">
        <f t="array" aca="1" ref="J77" ca="1">IFERROR(IF(F77&lt;&gt;"",VLOOKUP(F77,INDIRECT(G77 &amp; "!" &amp; H77),I77,FALSE),INDIRECT(G77 &amp; "!" &amp; H77)),"")</f>
        <v/>
      </c>
      <c r="K77" s="4" t="b">
        <v>0</v>
      </c>
      <c r="L77" s="5" t="s">
        <v>381</v>
      </c>
      <c r="M77" s="4" t="b">
        <f t="shared" si="1"/>
        <v>0</v>
      </c>
    </row>
    <row r="78" spans="2:13" ht="16" customHeight="1" x14ac:dyDescent="0.3">
      <c r="B78" s="3">
        <v>75</v>
      </c>
      <c r="C78" s="4" t="s">
        <v>388</v>
      </c>
      <c r="D78" s="4" t="s">
        <v>458</v>
      </c>
      <c r="E78" s="4"/>
      <c r="F78" s="4"/>
      <c r="G78" s="4" t="s">
        <v>24</v>
      </c>
      <c r="H78" s="4" t="s">
        <v>384</v>
      </c>
      <c r="I78" s="4"/>
      <c r="J78" s="5" cm="1">
        <f t="array" aca="1" ref="J78" ca="1">IFERROR(IF(F78&lt;&gt;"",VLOOKUP(F78,INDIRECT(G78 &amp; "!" &amp; H78),I78,FALSE),INDIRECT(G78 &amp; "!" &amp; H78)),"")</f>
        <v>1</v>
      </c>
      <c r="K78" s="4" t="b">
        <v>0</v>
      </c>
      <c r="L78" s="5" t="s">
        <v>381</v>
      </c>
      <c r="M78" s="4" t="b">
        <f t="shared" si="1"/>
        <v>0</v>
      </c>
    </row>
    <row r="79" spans="2:13" ht="16" customHeight="1" x14ac:dyDescent="0.3">
      <c r="B79" s="3">
        <v>76</v>
      </c>
      <c r="C79" s="4" t="s">
        <v>388</v>
      </c>
      <c r="D79" s="4" t="s">
        <v>459</v>
      </c>
      <c r="E79" s="4"/>
      <c r="F79" s="4"/>
      <c r="G79" s="4" t="s">
        <v>24</v>
      </c>
      <c r="H79" s="4" t="s">
        <v>453</v>
      </c>
      <c r="I79" s="4"/>
      <c r="J79" s="5" cm="1">
        <f t="array" aca="1" ref="J79" ca="1">IFERROR(IF(F79&lt;&gt;"",VLOOKUP(F79,INDIRECT(G79 &amp; "!" &amp; H79),I79,FALSE),INDIRECT(G79 &amp; "!" &amp; H79)),"")</f>
        <v>8</v>
      </c>
      <c r="K79" s="4" t="b">
        <v>0</v>
      </c>
      <c r="L79" s="5" t="s">
        <v>381</v>
      </c>
      <c r="M79" s="4" t="b">
        <f t="shared" si="1"/>
        <v>0</v>
      </c>
    </row>
    <row r="80" spans="2:13" ht="16" customHeight="1" x14ac:dyDescent="0.3">
      <c r="B80" s="3">
        <v>77</v>
      </c>
      <c r="C80" s="4" t="s">
        <v>388</v>
      </c>
      <c r="D80" s="4" t="s">
        <v>457</v>
      </c>
      <c r="E80" s="4"/>
      <c r="F80" s="4"/>
      <c r="G80" s="4" t="s">
        <v>24</v>
      </c>
      <c r="H80" s="4" t="s">
        <v>454</v>
      </c>
      <c r="I80" s="4"/>
      <c r="J80" s="5" cm="1">
        <f t="array" aca="1" ref="J80" ca="1">IFERROR(IF(F80&lt;&gt;"",VLOOKUP(F80,INDIRECT(G80 &amp; "!" &amp; H80),I80,FALSE),INDIRECT(G80 &amp; "!" &amp; H80)),"")</f>
        <v>1</v>
      </c>
      <c r="K80" s="4" t="b">
        <v>0</v>
      </c>
      <c r="L80" s="5" t="s">
        <v>381</v>
      </c>
      <c r="M80" s="4" t="b">
        <f t="shared" si="1"/>
        <v>0</v>
      </c>
    </row>
    <row r="81" spans="2:13" ht="16" customHeight="1" x14ac:dyDescent="0.3">
      <c r="B81" s="3">
        <v>78</v>
      </c>
      <c r="C81" s="4" t="s">
        <v>388</v>
      </c>
      <c r="D81" s="4" t="s">
        <v>460</v>
      </c>
      <c r="E81" s="4"/>
      <c r="F81" s="4"/>
      <c r="G81" s="4" t="s">
        <v>24</v>
      </c>
      <c r="H81" s="4" t="s">
        <v>455</v>
      </c>
      <c r="I81" s="4"/>
      <c r="J81" s="5" cm="1">
        <f t="array" aca="1" ref="J81" ca="1">IFERROR(IF(F81&lt;&gt;"",VLOOKUP(F81,INDIRECT(G81 &amp; "!" &amp; H81),I81,FALSE),INDIRECT(G81 &amp; "!" &amp; H81)),"")</f>
        <v>1</v>
      </c>
      <c r="K81" s="4" t="b">
        <v>0</v>
      </c>
      <c r="L81" s="5" t="s">
        <v>381</v>
      </c>
      <c r="M81" s="4" t="b">
        <f t="shared" si="1"/>
        <v>0</v>
      </c>
    </row>
    <row r="82" spans="2:13" ht="16" customHeight="1" x14ac:dyDescent="0.3">
      <c r="B82" s="3">
        <v>79</v>
      </c>
      <c r="C82" s="4" t="s">
        <v>388</v>
      </c>
      <c r="D82" s="4" t="s">
        <v>461</v>
      </c>
      <c r="E82" s="4"/>
      <c r="F82" s="4"/>
      <c r="G82" s="4" t="s">
        <v>24</v>
      </c>
      <c r="H82" s="4" t="s">
        <v>385</v>
      </c>
      <c r="I82" s="4"/>
      <c r="J82" s="5" cm="1">
        <f t="array" aca="1" ref="J82" ca="1">IFERROR(IF(F82&lt;&gt;"",VLOOKUP(F82,INDIRECT(G82 &amp; "!" &amp; H82),I82,FALSE),INDIRECT(G82 &amp; "!" &amp; H82)),"")</f>
        <v>0</v>
      </c>
      <c r="K82" s="4" t="b">
        <v>0</v>
      </c>
      <c r="L82" s="5" t="s">
        <v>383</v>
      </c>
      <c r="M82" s="4" t="b">
        <f t="shared" si="1"/>
        <v>0</v>
      </c>
    </row>
    <row r="83" spans="2:13" ht="16" customHeight="1" x14ac:dyDescent="0.3">
      <c r="B83" s="3">
        <v>80</v>
      </c>
      <c r="C83" s="4" t="s">
        <v>388</v>
      </c>
      <c r="D83" s="4" t="s">
        <v>462</v>
      </c>
      <c r="E83" s="4"/>
      <c r="F83" s="4"/>
      <c r="G83" s="4" t="s">
        <v>24</v>
      </c>
      <c r="H83" s="4" t="s">
        <v>456</v>
      </c>
      <c r="I83" s="4"/>
      <c r="J83" s="5" cm="1">
        <f t="array" aca="1" ref="J83" ca="1">IFERROR(IF(F83&lt;&gt;"",VLOOKUP(F83,INDIRECT(G83 &amp; "!" &amp; H83),I83,FALSE),INDIRECT(G83 &amp; "!" &amp; H83)),"")</f>
        <v>80</v>
      </c>
      <c r="K83" s="4" t="b">
        <v>0</v>
      </c>
      <c r="L83" s="5" t="s">
        <v>383</v>
      </c>
      <c r="M83" s="4" t="b">
        <f t="shared" si="1"/>
        <v>0</v>
      </c>
    </row>
    <row r="84" spans="2:13" ht="16" customHeight="1" x14ac:dyDescent="0.3">
      <c r="B84" s="15">
        <v>81</v>
      </c>
      <c r="C84" s="10" t="s">
        <v>388</v>
      </c>
      <c r="D84" s="10" t="s">
        <v>468</v>
      </c>
      <c r="E84" s="10"/>
      <c r="F84" s="10"/>
      <c r="G84" s="10" t="s">
        <v>24</v>
      </c>
      <c r="H84" s="10" t="s">
        <v>469</v>
      </c>
      <c r="I84" s="10"/>
      <c r="J84" s="11" t="str" cm="1">
        <f t="array" aca="1" ref="J84" ca="1">IFERROR(IF(F84&lt;&gt;"",VLOOKUP(F84,INDIRECT(G84 &amp; "!" &amp; H84),I84,FALSE),INDIRECT(G84 &amp; "!" &amp; H84)),"")</f>
        <v>17/08/2022 17:53:52</v>
      </c>
      <c r="K84" s="10" t="b">
        <v>0</v>
      </c>
      <c r="L84" s="11" t="s">
        <v>382</v>
      </c>
      <c r="M84" s="10" t="b">
        <f t="shared" si="1"/>
        <v>0</v>
      </c>
    </row>
    <row r="85" spans="2:13" ht="16" customHeight="1" x14ac:dyDescent="0.3">
      <c r="B85" s="12">
        <v>82</v>
      </c>
      <c r="C85" s="13" t="s">
        <v>388</v>
      </c>
      <c r="D85" s="13" t="s">
        <v>484</v>
      </c>
      <c r="E85" s="13"/>
      <c r="F85" s="13"/>
      <c r="G85" s="13"/>
      <c r="H85" s="13"/>
      <c r="I85" s="13"/>
      <c r="J85" s="14" t="str" cm="1">
        <f t="array" ref="J85">IFERROR(get_environ(42),"")</f>
        <v>danusorn.s</v>
      </c>
      <c r="K85" s="13" t="b">
        <v>1</v>
      </c>
      <c r="L85" s="14" t="s">
        <v>380</v>
      </c>
      <c r="M85" s="13" t="b">
        <f t="shared" si="1"/>
        <v>0</v>
      </c>
    </row>
    <row r="86" spans="2:13" ht="16" customHeight="1" x14ac:dyDescent="0.3">
      <c r="B86" s="12">
        <v>83</v>
      </c>
      <c r="C86" s="13" t="s">
        <v>388</v>
      </c>
      <c r="D86" s="13" t="s">
        <v>485</v>
      </c>
      <c r="E86" s="13"/>
      <c r="F86" s="13"/>
      <c r="G86" s="13"/>
      <c r="H86" s="13"/>
      <c r="I86" s="13"/>
      <c r="J86" s="14" t="str" cm="1">
        <f t="array" ref="J86">IFERROR(get_environ(39),"")</f>
        <v>KASIKORNBANK.COM</v>
      </c>
      <c r="K86" s="13" t="b">
        <v>0</v>
      </c>
      <c r="L86" s="14" t="s">
        <v>380</v>
      </c>
      <c r="M86" s="13" t="b">
        <f t="shared" si="1"/>
        <v>0</v>
      </c>
    </row>
    <row r="87" spans="2:13" ht="16" customHeight="1" x14ac:dyDescent="0.3">
      <c r="B87" s="12">
        <v>84</v>
      </c>
      <c r="C87" s="13" t="s">
        <v>388</v>
      </c>
      <c r="D87" s="13" t="s">
        <v>391</v>
      </c>
      <c r="E87" s="13"/>
      <c r="F87" s="13"/>
      <c r="G87" s="13"/>
      <c r="H87" s="13"/>
      <c r="I87" s="13"/>
      <c r="J87" s="14" t="s">
        <v>464</v>
      </c>
      <c r="K87" s="13" t="b">
        <v>0</v>
      </c>
      <c r="L87" s="14" t="s">
        <v>380</v>
      </c>
      <c r="M87" s="13" t="b">
        <f t="shared" si="1"/>
        <v>0</v>
      </c>
    </row>
    <row r="89" spans="2:13" ht="14.5" x14ac:dyDescent="0.4">
      <c r="D89" s="7"/>
      <c r="E89" s="7"/>
      <c r="F89" s="7"/>
      <c r="G89" s="7"/>
      <c r="H89" s="7"/>
    </row>
  </sheetData>
  <mergeCells count="3">
    <mergeCell ref="O2:Q2"/>
    <mergeCell ref="B2:M2"/>
    <mergeCell ref="S2:T2"/>
  </mergeCells>
  <phoneticPr fontId="4" type="noConversion"/>
  <dataValidations count="2">
    <dataValidation type="list" allowBlank="1" showInputMessage="1" showErrorMessage="1" sqref="K4:K87" xr:uid="{08A4C0B4-C59D-4D15-90BB-074C5EC0FE65}">
      <formula1>"TRUE, FALSE"</formula1>
    </dataValidation>
    <dataValidation type="list" allowBlank="1" showInputMessage="1" showErrorMessage="1" sqref="L4:L87" xr:uid="{675F8AA4-D9BD-4800-8FB2-1089BBBDBE2C}">
      <formula1>"string, integer, float, boolean, date"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B492D-508E-491E-931B-03798EC9EDFC}">
  <sheetPr codeName="Sheet4">
    <tabColor rgb="FF00B050"/>
  </sheetPr>
  <dimension ref="A1:B77"/>
  <sheetViews>
    <sheetView workbookViewId="0">
      <selection activeCell="E21" sqref="E21"/>
    </sheetView>
  </sheetViews>
  <sheetFormatPr defaultRowHeight="12.5" x14ac:dyDescent="0.25"/>
  <cols>
    <col min="1" max="1" width="8.6640625" style="7" customWidth="1"/>
    <col min="2" max="16384" width="8.6640625" style="7"/>
  </cols>
  <sheetData>
    <row r="1" spans="1:2" x14ac:dyDescent="0.25">
      <c r="A1" s="7" t="s">
        <v>67</v>
      </c>
      <c r="B1" s="7" t="s">
        <v>68</v>
      </c>
    </row>
    <row r="2" spans="1:2" x14ac:dyDescent="0.25">
      <c r="A2" s="7" t="s">
        <v>19</v>
      </c>
      <c r="B2" s="7" t="s">
        <v>69</v>
      </c>
    </row>
    <row r="3" spans="1:2" x14ac:dyDescent="0.25">
      <c r="A3" s="7" t="s">
        <v>70</v>
      </c>
      <c r="B3" s="7" t="s">
        <v>68</v>
      </c>
    </row>
    <row r="4" spans="1:2" x14ac:dyDescent="0.25">
      <c r="A4" s="7" t="s">
        <v>71</v>
      </c>
      <c r="B4" s="7" t="s">
        <v>72</v>
      </c>
    </row>
    <row r="5" spans="1:2" x14ac:dyDescent="0.25">
      <c r="A5" s="7" t="s">
        <v>73</v>
      </c>
      <c r="B5" s="7" t="s">
        <v>68</v>
      </c>
    </row>
    <row r="6" spans="1:2" x14ac:dyDescent="0.25">
      <c r="A6" s="7" t="s">
        <v>74</v>
      </c>
      <c r="B6" s="7" t="s">
        <v>75</v>
      </c>
    </row>
    <row r="7" spans="1:2" x14ac:dyDescent="0.25">
      <c r="A7" s="7" t="s">
        <v>76</v>
      </c>
      <c r="B7" s="7" t="s">
        <v>77</v>
      </c>
    </row>
    <row r="8" spans="1:2" x14ac:dyDescent="0.25">
      <c r="A8" s="7" t="s">
        <v>78</v>
      </c>
      <c r="B8" s="7" t="s">
        <v>68</v>
      </c>
    </row>
    <row r="9" spans="1:2" x14ac:dyDescent="0.25">
      <c r="A9" s="7" t="s">
        <v>79</v>
      </c>
      <c r="B9" s="7" t="s">
        <v>68</v>
      </c>
    </row>
    <row r="10" spans="1:2" x14ac:dyDescent="0.25">
      <c r="A10" s="7" t="s">
        <v>80</v>
      </c>
      <c r="B10" s="7" t="s">
        <v>81</v>
      </c>
    </row>
    <row r="11" spans="1:2" x14ac:dyDescent="0.25">
      <c r="A11" s="7" t="s">
        <v>82</v>
      </c>
      <c r="B11" s="7" t="s">
        <v>83</v>
      </c>
    </row>
    <row r="12" spans="1:2" x14ac:dyDescent="0.25">
      <c r="A12" s="7" t="s">
        <v>84</v>
      </c>
      <c r="B12" s="7" t="s">
        <v>85</v>
      </c>
    </row>
    <row r="13" spans="1:2" x14ac:dyDescent="0.25">
      <c r="A13" s="7" t="s">
        <v>86</v>
      </c>
      <c r="B13" s="7" t="s">
        <v>87</v>
      </c>
    </row>
    <row r="14" spans="1:2" x14ac:dyDescent="0.25">
      <c r="A14" s="7" t="s">
        <v>88</v>
      </c>
      <c r="B14" s="7" t="s">
        <v>89</v>
      </c>
    </row>
    <row r="15" spans="1:2" x14ac:dyDescent="0.25">
      <c r="A15" s="7" t="s">
        <v>90</v>
      </c>
      <c r="B15" s="7" t="s">
        <v>91</v>
      </c>
    </row>
    <row r="16" spans="1:2" x14ac:dyDescent="0.25">
      <c r="A16" s="7" t="s">
        <v>92</v>
      </c>
      <c r="B16" s="7" t="s">
        <v>93</v>
      </c>
    </row>
    <row r="17" spans="1:2" x14ac:dyDescent="0.25">
      <c r="A17" s="7" t="s">
        <v>94</v>
      </c>
      <c r="B17" s="7" t="s">
        <v>93</v>
      </c>
    </row>
    <row r="18" spans="1:2" ht="14.5" x14ac:dyDescent="0.4">
      <c r="A18" s="7" t="s">
        <v>95</v>
      </c>
      <c r="B18" s="7" t="s">
        <v>96</v>
      </c>
    </row>
    <row r="19" spans="1:2" ht="14.5" x14ac:dyDescent="0.4">
      <c r="A19" s="7" t="s">
        <v>97</v>
      </c>
      <c r="B19" s="7" t="s">
        <v>98</v>
      </c>
    </row>
    <row r="20" spans="1:2" ht="14.5" x14ac:dyDescent="0.4">
      <c r="A20" s="7" t="s">
        <v>99</v>
      </c>
      <c r="B20" s="7" t="s">
        <v>100</v>
      </c>
    </row>
    <row r="21" spans="1:2" ht="14.5" x14ac:dyDescent="0.4">
      <c r="A21" s="7" t="s">
        <v>101</v>
      </c>
      <c r="B21" s="7" t="s">
        <v>100</v>
      </c>
    </row>
    <row r="22" spans="1:2" ht="14.5" x14ac:dyDescent="0.4">
      <c r="A22" s="7" t="s">
        <v>102</v>
      </c>
      <c r="B22" s="7" t="s">
        <v>68</v>
      </c>
    </row>
    <row r="23" spans="1:2" ht="14.5" x14ac:dyDescent="0.4">
      <c r="A23" s="7" t="s">
        <v>103</v>
      </c>
      <c r="B23" s="7" t="s">
        <v>93</v>
      </c>
    </row>
    <row r="24" spans="1:2" ht="14.5" x14ac:dyDescent="0.4">
      <c r="A24" s="7" t="s">
        <v>104</v>
      </c>
      <c r="B24" s="7" t="s">
        <v>98</v>
      </c>
    </row>
    <row r="25" spans="1:2" ht="14.5" x14ac:dyDescent="0.4">
      <c r="A25" s="7" t="s">
        <v>105</v>
      </c>
      <c r="B25" s="7" t="s">
        <v>100</v>
      </c>
    </row>
    <row r="26" spans="1:2" ht="14.5" x14ac:dyDescent="0.4">
      <c r="A26" s="7" t="s">
        <v>106</v>
      </c>
      <c r="B26" s="7" t="s">
        <v>100</v>
      </c>
    </row>
    <row r="27" spans="1:2" ht="14.5" x14ac:dyDescent="0.4">
      <c r="A27" s="7" t="s">
        <v>107</v>
      </c>
      <c r="B27" s="7" t="s">
        <v>108</v>
      </c>
    </row>
    <row r="28" spans="1:2" ht="14.5" x14ac:dyDescent="0.4">
      <c r="A28" s="7" t="s">
        <v>22</v>
      </c>
      <c r="B28" s="7" t="s">
        <v>109</v>
      </c>
    </row>
    <row r="29" spans="1:2" ht="14.5" x14ac:dyDescent="0.4">
      <c r="A29" s="7" t="s">
        <v>110</v>
      </c>
      <c r="B29" s="7" t="s">
        <v>111</v>
      </c>
    </row>
    <row r="30" spans="1:2" ht="14.5" x14ac:dyDescent="0.4">
      <c r="A30" s="7" t="s">
        <v>112</v>
      </c>
      <c r="B30" s="7" t="s">
        <v>113</v>
      </c>
    </row>
    <row r="31" spans="1:2" ht="14.5" x14ac:dyDescent="0.4">
      <c r="A31" s="7" t="s">
        <v>114</v>
      </c>
      <c r="B31" s="7" t="s">
        <v>115</v>
      </c>
    </row>
    <row r="32" spans="1:2" ht="14.5" x14ac:dyDescent="0.4">
      <c r="A32" s="7" t="s">
        <v>116</v>
      </c>
      <c r="B32" s="7" t="s">
        <v>117</v>
      </c>
    </row>
    <row r="33" spans="1:2" ht="14.5" x14ac:dyDescent="0.4">
      <c r="A33" s="7" t="s">
        <v>118</v>
      </c>
      <c r="B33" s="7" t="s">
        <v>119</v>
      </c>
    </row>
    <row r="34" spans="1:2" ht="14.5" x14ac:dyDescent="0.4">
      <c r="A34" s="7" t="s">
        <v>120</v>
      </c>
      <c r="B34" s="7" t="s">
        <v>115</v>
      </c>
    </row>
    <row r="35" spans="1:2" ht="14.5" x14ac:dyDescent="0.4">
      <c r="A35" s="7" t="s">
        <v>121</v>
      </c>
      <c r="B35" s="7" t="s">
        <v>122</v>
      </c>
    </row>
    <row r="36" spans="1:2" ht="14.5" x14ac:dyDescent="0.4">
      <c r="A36" s="7" t="s">
        <v>123</v>
      </c>
      <c r="B36" s="7" t="s">
        <v>122</v>
      </c>
    </row>
    <row r="37" spans="1:2" ht="14.5" x14ac:dyDescent="0.4">
      <c r="A37" s="7" t="s">
        <v>124</v>
      </c>
      <c r="B37" s="7" t="s">
        <v>122</v>
      </c>
    </row>
    <row r="38" spans="1:2" ht="14.5" x14ac:dyDescent="0.4">
      <c r="A38" s="7" t="s">
        <v>125</v>
      </c>
      <c r="B38" s="7" t="s">
        <v>126</v>
      </c>
    </row>
    <row r="39" spans="1:2" ht="14.5" x14ac:dyDescent="0.4">
      <c r="A39" s="7" t="s">
        <v>127</v>
      </c>
      <c r="B39" s="7" t="s">
        <v>128</v>
      </c>
    </row>
    <row r="40" spans="1:2" ht="14.5" x14ac:dyDescent="0.4">
      <c r="A40" s="7" t="s">
        <v>129</v>
      </c>
      <c r="B40" s="7" t="s">
        <v>130</v>
      </c>
    </row>
    <row r="41" spans="1:2" ht="14.5" x14ac:dyDescent="0.4">
      <c r="A41" s="7" t="s">
        <v>131</v>
      </c>
      <c r="B41" s="7" t="s">
        <v>132</v>
      </c>
    </row>
    <row r="42" spans="1:2" ht="14.5" x14ac:dyDescent="0.4">
      <c r="A42" s="7" t="s">
        <v>133</v>
      </c>
      <c r="B42" s="7" t="s">
        <v>134</v>
      </c>
    </row>
    <row r="43" spans="1:2" ht="14.5" x14ac:dyDescent="0.4">
      <c r="A43" s="7" t="s">
        <v>135</v>
      </c>
      <c r="B43" s="7" t="s">
        <v>136</v>
      </c>
    </row>
    <row r="44" spans="1:2" ht="14.5" x14ac:dyDescent="0.4">
      <c r="A44" s="7" t="s">
        <v>137</v>
      </c>
    </row>
    <row r="45" spans="1:2" ht="14.5" x14ac:dyDescent="0.4">
      <c r="A45" s="7" t="s">
        <v>138</v>
      </c>
      <c r="B45" s="7" t="s">
        <v>68</v>
      </c>
    </row>
    <row r="46" spans="1:2" ht="14.5" x14ac:dyDescent="0.4">
      <c r="A46" s="7" t="s">
        <v>139</v>
      </c>
      <c r="B46" s="7" t="s">
        <v>68</v>
      </c>
    </row>
    <row r="47" spans="1:2" ht="14.5" x14ac:dyDescent="0.4">
      <c r="A47" s="7" t="s">
        <v>140</v>
      </c>
      <c r="B47" s="7" t="s">
        <v>68</v>
      </c>
    </row>
    <row r="48" spans="1:2" ht="14.5" x14ac:dyDescent="0.4">
      <c r="A48" s="7" t="s">
        <v>141</v>
      </c>
      <c r="B48" s="7" t="s">
        <v>68</v>
      </c>
    </row>
    <row r="49" spans="1:2" ht="14.5" x14ac:dyDescent="0.4">
      <c r="A49" s="7" t="s">
        <v>142</v>
      </c>
      <c r="B49" s="7" t="s">
        <v>68</v>
      </c>
    </row>
    <row r="50" spans="1:2" ht="14.5" x14ac:dyDescent="0.4">
      <c r="A50" s="7" t="s">
        <v>143</v>
      </c>
      <c r="B50" s="7" t="s">
        <v>144</v>
      </c>
    </row>
    <row r="51" spans="1:2" ht="14.5" x14ac:dyDescent="0.4">
      <c r="A51" s="7" t="s">
        <v>145</v>
      </c>
      <c r="B51" s="7" t="s">
        <v>144</v>
      </c>
    </row>
    <row r="52" spans="1:2" ht="14.5" x14ac:dyDescent="0.4">
      <c r="A52" s="7" t="s">
        <v>146</v>
      </c>
      <c r="B52" s="7" t="s">
        <v>144</v>
      </c>
    </row>
    <row r="53" spans="1:2" ht="14.5" x14ac:dyDescent="0.4">
      <c r="A53" s="7" t="s">
        <v>147</v>
      </c>
      <c r="B53" s="7" t="s">
        <v>148</v>
      </c>
    </row>
    <row r="54" spans="1:2" ht="14.5" x14ac:dyDescent="0.4">
      <c r="A54" s="7" t="s">
        <v>26</v>
      </c>
      <c r="B54" s="8" t="s">
        <v>149</v>
      </c>
    </row>
    <row r="55" spans="1:2" ht="14.5" x14ac:dyDescent="0.4">
      <c r="A55" s="7" t="s">
        <v>150</v>
      </c>
      <c r="B55" s="7" t="s">
        <v>151</v>
      </c>
    </row>
    <row r="56" spans="1:2" ht="14.5" x14ac:dyDescent="0.4">
      <c r="A56" s="7" t="s">
        <v>152</v>
      </c>
      <c r="B56" s="7" t="s">
        <v>153</v>
      </c>
    </row>
    <row r="57" spans="1:2" ht="14.5" x14ac:dyDescent="0.4">
      <c r="A57" s="7" t="s">
        <v>154</v>
      </c>
      <c r="B57" s="7" t="s">
        <v>155</v>
      </c>
    </row>
    <row r="58" spans="1:2" ht="14.5" x14ac:dyDescent="0.4">
      <c r="A58" s="7" t="s">
        <v>156</v>
      </c>
      <c r="B58" s="7" t="s">
        <v>157</v>
      </c>
    </row>
    <row r="59" spans="1:2" ht="14.5" x14ac:dyDescent="0.4">
      <c r="A59" s="7" t="s">
        <v>158</v>
      </c>
      <c r="B59" s="7" t="s">
        <v>159</v>
      </c>
    </row>
    <row r="60" spans="1:2" ht="14.5" x14ac:dyDescent="0.4">
      <c r="A60" s="7" t="s">
        <v>160</v>
      </c>
      <c r="B60" s="7" t="s">
        <v>161</v>
      </c>
    </row>
    <row r="61" spans="1:2" ht="14.5" x14ac:dyDescent="0.4">
      <c r="A61" s="7" t="s">
        <v>29</v>
      </c>
      <c r="B61" s="7" t="s">
        <v>162</v>
      </c>
    </row>
    <row r="62" spans="1:2" ht="14.5" x14ac:dyDescent="0.4">
      <c r="A62" s="7" t="s">
        <v>163</v>
      </c>
      <c r="B62" s="7" t="s">
        <v>164</v>
      </c>
    </row>
    <row r="63" spans="1:2" ht="14.5" x14ac:dyDescent="0.4">
      <c r="A63" s="7" t="s">
        <v>165</v>
      </c>
      <c r="B63" s="7" t="s">
        <v>157</v>
      </c>
    </row>
    <row r="64" spans="1:2" ht="14.5" x14ac:dyDescent="0.4">
      <c r="A64" s="7" t="s">
        <v>166</v>
      </c>
      <c r="B64" s="7" t="s">
        <v>69</v>
      </c>
    </row>
    <row r="65" spans="1:2" ht="14.5" x14ac:dyDescent="0.4">
      <c r="A65" s="7" t="s">
        <v>167</v>
      </c>
      <c r="B65" s="7" t="s">
        <v>168</v>
      </c>
    </row>
    <row r="66" spans="1:2" ht="14.5" x14ac:dyDescent="0.4">
      <c r="A66" s="7" t="s">
        <v>169</v>
      </c>
      <c r="B66" s="7" t="s">
        <v>170</v>
      </c>
    </row>
    <row r="67" spans="1:2" ht="14.5" x14ac:dyDescent="0.4">
      <c r="A67" s="7" t="s">
        <v>171</v>
      </c>
      <c r="B67" s="7" t="s">
        <v>93</v>
      </c>
    </row>
    <row r="68" spans="1:2" ht="14.5" x14ac:dyDescent="0.4">
      <c r="A68" s="7" t="s">
        <v>31</v>
      </c>
      <c r="B68" s="7" t="s">
        <v>172</v>
      </c>
    </row>
    <row r="69" spans="1:2" ht="14.5" x14ac:dyDescent="0.4">
      <c r="A69" s="7" t="s">
        <v>14</v>
      </c>
      <c r="B69" s="7" t="s">
        <v>173</v>
      </c>
    </row>
    <row r="70" spans="1:2" ht="14.5" x14ac:dyDescent="0.4">
      <c r="A70" s="7" t="s">
        <v>174</v>
      </c>
      <c r="B70" s="7" t="s">
        <v>68</v>
      </c>
    </row>
    <row r="71" spans="1:2" ht="14.5" x14ac:dyDescent="0.4">
      <c r="A71" s="7" t="s">
        <v>175</v>
      </c>
      <c r="B71" s="7" t="s">
        <v>176</v>
      </c>
    </row>
    <row r="72" spans="1:2" ht="14.5" x14ac:dyDescent="0.4">
      <c r="A72" s="7" t="s">
        <v>177</v>
      </c>
    </row>
    <row r="73" spans="1:2" ht="14.5" x14ac:dyDescent="0.4">
      <c r="A73" s="7" t="s">
        <v>178</v>
      </c>
      <c r="B73" s="7" t="s">
        <v>179</v>
      </c>
    </row>
    <row r="74" spans="1:2" ht="14.5" x14ac:dyDescent="0.4">
      <c r="A74" s="7" t="s">
        <v>180</v>
      </c>
      <c r="B74" s="7" t="s">
        <v>181</v>
      </c>
    </row>
    <row r="75" spans="1:2" ht="14.5" x14ac:dyDescent="0.4">
      <c r="A75" s="7" t="s">
        <v>182</v>
      </c>
      <c r="B75" s="7" t="s">
        <v>183</v>
      </c>
    </row>
    <row r="76" spans="1:2" ht="14.5" x14ac:dyDescent="0.4">
      <c r="A76" s="7" t="s">
        <v>184</v>
      </c>
      <c r="B76" s="7" t="s">
        <v>185</v>
      </c>
    </row>
    <row r="77" spans="1:2" ht="14.5" x14ac:dyDescent="0.4">
      <c r="A77" s="7" t="s">
        <v>186</v>
      </c>
      <c r="B77" s="8" t="s">
        <v>187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E3F7F-EC0E-40DA-AA35-9D3D9C42A16C}">
  <sheetPr codeName="Sheet5">
    <tabColor rgb="FF00B050"/>
  </sheetPr>
  <dimension ref="B3:T92"/>
  <sheetViews>
    <sheetView workbookViewId="0">
      <selection activeCell="I64" sqref="I64"/>
    </sheetView>
  </sheetViews>
  <sheetFormatPr defaultRowHeight="12.5" x14ac:dyDescent="0.25"/>
  <cols>
    <col min="1" max="8" width="8.6640625" style="7"/>
    <col min="9" max="9" width="13.83203125" style="7" bestFit="1" customWidth="1"/>
    <col min="10" max="16384" width="8.6640625" style="7"/>
  </cols>
  <sheetData>
    <row r="3" spans="2:14" x14ac:dyDescent="0.25">
      <c r="F3" s="7" t="s">
        <v>189</v>
      </c>
    </row>
    <row r="5" spans="2:14" x14ac:dyDescent="0.25">
      <c r="F5" s="7" t="s">
        <v>190</v>
      </c>
      <c r="H5" s="7" t="s">
        <v>191</v>
      </c>
      <c r="M5" s="7" t="s">
        <v>192</v>
      </c>
      <c r="N5" s="7" t="s">
        <v>193</v>
      </c>
    </row>
    <row r="7" spans="2:14" x14ac:dyDescent="0.25">
      <c r="N7" s="7" t="s">
        <v>194</v>
      </c>
    </row>
    <row r="8" spans="2:14" x14ac:dyDescent="0.25">
      <c r="B8" s="7" t="s">
        <v>195</v>
      </c>
      <c r="I8" s="7" t="s">
        <v>194</v>
      </c>
      <c r="N8" s="7" t="s">
        <v>194</v>
      </c>
    </row>
    <row r="10" spans="2:14" x14ac:dyDescent="0.25">
      <c r="C10" s="7" t="s">
        <v>196</v>
      </c>
      <c r="I10" s="7" t="s">
        <v>197</v>
      </c>
    </row>
    <row r="11" spans="2:14" x14ac:dyDescent="0.25">
      <c r="C11" s="7" t="s">
        <v>198</v>
      </c>
    </row>
    <row r="12" spans="2:14" x14ac:dyDescent="0.25">
      <c r="F12" s="7" t="s">
        <v>199</v>
      </c>
      <c r="I12" s="7" t="s">
        <v>81</v>
      </c>
    </row>
    <row r="13" spans="2:14" x14ac:dyDescent="0.25">
      <c r="F13" s="7" t="s">
        <v>200</v>
      </c>
      <c r="I13" s="7" t="s">
        <v>201</v>
      </c>
    </row>
    <row r="14" spans="2:14" x14ac:dyDescent="0.25">
      <c r="F14" s="7" t="s">
        <v>202</v>
      </c>
      <c r="I14" s="7" t="s">
        <v>83</v>
      </c>
    </row>
    <row r="15" spans="2:14" x14ac:dyDescent="0.25">
      <c r="F15" s="7" t="s">
        <v>203</v>
      </c>
      <c r="I15" s="7">
        <v>44789</v>
      </c>
    </row>
    <row r="16" spans="2:14" x14ac:dyDescent="0.25">
      <c r="C16" s="7" t="s">
        <v>204</v>
      </c>
    </row>
    <row r="17" spans="3:14" x14ac:dyDescent="0.25">
      <c r="F17" s="7" t="s">
        <v>205</v>
      </c>
      <c r="I17" s="7">
        <v>646</v>
      </c>
      <c r="M17" s="7" t="s">
        <v>206</v>
      </c>
    </row>
    <row r="18" spans="3:14" ht="14.5" x14ac:dyDescent="0.4">
      <c r="F18" s="7" t="s">
        <v>207</v>
      </c>
      <c r="I18" s="7">
        <v>1</v>
      </c>
      <c r="M18" s="7" t="s">
        <v>206</v>
      </c>
    </row>
    <row r="19" spans="3:14" ht="14.5" x14ac:dyDescent="0.4">
      <c r="F19" s="7" t="s">
        <v>208</v>
      </c>
      <c r="I19" s="7">
        <v>44764</v>
      </c>
    </row>
    <row r="20" spans="3:14" ht="14.5" x14ac:dyDescent="0.4">
      <c r="F20" s="7" t="s">
        <v>209</v>
      </c>
      <c r="I20" s="7">
        <v>94</v>
      </c>
    </row>
    <row r="21" spans="3:14" ht="14.5" x14ac:dyDescent="0.4">
      <c r="C21" s="7" t="s">
        <v>210</v>
      </c>
    </row>
    <row r="22" spans="3:14" ht="14.5" x14ac:dyDescent="0.4">
      <c r="D22" s="7" t="s">
        <v>211</v>
      </c>
    </row>
    <row r="23" spans="3:14" ht="14.5" x14ac:dyDescent="0.4">
      <c r="F23" s="7" t="s">
        <v>212</v>
      </c>
      <c r="I23" s="7">
        <v>3</v>
      </c>
    </row>
    <row r="24" spans="3:14" ht="14.5" x14ac:dyDescent="0.4">
      <c r="F24" s="7" t="s">
        <v>213</v>
      </c>
      <c r="I24" s="7">
        <v>3</v>
      </c>
    </row>
    <row r="25" spans="3:14" ht="14.5" x14ac:dyDescent="0.4">
      <c r="F25" s="7" t="s">
        <v>214</v>
      </c>
      <c r="I25" s="7">
        <v>5</v>
      </c>
    </row>
    <row r="26" spans="3:14" ht="14.5" x14ac:dyDescent="0.4">
      <c r="F26" s="7" t="s">
        <v>215</v>
      </c>
      <c r="I26" s="7">
        <v>6</v>
      </c>
    </row>
    <row r="27" spans="3:14" ht="14.5" x14ac:dyDescent="0.4">
      <c r="C27" s="7" t="s">
        <v>216</v>
      </c>
    </row>
    <row r="28" spans="3:14" ht="14.5" x14ac:dyDescent="0.4">
      <c r="D28" s="7" t="s">
        <v>217</v>
      </c>
      <c r="I28" s="7" t="s">
        <v>194</v>
      </c>
    </row>
    <row r="29" spans="3:14" ht="14.5" x14ac:dyDescent="0.4">
      <c r="I29" s="7" t="s">
        <v>218</v>
      </c>
      <c r="J29" s="7" t="s">
        <v>219</v>
      </c>
      <c r="K29" s="7" t="s">
        <v>220</v>
      </c>
      <c r="L29" s="7" t="s">
        <v>221</v>
      </c>
      <c r="N29" s="7" t="s">
        <v>194</v>
      </c>
    </row>
    <row r="30" spans="3:14" ht="14.5" x14ac:dyDescent="0.4">
      <c r="I30" s="7">
        <v>1</v>
      </c>
      <c r="J30" s="7">
        <v>8</v>
      </c>
      <c r="K30" s="7">
        <v>1</v>
      </c>
      <c r="L30" s="7">
        <v>1</v>
      </c>
      <c r="N30" s="7" t="s">
        <v>222</v>
      </c>
    </row>
    <row r="31" spans="3:14" ht="14.5" x14ac:dyDescent="0.4">
      <c r="D31" s="7" t="s">
        <v>223</v>
      </c>
    </row>
    <row r="32" spans="3:14" ht="14.5" x14ac:dyDescent="0.4">
      <c r="I32" s="7" t="s">
        <v>224</v>
      </c>
      <c r="J32" s="7" t="s">
        <v>225</v>
      </c>
    </row>
    <row r="33" spans="3:18" ht="14.5" x14ac:dyDescent="0.4">
      <c r="I33" s="7">
        <v>0</v>
      </c>
      <c r="J33" s="7">
        <v>80</v>
      </c>
      <c r="N33" s="7" t="s">
        <v>226</v>
      </c>
    </row>
    <row r="34" spans="3:18" ht="14.5" x14ac:dyDescent="0.4">
      <c r="C34" s="7" t="s">
        <v>227</v>
      </c>
    </row>
    <row r="35" spans="3:18" ht="14.5" x14ac:dyDescent="0.4">
      <c r="D35" s="7" t="s">
        <v>228</v>
      </c>
    </row>
    <row r="36" spans="3:18" ht="14.5" x14ac:dyDescent="0.4">
      <c r="E36" s="7" t="s">
        <v>229</v>
      </c>
    </row>
    <row r="37" spans="3:18" ht="14.5" x14ac:dyDescent="0.4">
      <c r="F37" s="7" t="s">
        <v>230</v>
      </c>
      <c r="I37" s="7">
        <v>140</v>
      </c>
      <c r="N37" s="7" t="s">
        <v>231</v>
      </c>
      <c r="R37" s="7">
        <v>4</v>
      </c>
    </row>
    <row r="38" spans="3:18" ht="14.5" x14ac:dyDescent="0.4">
      <c r="F38" s="7" t="s">
        <v>232</v>
      </c>
      <c r="I38" s="7">
        <v>89</v>
      </c>
      <c r="N38" s="7" t="s">
        <v>233</v>
      </c>
      <c r="R38" s="7">
        <v>4</v>
      </c>
    </row>
    <row r="39" spans="3:18" ht="14.5" x14ac:dyDescent="0.4">
      <c r="D39" s="7" t="s">
        <v>234</v>
      </c>
      <c r="N39" s="7" t="s">
        <v>235</v>
      </c>
    </row>
    <row r="40" spans="3:18" ht="14.5" x14ac:dyDescent="0.4">
      <c r="E40" s="7" t="s">
        <v>236</v>
      </c>
      <c r="N40" s="7" t="s">
        <v>237</v>
      </c>
    </row>
    <row r="41" spans="3:18" ht="14.5" x14ac:dyDescent="0.4">
      <c r="F41" s="7" t="s">
        <v>238</v>
      </c>
      <c r="I41" s="9"/>
      <c r="O41" s="7" t="s">
        <v>240</v>
      </c>
      <c r="R41" s="7" t="s">
        <v>239</v>
      </c>
    </row>
    <row r="42" spans="3:18" ht="14.5" x14ac:dyDescent="0.4">
      <c r="E42" s="7" t="s">
        <v>241</v>
      </c>
      <c r="O42" s="7" t="s">
        <v>242</v>
      </c>
      <c r="R42" s="7" t="s">
        <v>239</v>
      </c>
    </row>
    <row r="43" spans="3:18" ht="14.5" x14ac:dyDescent="0.4">
      <c r="F43" s="7" t="s">
        <v>243</v>
      </c>
      <c r="I43" s="9"/>
      <c r="O43" s="7" t="s">
        <v>244</v>
      </c>
      <c r="R43" s="7" t="s">
        <v>194</v>
      </c>
    </row>
    <row r="44" spans="3:18" ht="14.5" x14ac:dyDescent="0.4">
      <c r="F44" s="7" t="s">
        <v>245</v>
      </c>
      <c r="O44" s="7" t="s">
        <v>246</v>
      </c>
    </row>
    <row r="45" spans="3:18" ht="14.5" x14ac:dyDescent="0.4">
      <c r="E45" s="7" t="s">
        <v>247</v>
      </c>
    </row>
    <row r="46" spans="3:18" ht="14.5" x14ac:dyDescent="0.4">
      <c r="I46" s="7" t="s">
        <v>248</v>
      </c>
      <c r="M46" s="7" t="s">
        <v>249</v>
      </c>
      <c r="Q46" s="7" t="s">
        <v>250</v>
      </c>
    </row>
    <row r="47" spans="3:18" ht="14.5" x14ac:dyDescent="0.4">
      <c r="F47" s="7" t="s">
        <v>251</v>
      </c>
      <c r="I47" s="7">
        <v>80</v>
      </c>
      <c r="M47" s="7">
        <v>88</v>
      </c>
      <c r="Q47" s="7">
        <v>168</v>
      </c>
    </row>
    <row r="48" spans="3:18" ht="14.5" x14ac:dyDescent="0.4">
      <c r="F48" s="7" t="s">
        <v>252</v>
      </c>
      <c r="I48" s="7">
        <v>50</v>
      </c>
      <c r="M48" s="7">
        <v>35</v>
      </c>
      <c r="Q48" s="7">
        <v>85</v>
      </c>
    </row>
    <row r="49" spans="5:20" ht="14.5" x14ac:dyDescent="0.4">
      <c r="F49" s="7" t="s">
        <v>253</v>
      </c>
      <c r="I49" s="7">
        <v>52</v>
      </c>
      <c r="M49" s="7">
        <v>63</v>
      </c>
      <c r="Q49" s="7">
        <v>115</v>
      </c>
    </row>
    <row r="50" spans="5:20" ht="14.5" x14ac:dyDescent="0.4">
      <c r="F50" s="7" t="s">
        <v>254</v>
      </c>
      <c r="I50" s="7">
        <v>54</v>
      </c>
      <c r="M50" s="7">
        <v>29</v>
      </c>
      <c r="Q50" s="7">
        <v>83</v>
      </c>
    </row>
    <row r="51" spans="5:20" ht="14.5" x14ac:dyDescent="0.4">
      <c r="F51" s="7" t="s">
        <v>255</v>
      </c>
      <c r="I51" s="7">
        <v>56</v>
      </c>
      <c r="M51" s="7">
        <v>57</v>
      </c>
      <c r="Q51" s="7">
        <v>113</v>
      </c>
    </row>
    <row r="52" spans="5:20" ht="14.5" x14ac:dyDescent="0.4">
      <c r="F52" s="7" t="s">
        <v>256</v>
      </c>
      <c r="I52" s="7">
        <v>58</v>
      </c>
      <c r="M52" s="7">
        <v>19</v>
      </c>
      <c r="Q52" s="7">
        <v>77</v>
      </c>
    </row>
    <row r="53" spans="5:20" ht="14.5" x14ac:dyDescent="0.4">
      <c r="F53" s="7" t="s">
        <v>257</v>
      </c>
      <c r="I53" s="7">
        <v>61</v>
      </c>
      <c r="M53" s="7">
        <v>23</v>
      </c>
      <c r="Q53" s="7">
        <v>84</v>
      </c>
    </row>
    <row r="54" spans="5:20" ht="14.5" x14ac:dyDescent="0.4">
      <c r="F54" s="7" t="s">
        <v>258</v>
      </c>
      <c r="I54" s="7">
        <v>63</v>
      </c>
      <c r="M54" s="7">
        <v>21</v>
      </c>
      <c r="Q54" s="7">
        <v>84</v>
      </c>
    </row>
    <row r="55" spans="5:20" ht="14.5" x14ac:dyDescent="0.4">
      <c r="F55" s="7" t="s">
        <v>259</v>
      </c>
      <c r="I55" s="7">
        <v>64</v>
      </c>
      <c r="M55" s="7">
        <v>28</v>
      </c>
      <c r="Q55" s="7">
        <v>92</v>
      </c>
    </row>
    <row r="56" spans="5:20" ht="14.5" x14ac:dyDescent="0.4">
      <c r="F56" s="7" t="s">
        <v>260</v>
      </c>
      <c r="I56" s="7">
        <v>66</v>
      </c>
      <c r="Q56" s="7">
        <v>66</v>
      </c>
    </row>
    <row r="57" spans="5:20" ht="14.5" x14ac:dyDescent="0.4">
      <c r="F57" s="7" t="s">
        <v>261</v>
      </c>
      <c r="I57" s="7">
        <v>68</v>
      </c>
      <c r="Q57" s="7">
        <v>68</v>
      </c>
    </row>
    <row r="58" spans="5:20" ht="14.5" x14ac:dyDescent="0.4">
      <c r="F58" s="7" t="s">
        <v>262</v>
      </c>
      <c r="I58" s="7">
        <v>70</v>
      </c>
      <c r="Q58" s="7">
        <v>70</v>
      </c>
    </row>
    <row r="59" spans="5:20" ht="14.5" x14ac:dyDescent="0.4">
      <c r="E59" s="7" t="s">
        <v>263</v>
      </c>
      <c r="I59" s="7">
        <v>23352</v>
      </c>
      <c r="J59" s="7" t="s">
        <v>264</v>
      </c>
      <c r="K59" s="7" t="s">
        <v>265</v>
      </c>
      <c r="L59" s="7">
        <v>44773</v>
      </c>
      <c r="M59" s="7" t="s">
        <v>266</v>
      </c>
      <c r="N59" s="7" t="s">
        <v>267</v>
      </c>
      <c r="O59" s="7" t="s">
        <v>268</v>
      </c>
    </row>
    <row r="60" spans="5:20" ht="14.5" x14ac:dyDescent="0.4">
      <c r="I60" s="7" t="s">
        <v>269</v>
      </c>
      <c r="K60" s="7" t="s">
        <v>270</v>
      </c>
      <c r="M60" s="7" t="s">
        <v>271</v>
      </c>
      <c r="O60" s="7" t="s">
        <v>272</v>
      </c>
      <c r="Q60" s="7" t="s">
        <v>273</v>
      </c>
      <c r="S60" s="7" t="s">
        <v>274</v>
      </c>
    </row>
    <row r="61" spans="5:20" ht="14.5" x14ac:dyDescent="0.4">
      <c r="K61" s="7" t="s">
        <v>275</v>
      </c>
      <c r="M61" s="7" t="s">
        <v>275</v>
      </c>
      <c r="O61" s="7" t="s">
        <v>275</v>
      </c>
      <c r="Q61" s="7" t="s">
        <v>275</v>
      </c>
      <c r="S61" s="7" t="s">
        <v>275</v>
      </c>
    </row>
    <row r="62" spans="5:20" ht="14.5" x14ac:dyDescent="0.4">
      <c r="F62" s="7" t="s">
        <v>276</v>
      </c>
      <c r="I62" s="7" t="s">
        <v>277</v>
      </c>
      <c r="K62" s="7">
        <v>0</v>
      </c>
      <c r="M62" s="7">
        <v>0</v>
      </c>
      <c r="O62" s="7">
        <v>80</v>
      </c>
      <c r="Q62" s="7">
        <v>0</v>
      </c>
      <c r="S62" s="7">
        <v>80</v>
      </c>
    </row>
    <row r="63" spans="5:20" ht="14.5" x14ac:dyDescent="0.4">
      <c r="H63" s="7" t="s">
        <v>278</v>
      </c>
      <c r="I63" s="7" t="s">
        <v>279</v>
      </c>
      <c r="J63" s="7" t="s">
        <v>280</v>
      </c>
      <c r="K63" s="7" t="s">
        <v>275</v>
      </c>
      <c r="L63" s="7" t="s">
        <v>281</v>
      </c>
      <c r="M63" s="7" t="s">
        <v>275</v>
      </c>
      <c r="N63" s="7" t="s">
        <v>281</v>
      </c>
      <c r="O63" s="7" t="s">
        <v>275</v>
      </c>
      <c r="P63" s="7" t="s">
        <v>281</v>
      </c>
      <c r="Q63" s="7" t="s">
        <v>275</v>
      </c>
      <c r="R63" s="7" t="s">
        <v>281</v>
      </c>
      <c r="S63" s="7" t="s">
        <v>275</v>
      </c>
      <c r="T63" s="7" t="s">
        <v>281</v>
      </c>
    </row>
    <row r="64" spans="5:20" ht="14.5" x14ac:dyDescent="0.4">
      <c r="F64" s="7" t="s">
        <v>282</v>
      </c>
      <c r="H64" s="7" t="s">
        <v>283</v>
      </c>
      <c r="I64" s="7" t="s">
        <v>284</v>
      </c>
      <c r="J64" s="7" t="s">
        <v>285</v>
      </c>
      <c r="O64" s="7">
        <v>48</v>
      </c>
      <c r="S64" s="7">
        <v>48</v>
      </c>
      <c r="T64" s="7">
        <v>0</v>
      </c>
    </row>
    <row r="65" spans="3:20" ht="14.5" x14ac:dyDescent="0.4">
      <c r="F65" s="7" t="s">
        <v>286</v>
      </c>
      <c r="H65" s="7" t="s">
        <v>283</v>
      </c>
      <c r="I65" s="7" t="s">
        <v>287</v>
      </c>
      <c r="J65" s="7" t="s">
        <v>288</v>
      </c>
      <c r="O65" s="7">
        <v>32</v>
      </c>
      <c r="S65" s="7">
        <v>32</v>
      </c>
      <c r="T65" s="7">
        <v>0</v>
      </c>
    </row>
    <row r="66" spans="3:20" ht="14.5" x14ac:dyDescent="0.4">
      <c r="F66" s="7" t="s">
        <v>289</v>
      </c>
      <c r="H66" s="7" t="s">
        <v>290</v>
      </c>
      <c r="I66" s="7" t="s">
        <v>290</v>
      </c>
      <c r="J66" s="7" t="s">
        <v>290</v>
      </c>
      <c r="K66" s="7" t="s">
        <v>290</v>
      </c>
      <c r="L66" s="7" t="s">
        <v>290</v>
      </c>
      <c r="M66" s="7" t="s">
        <v>290</v>
      </c>
      <c r="N66" s="7" t="s">
        <v>290</v>
      </c>
      <c r="O66" s="7" t="s">
        <v>290</v>
      </c>
      <c r="P66" s="7" t="s">
        <v>290</v>
      </c>
      <c r="Q66" s="7" t="s">
        <v>290</v>
      </c>
      <c r="R66" s="7" t="s">
        <v>290</v>
      </c>
      <c r="S66" s="7">
        <v>0</v>
      </c>
      <c r="T66" s="7">
        <v>0</v>
      </c>
    </row>
    <row r="67" spans="3:20" ht="14.5" x14ac:dyDescent="0.4">
      <c r="F67" s="7" t="s">
        <v>291</v>
      </c>
      <c r="H67" s="7" t="s">
        <v>290</v>
      </c>
      <c r="I67" s="7" t="s">
        <v>290</v>
      </c>
      <c r="J67" s="7" t="s">
        <v>290</v>
      </c>
      <c r="K67" s="7" t="s">
        <v>290</v>
      </c>
      <c r="L67" s="7" t="s">
        <v>290</v>
      </c>
      <c r="M67" s="7" t="s">
        <v>290</v>
      </c>
      <c r="N67" s="7" t="s">
        <v>290</v>
      </c>
      <c r="O67" s="7" t="s">
        <v>290</v>
      </c>
      <c r="P67" s="7" t="s">
        <v>290</v>
      </c>
      <c r="Q67" s="7" t="s">
        <v>290</v>
      </c>
      <c r="R67" s="7" t="s">
        <v>290</v>
      </c>
      <c r="S67" s="7">
        <v>0</v>
      </c>
      <c r="T67" s="7">
        <v>0</v>
      </c>
    </row>
    <row r="68" spans="3:20" ht="14.5" x14ac:dyDescent="0.4">
      <c r="F68" s="7" t="s">
        <v>292</v>
      </c>
      <c r="H68" s="7" t="s">
        <v>290</v>
      </c>
      <c r="I68" s="7" t="s">
        <v>290</v>
      </c>
      <c r="J68" s="7" t="s">
        <v>290</v>
      </c>
      <c r="K68" s="7" t="s">
        <v>290</v>
      </c>
      <c r="L68" s="7" t="s">
        <v>290</v>
      </c>
      <c r="M68" s="7" t="s">
        <v>290</v>
      </c>
      <c r="N68" s="7" t="s">
        <v>290</v>
      </c>
      <c r="O68" s="7" t="s">
        <v>290</v>
      </c>
      <c r="P68" s="7" t="s">
        <v>290</v>
      </c>
      <c r="Q68" s="7" t="s">
        <v>290</v>
      </c>
      <c r="R68" s="7" t="s">
        <v>290</v>
      </c>
      <c r="S68" s="7">
        <v>0</v>
      </c>
      <c r="T68" s="7">
        <v>0</v>
      </c>
    </row>
    <row r="69" spans="3:20" ht="14.5" x14ac:dyDescent="0.4">
      <c r="F69" s="7" t="s">
        <v>293</v>
      </c>
      <c r="H69" s="7" t="s">
        <v>290</v>
      </c>
      <c r="I69" s="7" t="s">
        <v>290</v>
      </c>
      <c r="J69" s="7" t="s">
        <v>290</v>
      </c>
      <c r="K69" s="7" t="s">
        <v>290</v>
      </c>
      <c r="L69" s="7" t="s">
        <v>290</v>
      </c>
      <c r="M69" s="7" t="s">
        <v>290</v>
      </c>
      <c r="N69" s="7" t="s">
        <v>290</v>
      </c>
      <c r="O69" s="7" t="s">
        <v>290</v>
      </c>
      <c r="P69" s="7" t="s">
        <v>290</v>
      </c>
      <c r="Q69" s="7" t="s">
        <v>290</v>
      </c>
      <c r="R69" s="7" t="s">
        <v>290</v>
      </c>
      <c r="S69" s="7">
        <v>0</v>
      </c>
      <c r="T69" s="7">
        <v>0</v>
      </c>
    </row>
    <row r="70" spans="3:20" ht="14.5" x14ac:dyDescent="0.4">
      <c r="F70" s="7" t="s">
        <v>294</v>
      </c>
      <c r="H70" s="7" t="s">
        <v>290</v>
      </c>
      <c r="I70" s="7" t="s">
        <v>290</v>
      </c>
      <c r="J70" s="7" t="s">
        <v>290</v>
      </c>
      <c r="K70" s="7" t="s">
        <v>290</v>
      </c>
      <c r="L70" s="7" t="s">
        <v>290</v>
      </c>
      <c r="M70" s="7" t="s">
        <v>290</v>
      </c>
      <c r="N70" s="7" t="s">
        <v>290</v>
      </c>
      <c r="O70" s="7" t="s">
        <v>290</v>
      </c>
      <c r="P70" s="7" t="s">
        <v>290</v>
      </c>
      <c r="Q70" s="7" t="s">
        <v>290</v>
      </c>
      <c r="R70" s="7" t="s">
        <v>290</v>
      </c>
      <c r="S70" s="7">
        <v>0</v>
      </c>
      <c r="T70" s="7">
        <v>0</v>
      </c>
    </row>
    <row r="71" spans="3:20" ht="14.5" x14ac:dyDescent="0.4">
      <c r="F71" s="7" t="s">
        <v>295</v>
      </c>
      <c r="H71" s="7" t="s">
        <v>290</v>
      </c>
      <c r="I71" s="7" t="s">
        <v>290</v>
      </c>
      <c r="J71" s="7" t="s">
        <v>290</v>
      </c>
      <c r="K71" s="7" t="s">
        <v>290</v>
      </c>
      <c r="L71" s="7" t="s">
        <v>290</v>
      </c>
      <c r="M71" s="7" t="s">
        <v>290</v>
      </c>
      <c r="N71" s="7" t="s">
        <v>290</v>
      </c>
      <c r="O71" s="7" t="s">
        <v>290</v>
      </c>
      <c r="P71" s="7" t="s">
        <v>290</v>
      </c>
      <c r="Q71" s="7" t="s">
        <v>290</v>
      </c>
      <c r="R71" s="7" t="s">
        <v>290</v>
      </c>
      <c r="S71" s="7">
        <v>0</v>
      </c>
      <c r="T71" s="7">
        <v>0</v>
      </c>
    </row>
    <row r="72" spans="3:20" ht="14.5" x14ac:dyDescent="0.4">
      <c r="F72" s="7" t="s">
        <v>296</v>
      </c>
      <c r="H72" s="7" t="s">
        <v>290</v>
      </c>
      <c r="I72" s="7" t="s">
        <v>290</v>
      </c>
      <c r="J72" s="7" t="s">
        <v>290</v>
      </c>
      <c r="K72" s="7" t="s">
        <v>290</v>
      </c>
      <c r="L72" s="7" t="s">
        <v>290</v>
      </c>
      <c r="M72" s="7" t="s">
        <v>290</v>
      </c>
      <c r="N72" s="7" t="s">
        <v>290</v>
      </c>
      <c r="O72" s="7" t="s">
        <v>290</v>
      </c>
      <c r="P72" s="7" t="s">
        <v>290</v>
      </c>
      <c r="Q72" s="7" t="s">
        <v>290</v>
      </c>
      <c r="R72" s="7" t="s">
        <v>290</v>
      </c>
      <c r="S72" s="7">
        <v>0</v>
      </c>
      <c r="T72" s="7">
        <v>0</v>
      </c>
    </row>
    <row r="73" spans="3:20" ht="14.5" x14ac:dyDescent="0.4">
      <c r="F73" s="7" t="s">
        <v>297</v>
      </c>
      <c r="H73" s="7" t="s">
        <v>290</v>
      </c>
      <c r="I73" s="7" t="s">
        <v>290</v>
      </c>
      <c r="J73" s="7" t="s">
        <v>290</v>
      </c>
      <c r="K73" s="7" t="s">
        <v>290</v>
      </c>
      <c r="L73" s="7" t="s">
        <v>290</v>
      </c>
      <c r="M73" s="7" t="s">
        <v>290</v>
      </c>
      <c r="N73" s="7" t="s">
        <v>290</v>
      </c>
      <c r="O73" s="7" t="s">
        <v>290</v>
      </c>
      <c r="P73" s="7" t="s">
        <v>290</v>
      </c>
      <c r="Q73" s="7" t="s">
        <v>290</v>
      </c>
      <c r="R73" s="7" t="s">
        <v>290</v>
      </c>
      <c r="S73" s="7">
        <v>0</v>
      </c>
      <c r="T73" s="7">
        <v>0</v>
      </c>
    </row>
    <row r="74" spans="3:20" ht="14.5" x14ac:dyDescent="0.4">
      <c r="F74" s="7" t="s">
        <v>298</v>
      </c>
      <c r="H74" s="7" t="s">
        <v>290</v>
      </c>
      <c r="I74" s="7" t="s">
        <v>290</v>
      </c>
      <c r="J74" s="7" t="s">
        <v>290</v>
      </c>
      <c r="K74" s="7" t="s">
        <v>290</v>
      </c>
      <c r="L74" s="7" t="s">
        <v>290</v>
      </c>
      <c r="M74" s="7" t="s">
        <v>290</v>
      </c>
      <c r="N74" s="7" t="s">
        <v>290</v>
      </c>
      <c r="O74" s="7" t="s">
        <v>290</v>
      </c>
      <c r="P74" s="7" t="s">
        <v>290</v>
      </c>
      <c r="Q74" s="7" t="s">
        <v>290</v>
      </c>
      <c r="R74" s="7" t="s">
        <v>290</v>
      </c>
      <c r="S74" s="7">
        <v>0</v>
      </c>
      <c r="T74" s="7">
        <v>0</v>
      </c>
    </row>
    <row r="76" spans="3:20" ht="14.5" x14ac:dyDescent="0.4">
      <c r="O76" s="7" t="s">
        <v>299</v>
      </c>
    </row>
    <row r="77" spans="3:20" ht="14.5" x14ac:dyDescent="0.4">
      <c r="C77" s="7" t="s">
        <v>300</v>
      </c>
      <c r="R77" s="7" t="s">
        <v>301</v>
      </c>
    </row>
    <row r="78" spans="3:20" ht="14.5" x14ac:dyDescent="0.4">
      <c r="D78" s="7" t="s">
        <v>302</v>
      </c>
      <c r="G78" s="7" t="s">
        <v>303</v>
      </c>
      <c r="J78" s="7">
        <v>1666666.6666666667</v>
      </c>
      <c r="K78" s="7" t="s">
        <v>304</v>
      </c>
      <c r="O78" s="7" t="s">
        <v>251</v>
      </c>
      <c r="R78" s="7">
        <v>30</v>
      </c>
    </row>
    <row r="79" spans="3:20" ht="14.5" x14ac:dyDescent="0.4">
      <c r="G79" s="7" t="s">
        <v>305</v>
      </c>
      <c r="J79" s="7">
        <v>3131672.5978647689</v>
      </c>
      <c r="K79" s="7" t="s">
        <v>304</v>
      </c>
      <c r="O79" s="7" t="s">
        <v>252</v>
      </c>
      <c r="R79" s="7">
        <v>140</v>
      </c>
    </row>
    <row r="80" spans="3:20" ht="14.5" x14ac:dyDescent="0.4">
      <c r="O80" s="7" t="s">
        <v>253</v>
      </c>
      <c r="R80" s="7">
        <v>90</v>
      </c>
    </row>
    <row r="81" spans="4:18" ht="14.5" x14ac:dyDescent="0.4">
      <c r="D81" s="7" t="s">
        <v>306</v>
      </c>
      <c r="G81" s="7" t="s">
        <v>307</v>
      </c>
      <c r="J81" s="7" t="s">
        <v>308</v>
      </c>
      <c r="K81" s="7" t="s">
        <v>304</v>
      </c>
      <c r="O81" s="7" t="s">
        <v>254</v>
      </c>
      <c r="R81" s="7">
        <v>90</v>
      </c>
    </row>
    <row r="82" spans="4:18" ht="14.5" x14ac:dyDescent="0.4">
      <c r="G82" s="7" t="s">
        <v>309</v>
      </c>
      <c r="J82" s="7" t="s">
        <v>308</v>
      </c>
      <c r="K82" s="7" t="s">
        <v>304</v>
      </c>
      <c r="O82" s="7" t="s">
        <v>255</v>
      </c>
      <c r="R82" s="7">
        <v>60</v>
      </c>
    </row>
    <row r="83" spans="4:18" ht="14.5" x14ac:dyDescent="0.4">
      <c r="O83" s="7" t="s">
        <v>256</v>
      </c>
      <c r="R83" s="7">
        <v>60</v>
      </c>
    </row>
    <row r="84" spans="4:18" ht="14.5" x14ac:dyDescent="0.4">
      <c r="D84" s="7" t="s">
        <v>310</v>
      </c>
      <c r="G84" s="7" t="s">
        <v>311</v>
      </c>
      <c r="J84" s="7">
        <v>1176388.8888888888</v>
      </c>
      <c r="K84" s="7" t="s">
        <v>304</v>
      </c>
      <c r="O84" s="7" t="s">
        <v>257</v>
      </c>
      <c r="R84" s="7">
        <v>60</v>
      </c>
    </row>
    <row r="85" spans="4:18" ht="14.5" x14ac:dyDescent="0.4">
      <c r="G85" s="7" t="s">
        <v>312</v>
      </c>
      <c r="J85" s="7">
        <v>2016666.666666667</v>
      </c>
      <c r="K85" s="7" t="s">
        <v>304</v>
      </c>
      <c r="O85" s="7" t="s">
        <v>258</v>
      </c>
      <c r="R85" s="7">
        <v>30</v>
      </c>
    </row>
    <row r="86" spans="4:18" ht="14.5" x14ac:dyDescent="0.4">
      <c r="O86" s="7" t="s">
        <v>259</v>
      </c>
      <c r="R86" s="7">
        <v>30</v>
      </c>
    </row>
    <row r="87" spans="4:18" ht="14.5" x14ac:dyDescent="0.4">
      <c r="D87" s="7" t="s">
        <v>313</v>
      </c>
      <c r="J87" s="7">
        <v>7991394.8200869914</v>
      </c>
      <c r="K87" s="7" t="s">
        <v>304</v>
      </c>
      <c r="O87" s="7" t="s">
        <v>260</v>
      </c>
      <c r="R87" s="7">
        <v>30</v>
      </c>
    </row>
    <row r="88" spans="4:18" ht="14.5" x14ac:dyDescent="0.4">
      <c r="O88" s="7" t="s">
        <v>261</v>
      </c>
    </row>
    <row r="89" spans="4:18" ht="14.5" x14ac:dyDescent="0.4">
      <c r="O89" s="7" t="s">
        <v>262</v>
      </c>
    </row>
    <row r="90" spans="4:18" ht="14.5" x14ac:dyDescent="0.4">
      <c r="O90" s="7" t="s">
        <v>314</v>
      </c>
      <c r="P90" s="7" t="s">
        <v>315</v>
      </c>
    </row>
    <row r="91" spans="4:18" ht="14.5" x14ac:dyDescent="0.4">
      <c r="P91" s="7" t="s">
        <v>316</v>
      </c>
    </row>
    <row r="92" spans="4:18" ht="14.5" x14ac:dyDescent="0.4">
      <c r="P92" s="7" t="s">
        <v>317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E57C0-45C6-471F-B70D-A3746CDB3953}">
  <sheetPr codeName="Sheet6">
    <tabColor rgb="FF00B050"/>
  </sheetPr>
  <dimension ref="C4:AC46"/>
  <sheetViews>
    <sheetView workbookViewId="0">
      <selection activeCell="H25" sqref="H25"/>
    </sheetView>
  </sheetViews>
  <sheetFormatPr defaultRowHeight="14" x14ac:dyDescent="0.3"/>
  <sheetData>
    <row r="4" spans="3:29" x14ac:dyDescent="0.3">
      <c r="W4" t="s">
        <v>318</v>
      </c>
      <c r="AC4" t="s">
        <v>319</v>
      </c>
    </row>
    <row r="6" spans="3:29" x14ac:dyDescent="0.3">
      <c r="C6" t="s">
        <v>320</v>
      </c>
    </row>
    <row r="8" spans="3:29" x14ac:dyDescent="0.3">
      <c r="C8" t="s">
        <v>321</v>
      </c>
      <c r="H8" t="s">
        <v>148</v>
      </c>
      <c r="R8" t="s">
        <v>322</v>
      </c>
      <c r="V8" t="s">
        <v>83</v>
      </c>
    </row>
    <row r="9" spans="3:29" x14ac:dyDescent="0.3">
      <c r="C9" t="s">
        <v>323</v>
      </c>
    </row>
    <row r="11" spans="3:29" x14ac:dyDescent="0.3">
      <c r="D11" t="s">
        <v>324</v>
      </c>
      <c r="R11" t="s">
        <v>325</v>
      </c>
    </row>
    <row r="16" spans="3:29" x14ac:dyDescent="0.3">
      <c r="D16" t="s">
        <v>326</v>
      </c>
      <c r="H16" t="s">
        <v>327</v>
      </c>
      <c r="R16" t="s">
        <v>326</v>
      </c>
      <c r="V16" t="s">
        <v>327</v>
      </c>
    </row>
    <row r="17" spans="3:22" x14ac:dyDescent="0.3">
      <c r="D17" t="s">
        <v>328</v>
      </c>
      <c r="H17" t="s">
        <v>329</v>
      </c>
      <c r="R17" t="s">
        <v>328</v>
      </c>
      <c r="V17" t="s">
        <v>330</v>
      </c>
    </row>
    <row r="18" spans="3:22" x14ac:dyDescent="0.3">
      <c r="D18" t="s">
        <v>331</v>
      </c>
      <c r="H18" t="s">
        <v>191</v>
      </c>
      <c r="R18" t="s">
        <v>332</v>
      </c>
      <c r="V18" t="s">
        <v>333</v>
      </c>
    </row>
    <row r="19" spans="3:22" x14ac:dyDescent="0.3">
      <c r="D19" t="s">
        <v>334</v>
      </c>
      <c r="H19" t="s">
        <v>335</v>
      </c>
      <c r="R19" t="s">
        <v>334</v>
      </c>
      <c r="V19" t="s">
        <v>336</v>
      </c>
    </row>
    <row r="20" spans="3:22" x14ac:dyDescent="0.3">
      <c r="C20" t="s">
        <v>337</v>
      </c>
    </row>
    <row r="21" spans="3:22" x14ac:dyDescent="0.3">
      <c r="C21" t="s">
        <v>338</v>
      </c>
    </row>
    <row r="22" spans="3:22" x14ac:dyDescent="0.3">
      <c r="D22" t="s">
        <v>339</v>
      </c>
      <c r="O22" t="s">
        <v>81</v>
      </c>
    </row>
    <row r="23" spans="3:22" x14ac:dyDescent="0.3">
      <c r="D23" t="s">
        <v>322</v>
      </c>
      <c r="O23" t="s">
        <v>83</v>
      </c>
    </row>
    <row r="24" spans="3:22" x14ac:dyDescent="0.3">
      <c r="D24" t="s">
        <v>340</v>
      </c>
      <c r="O24" t="s">
        <v>91</v>
      </c>
    </row>
    <row r="25" spans="3:22" x14ac:dyDescent="0.3">
      <c r="D25" t="s">
        <v>341</v>
      </c>
      <c r="O25" t="s">
        <v>157</v>
      </c>
    </row>
    <row r="26" spans="3:22" x14ac:dyDescent="0.3">
      <c r="D26" t="s">
        <v>342</v>
      </c>
      <c r="O26" t="s">
        <v>69</v>
      </c>
    </row>
    <row r="27" spans="3:22" x14ac:dyDescent="0.3">
      <c r="D27" t="s">
        <v>343</v>
      </c>
      <c r="O27" t="s">
        <v>132</v>
      </c>
    </row>
    <row r="28" spans="3:22" x14ac:dyDescent="0.3">
      <c r="D28" t="s">
        <v>344</v>
      </c>
      <c r="O28" t="s">
        <v>130</v>
      </c>
    </row>
    <row r="29" spans="3:22" x14ac:dyDescent="0.3">
      <c r="D29" t="s">
        <v>345</v>
      </c>
      <c r="O29" t="s">
        <v>93</v>
      </c>
    </row>
    <row r="30" spans="3:22" x14ac:dyDescent="0.3">
      <c r="C30" t="s">
        <v>346</v>
      </c>
    </row>
    <row r="31" spans="3:22" x14ac:dyDescent="0.3">
      <c r="D31" t="s">
        <v>347</v>
      </c>
      <c r="O31">
        <v>24</v>
      </c>
    </row>
    <row r="32" spans="3:22" x14ac:dyDescent="0.3">
      <c r="D32" t="s">
        <v>348</v>
      </c>
      <c r="O32">
        <v>27000000</v>
      </c>
    </row>
    <row r="33" spans="3:28" x14ac:dyDescent="0.3">
      <c r="D33" t="s">
        <v>349</v>
      </c>
      <c r="O33">
        <v>0.2</v>
      </c>
    </row>
    <row r="34" spans="3:28" x14ac:dyDescent="0.3">
      <c r="D34" t="s">
        <v>350</v>
      </c>
      <c r="O34" t="s">
        <v>351</v>
      </c>
    </row>
    <row r="35" spans="3:28" x14ac:dyDescent="0.3">
      <c r="D35" t="s">
        <v>352</v>
      </c>
      <c r="O35">
        <v>1378000</v>
      </c>
    </row>
    <row r="36" spans="3:28" x14ac:dyDescent="0.3">
      <c r="C36" t="s">
        <v>353</v>
      </c>
    </row>
    <row r="37" spans="3:28" x14ac:dyDescent="0.3">
      <c r="D37" t="s">
        <v>354</v>
      </c>
      <c r="O37">
        <v>1</v>
      </c>
    </row>
    <row r="38" spans="3:28" x14ac:dyDescent="0.3">
      <c r="D38" t="s">
        <v>355</v>
      </c>
    </row>
    <row r="39" spans="3:28" x14ac:dyDescent="0.3">
      <c r="E39" t="s">
        <v>356</v>
      </c>
      <c r="O39">
        <v>4</v>
      </c>
      <c r="S39" t="s">
        <v>357</v>
      </c>
      <c r="AB39">
        <v>14</v>
      </c>
    </row>
    <row r="40" spans="3:28" x14ac:dyDescent="0.3">
      <c r="E40">
        <v>1</v>
      </c>
      <c r="F40" t="s">
        <v>358</v>
      </c>
      <c r="O40">
        <v>1</v>
      </c>
      <c r="S40">
        <v>1</v>
      </c>
      <c r="T40" t="s">
        <v>359</v>
      </c>
      <c r="AB40">
        <v>5</v>
      </c>
    </row>
    <row r="41" spans="3:28" x14ac:dyDescent="0.3">
      <c r="E41">
        <v>2</v>
      </c>
      <c r="F41" t="s">
        <v>360</v>
      </c>
      <c r="O41">
        <v>1</v>
      </c>
      <c r="S41">
        <v>2</v>
      </c>
      <c r="T41" t="s">
        <v>361</v>
      </c>
      <c r="AB41">
        <v>5</v>
      </c>
    </row>
    <row r="42" spans="3:28" x14ac:dyDescent="0.3">
      <c r="E42">
        <v>3.1</v>
      </c>
      <c r="F42" t="s">
        <v>362</v>
      </c>
      <c r="O42">
        <v>1</v>
      </c>
      <c r="S42">
        <v>3</v>
      </c>
      <c r="T42" t="s">
        <v>363</v>
      </c>
      <c r="AB42">
        <v>1</v>
      </c>
    </row>
    <row r="43" spans="3:28" x14ac:dyDescent="0.3">
      <c r="E43">
        <v>3.2</v>
      </c>
      <c r="F43" t="s">
        <v>364</v>
      </c>
      <c r="O43">
        <v>1</v>
      </c>
      <c r="S43">
        <v>4</v>
      </c>
      <c r="T43" t="s">
        <v>365</v>
      </c>
      <c r="AB43">
        <v>3</v>
      </c>
    </row>
    <row r="44" spans="3:28" x14ac:dyDescent="0.3">
      <c r="E44">
        <v>3.3</v>
      </c>
      <c r="F44" t="s">
        <v>345</v>
      </c>
      <c r="O44">
        <v>1</v>
      </c>
    </row>
    <row r="45" spans="3:28" x14ac:dyDescent="0.3">
      <c r="E45">
        <v>4</v>
      </c>
      <c r="F45" t="s">
        <v>366</v>
      </c>
      <c r="O45">
        <v>1</v>
      </c>
    </row>
    <row r="46" spans="3:28" x14ac:dyDescent="0.3">
      <c r="E46" t="s">
        <v>367</v>
      </c>
      <c r="O46">
        <v>1</v>
      </c>
      <c r="S46" t="s">
        <v>368</v>
      </c>
      <c r="AB46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BE66-F05C-4E89-8C22-B3A0922566C2}">
  <sheetPr codeName="Sheet7">
    <tabColor rgb="FF00B050"/>
  </sheetPr>
  <dimension ref="A7:H28"/>
  <sheetViews>
    <sheetView workbookViewId="0">
      <selection activeCell="I14" sqref="I14"/>
    </sheetView>
  </sheetViews>
  <sheetFormatPr defaultRowHeight="14" x14ac:dyDescent="0.3"/>
  <sheetData>
    <row r="7" spans="1:8" x14ac:dyDescent="0.3">
      <c r="A7" t="s">
        <v>369</v>
      </c>
    </row>
    <row r="9" spans="1:8" x14ac:dyDescent="0.3">
      <c r="C9" t="s">
        <v>370</v>
      </c>
    </row>
    <row r="11" spans="1:8" x14ac:dyDescent="0.3">
      <c r="H11" t="s">
        <v>371</v>
      </c>
    </row>
    <row r="12" spans="1:8" x14ac:dyDescent="0.3">
      <c r="H12" t="s">
        <v>372</v>
      </c>
    </row>
    <row r="15" spans="1:8" x14ac:dyDescent="0.3">
      <c r="C15" t="s">
        <v>373</v>
      </c>
    </row>
    <row r="18" spans="4:8" x14ac:dyDescent="0.3">
      <c r="H18" t="s">
        <v>326</v>
      </c>
    </row>
    <row r="19" spans="4:8" x14ac:dyDescent="0.3">
      <c r="H19" t="s">
        <v>328</v>
      </c>
    </row>
    <row r="20" spans="4:8" x14ac:dyDescent="0.3">
      <c r="H20" t="s">
        <v>374</v>
      </c>
    </row>
    <row r="21" spans="4:8" x14ac:dyDescent="0.3">
      <c r="H21" t="s">
        <v>372</v>
      </c>
    </row>
    <row r="24" spans="4:8" x14ac:dyDescent="0.3">
      <c r="D24" t="s">
        <v>375</v>
      </c>
    </row>
    <row r="26" spans="4:8" x14ac:dyDescent="0.3">
      <c r="D26" t="s">
        <v>376</v>
      </c>
      <c r="H26" t="s">
        <v>157</v>
      </c>
    </row>
    <row r="27" spans="4:8" x14ac:dyDescent="0.3">
      <c r="D27" t="s">
        <v>377</v>
      </c>
      <c r="H27" t="s">
        <v>69</v>
      </c>
    </row>
    <row r="28" spans="4:8" x14ac:dyDescent="0.3">
      <c r="D28" t="s">
        <v>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NegativeList</vt:lpstr>
      <vt:lpstr>Fraud_Analysis</vt:lpstr>
      <vt:lpstr>appData</vt:lpstr>
      <vt:lpstr>CIC</vt:lpstr>
      <vt:lpstr>Result</vt:lpstr>
      <vt:lpstr>GeneralDirector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2022-08-23T01:32:07Z</dcterms:created>
  <dcterms:modified xsi:type="dcterms:W3CDTF">2022-09-22T09:17:25Z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6d43a5-0c77-41d3-9989-6983ab472f82_Enabled">
    <vt:lpwstr>true</vt:lpwstr>
  </property>
  <property fmtid="{D5CDD505-2E9C-101B-9397-08002B2CF9AE}" pid="3" name="MSIP_Label_5d6d43a5-0c77-41d3-9989-6983ab472f82_SetDate">
    <vt:lpwstr>2022-09-12T07:56:55Z</vt:lpwstr>
  </property>
  <property fmtid="{D5CDD505-2E9C-101B-9397-08002B2CF9AE}" pid="4" name="MSIP_Label_5d6d43a5-0c77-41d3-9989-6983ab472f82_Method">
    <vt:lpwstr>Standard</vt:lpwstr>
  </property>
  <property fmtid="{D5CDD505-2E9C-101B-9397-08002B2CF9AE}" pid="5" name="MSIP_Label_5d6d43a5-0c77-41d3-9989-6983ab472f82_Name">
    <vt:lpwstr>5d6d43a5-0c77-41d3-9989-6983ab472f82</vt:lpwstr>
  </property>
  <property fmtid="{D5CDD505-2E9C-101B-9397-08002B2CF9AE}" pid="6" name="MSIP_Label_5d6d43a5-0c77-41d3-9989-6983ab472f82_SiteId">
    <vt:lpwstr>8e11df9f-4615-434f-a6c6-8a0cb4ffeb6c</vt:lpwstr>
  </property>
  <property fmtid="{D5CDD505-2E9C-101B-9397-08002B2CF9AE}" pid="7" name="MSIP_Label_5d6d43a5-0c77-41d3-9989-6983ab472f82_ActionId">
    <vt:lpwstr>489e90ad-fc08-4729-af31-bf8caf0ee137</vt:lpwstr>
  </property>
  <property fmtid="{D5CDD505-2E9C-101B-9397-08002B2CF9AE}" pid="8" name="MSIP_Label_5d6d43a5-0c77-41d3-9989-6983ab472f82_ContentBits">
    <vt:lpwstr>0</vt:lpwstr>
  </property>
</Properties>
</file>