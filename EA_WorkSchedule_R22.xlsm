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0" documentId="10_ncr:10020000_{135496E5-544A-4D18-ACD6-7733288F03BE}" xr6:coauthVersionLast="47" xr6:coauthVersionMax="47" xr10:uidLastSave="{00000000-0000-0000-0000-000000000000}"/>
  <bookViews>
    <workbookView xWindow="-38480" yWindow="530" windowWidth="38560" windowHeight="21040" firstSheet="1" activeTab="1" xr2:uid="{3AAFA5A8-BE87-48E4-8D01-8808AB85EB7F}"/>
  </bookViews>
  <sheets>
    <sheet name="PublicHolidays" sheetId="1" state="hidden" r:id="rId1"/>
    <sheet name="Summary" sheetId="151" r:id="rId2"/>
    <sheet name="WorkSchedule" sheetId="20" r:id="rId3"/>
    <sheet name="MandaySchedule" sheetId="21" r:id="rId4"/>
  </sheets>
  <functionGroups builtInGroupCount="19"/>
  <definedNames>
    <definedName name="contribution">WorkSchedule!$U$12:$AD$47</definedName>
    <definedName name="duration">WorkSchedule!$G$12:$G$47</definedName>
    <definedName name="effort">WorkSchedule!$T$12:$T$47</definedName>
    <definedName name="EffortType">MandaySchedule!$E$50:$E$59</definedName>
    <definedName name="holidays">PublicHolidays!$B$2:$B$74</definedName>
    <definedName name="members">MandaySchedule!$B$50:$B$59</definedName>
    <definedName name="workingdays">MandaySchedule!$G$12:$AC$47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0" l="1"/>
  <c r="B59" i="21" l="1"/>
  <c r="B58" i="21"/>
  <c r="B57" i="21"/>
  <c r="B56" i="21"/>
  <c r="B55" i="21"/>
  <c r="B54" i="21"/>
  <c r="B53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D20" i="21"/>
  <c r="D16" i="21"/>
  <c r="D15" i="21"/>
  <c r="D14" i="21"/>
  <c r="D12" i="21" a="1"/>
  <c r="C4" i="21"/>
  <c r="C3" i="21"/>
  <c r="C3" i="21" a="1"/>
  <c r="U47" i="20"/>
  <c r="H47" i="20"/>
  <c r="D47" i="20"/>
  <c r="B47" i="20"/>
  <c r="U46" i="20"/>
  <c r="H46" i="20"/>
  <c r="D46" i="20"/>
  <c r="B46" i="20"/>
  <c r="H45" i="20"/>
  <c r="D45" i="20"/>
  <c r="B45" i="20"/>
  <c r="U44" i="20"/>
  <c r="H44" i="20"/>
  <c r="D44" i="20"/>
  <c r="B44" i="20"/>
  <c r="U43" i="20"/>
  <c r="H43" i="20"/>
  <c r="D43" i="20"/>
  <c r="B43" i="20"/>
  <c r="U42" i="20"/>
  <c r="H42" i="20"/>
  <c r="D42" i="20"/>
  <c r="B42" i="20"/>
  <c r="U41" i="20"/>
  <c r="H41" i="20"/>
  <c r="B41" i="20"/>
  <c r="H40" i="20"/>
  <c r="D40" i="20"/>
  <c r="B40" i="20"/>
  <c r="U39" i="20"/>
  <c r="H39" i="20"/>
  <c r="D39" i="20"/>
  <c r="B39" i="20"/>
  <c r="H38" i="20"/>
  <c r="D38" i="20"/>
  <c r="B38" i="20"/>
  <c r="U37" i="20"/>
  <c r="H37" i="20"/>
  <c r="B37" i="20"/>
  <c r="U36" i="20"/>
  <c r="H36" i="20"/>
  <c r="B36" i="20"/>
  <c r="U35" i="20"/>
  <c r="H35" i="20"/>
  <c r="B35" i="20"/>
  <c r="U34" i="20"/>
  <c r="H34" i="20"/>
  <c r="B34" i="20"/>
  <c r="U33" i="20"/>
  <c r="H33" i="20"/>
  <c r="G33" i="20"/>
  <c r="B33" i="20"/>
  <c r="U32" i="20"/>
  <c r="H32" i="20"/>
  <c r="B32" i="20"/>
  <c r="H31" i="20"/>
  <c r="B31" i="20"/>
  <c r="U30" i="20"/>
  <c r="H30" i="20"/>
  <c r="D30" i="20"/>
  <c r="B30" i="20"/>
  <c r="U29" i="20"/>
  <c r="H29" i="20"/>
  <c r="B29" i="20"/>
  <c r="U28" i="20"/>
  <c r="H28" i="20"/>
  <c r="D28" i="20"/>
  <c r="B28" i="20"/>
  <c r="U27" i="20"/>
  <c r="H27" i="20"/>
  <c r="D27" i="20"/>
  <c r="B27" i="20"/>
  <c r="U26" i="20"/>
  <c r="H26" i="20"/>
  <c r="D26" i="20"/>
  <c r="B26" i="20"/>
  <c r="U25" i="20"/>
  <c r="H25" i="20"/>
  <c r="B25" i="20"/>
  <c r="U24" i="20"/>
  <c r="H24" i="20"/>
  <c r="B24" i="20"/>
  <c r="U23" i="20"/>
  <c r="H23" i="20"/>
  <c r="B23" i="20"/>
  <c r="U22" i="20"/>
  <c r="H22" i="20"/>
  <c r="B22" i="20"/>
  <c r="U21" i="20"/>
  <c r="H21" i="20"/>
  <c r="B21" i="20"/>
  <c r="U20" i="20"/>
  <c r="I20" i="20"/>
  <c r="H20" i="20"/>
  <c r="B20" i="20"/>
  <c r="H19" i="20"/>
  <c r="B19" i="20"/>
  <c r="V18" i="20"/>
  <c r="U18" i="20"/>
  <c r="H18" i="20"/>
  <c r="B18" i="20"/>
  <c r="V17" i="20"/>
  <c r="U17" i="20"/>
  <c r="H17" i="20"/>
  <c r="B17" i="20"/>
  <c r="V16" i="20"/>
  <c r="U16" i="20"/>
  <c r="I16" i="20"/>
  <c r="H16" i="20"/>
  <c r="G16" i="20"/>
  <c r="F16" i="20"/>
  <c r="B16" i="20"/>
  <c r="V15" i="20"/>
  <c r="U15" i="20"/>
  <c r="I15" i="20"/>
  <c r="H15" i="20"/>
  <c r="G15" i="20"/>
  <c r="F15" i="20"/>
  <c r="B15" i="20"/>
  <c r="V14" i="20"/>
  <c r="U14" i="20"/>
  <c r="I14" i="20"/>
  <c r="H14" i="20"/>
  <c r="B14" i="20"/>
  <c r="H13" i="20"/>
  <c r="B13" i="20"/>
  <c r="H12" i="20"/>
  <c r="C5" i="21"/>
  <c r="J16" i="20" a="1"/>
  <c r="J15" i="20" a="1"/>
  <c r="J14" i="20" a="1"/>
  <c r="J20" i="20" a="1"/>
  <c r="J20" i="20" l="1"/>
  <c r="J14" i="20"/>
  <c r="J15" i="20"/>
  <c r="J16" i="20"/>
  <c r="L20" i="20" a="1"/>
  <c r="L14" i="20" a="1"/>
  <c r="L15" i="20" a="1"/>
  <c r="L16" i="20" a="1"/>
  <c r="L16" i="20" l="1"/>
  <c r="M16" i="20" s="1"/>
  <c r="L15" i="20"/>
  <c r="M15" i="20" s="1"/>
  <c r="L14" i="20"/>
  <c r="M14" i="20" s="1"/>
  <c r="L20" i="20"/>
  <c r="M20" i="20" s="1"/>
  <c r="E16" i="21"/>
  <c r="F16" i="21" s="1"/>
  <c r="F17" i="20"/>
  <c r="K16" i="20"/>
  <c r="K15" i="20"/>
  <c r="E15" i="21"/>
  <c r="F15" i="21" s="1"/>
  <c r="K14" i="20"/>
  <c r="E14" i="21"/>
  <c r="F14" i="21" s="1"/>
  <c r="F21" i="20"/>
  <c r="E20" i="21"/>
  <c r="F20" i="21" s="1"/>
  <c r="K20" i="20"/>
  <c r="I17" i="20" l="1"/>
  <c r="F18" i="20"/>
  <c r="I18" i="20" s="1"/>
  <c r="I21" i="20"/>
  <c r="F22" i="20"/>
  <c r="I22" i="20" s="1"/>
  <c r="O15" i="20"/>
  <c r="R15" i="20"/>
  <c r="N15" i="20"/>
  <c r="P15" i="20"/>
  <c r="O16" i="20"/>
  <c r="P16" i="20"/>
  <c r="R16" i="20"/>
  <c r="N16" i="20"/>
  <c r="N14" i="20"/>
  <c r="R14" i="20"/>
  <c r="P14" i="20"/>
  <c r="O14" i="20"/>
  <c r="O20" i="20"/>
  <c r="N20" i="20"/>
  <c r="P20" i="20"/>
  <c r="R20" i="20"/>
  <c r="J17" i="20" a="1"/>
  <c r="J18" i="20" a="1"/>
  <c r="J21" i="20" a="1"/>
  <c r="J22" i="20" a="1"/>
  <c r="Q16" i="20" l="1"/>
  <c r="Q15" i="20"/>
  <c r="J22" i="20"/>
  <c r="J21" i="20"/>
  <c r="J18" i="20"/>
  <c r="J17" i="20"/>
  <c r="D22" i="21"/>
  <c r="D21" i="21"/>
  <c r="D18" i="21"/>
  <c r="D17" i="21"/>
  <c r="I13" i="20"/>
  <c r="Q14" i="20"/>
  <c r="Q20" i="20"/>
  <c r="L22" i="20" a="1"/>
  <c r="L21" i="20" a="1"/>
  <c r="L18" i="20" a="1"/>
  <c r="L17" i="20" a="1"/>
  <c r="L17" i="20" l="1"/>
  <c r="L18" i="20"/>
  <c r="M18" i="20" s="1"/>
  <c r="L21" i="20"/>
  <c r="L22" i="20"/>
  <c r="M22" i="20" s="1"/>
  <c r="E17" i="21"/>
  <c r="F17" i="21" s="1"/>
  <c r="K17" i="20"/>
  <c r="J13" i="20"/>
  <c r="E18" i="21"/>
  <c r="F18" i="21" s="1"/>
  <c r="K18" i="20"/>
  <c r="D13" i="21"/>
  <c r="F13" i="20"/>
  <c r="E21" i="21"/>
  <c r="F21" i="21" s="1"/>
  <c r="K21" i="20"/>
  <c r="F23" i="20"/>
  <c r="I23" i="20" s="1"/>
  <c r="K22" i="20"/>
  <c r="E22" i="21"/>
  <c r="F22" i="21" s="1"/>
  <c r="L13" i="20" a="1"/>
  <c r="J23" i="20" a="1"/>
  <c r="J23" i="20" l="1"/>
  <c r="L13" i="20"/>
  <c r="D23" i="21"/>
  <c r="K13" i="20"/>
  <c r="E13" i="21"/>
  <c r="F13" i="21" s="1"/>
  <c r="G13" i="20"/>
  <c r="M21" i="20"/>
  <c r="N18" i="20"/>
  <c r="R18" i="20"/>
  <c r="P18" i="20"/>
  <c r="O18" i="20"/>
  <c r="P22" i="20"/>
  <c r="O22" i="20"/>
  <c r="R22" i="20"/>
  <c r="N22" i="20"/>
  <c r="M17" i="20"/>
  <c r="L23" i="20" a="1"/>
  <c r="M13" i="20" a="1"/>
  <c r="Q22" i="20" l="1"/>
  <c r="Q18" i="20"/>
  <c r="M13" i="20"/>
  <c r="R13" i="20" s="1"/>
  <c r="L23" i="20"/>
  <c r="M23" i="20" s="1"/>
  <c r="D64" i="21" a="1"/>
  <c r="D64" i="21" s="1"/>
  <c r="O21" i="20"/>
  <c r="P21" i="20"/>
  <c r="R21" i="20"/>
  <c r="N21" i="20"/>
  <c r="R17" i="20"/>
  <c r="O17" i="20"/>
  <c r="P17" i="20"/>
  <c r="N17" i="20"/>
  <c r="F24" i="20"/>
  <c r="E23" i="21"/>
  <c r="F23" i="21" s="1"/>
  <c r="K23" i="20"/>
  <c r="Q17" i="20" l="1"/>
  <c r="I24" i="20"/>
  <c r="F25" i="20"/>
  <c r="I25" i="20" s="1"/>
  <c r="Q21" i="20"/>
  <c r="O13" i="20"/>
  <c r="N13" i="20"/>
  <c r="P13" i="20"/>
  <c r="J24" i="20" a="1"/>
  <c r="J25" i="20" a="1"/>
  <c r="J25" i="20" l="1"/>
  <c r="J24" i="20"/>
  <c r="Q13" i="20"/>
  <c r="N23" i="20"/>
  <c r="R23" i="20"/>
  <c r="P23" i="20"/>
  <c r="O23" i="20"/>
  <c r="D25" i="21"/>
  <c r="D24" i="21"/>
  <c r="L25" i="20" a="1"/>
  <c r="L24" i="20" a="1"/>
  <c r="L24" i="20" l="1"/>
  <c r="M24" i="20" s="1"/>
  <c r="L25" i="20"/>
  <c r="M25" i="20" s="1"/>
  <c r="Q23" i="20"/>
  <c r="E24" i="21"/>
  <c r="F24" i="21" s="1"/>
  <c r="K24" i="20"/>
  <c r="E25" i="21"/>
  <c r="F25" i="21" s="1"/>
  <c r="F26" i="20"/>
  <c r="I26" i="20" s="1"/>
  <c r="K25" i="20"/>
  <c r="J26" i="20" a="1"/>
  <c r="N25" i="20" l="1"/>
  <c r="O25" i="20"/>
  <c r="R25" i="20"/>
  <c r="P25" i="20"/>
  <c r="J26" i="20"/>
  <c r="D26" i="21"/>
  <c r="L26" i="20" a="1"/>
  <c r="Q25" i="20" l="1"/>
  <c r="L26" i="20"/>
  <c r="M26" i="20" s="1"/>
  <c r="R24" i="20"/>
  <c r="P24" i="20"/>
  <c r="O24" i="20"/>
  <c r="N24" i="20"/>
  <c r="F32" i="20"/>
  <c r="F27" i="20"/>
  <c r="I27" i="20" s="1"/>
  <c r="E26" i="21"/>
  <c r="F26" i="21" s="1"/>
  <c r="K26" i="20"/>
  <c r="J27" i="20" a="1"/>
  <c r="J27" i="20" l="1"/>
  <c r="Q24" i="20"/>
  <c r="F33" i="20"/>
  <c r="I33" i="20" s="1"/>
  <c r="I32" i="20"/>
  <c r="D27" i="21"/>
  <c r="L27" i="20" a="1"/>
  <c r="J32" i="20" a="1"/>
  <c r="J33" i="20" a="1"/>
  <c r="L27" i="20" l="1"/>
  <c r="M27" i="20" s="1"/>
  <c r="J33" i="20"/>
  <c r="J32" i="20"/>
  <c r="D33" i="21"/>
  <c r="O26" i="20"/>
  <c r="R26" i="20"/>
  <c r="P26" i="20"/>
  <c r="N26" i="20"/>
  <c r="D32" i="21"/>
  <c r="F28" i="20"/>
  <c r="I28" i="20" s="1"/>
  <c r="E27" i="21"/>
  <c r="F27" i="21" s="1"/>
  <c r="K27" i="20"/>
  <c r="L33" i="20" a="1"/>
  <c r="L32" i="20" a="1"/>
  <c r="J28" i="20" a="1"/>
  <c r="Q26" i="20" l="1"/>
  <c r="J28" i="20"/>
  <c r="L32" i="20"/>
  <c r="L33" i="20"/>
  <c r="M33" i="20" s="1"/>
  <c r="D28" i="21"/>
  <c r="K32" i="20"/>
  <c r="E32" i="21"/>
  <c r="F32" i="21" s="1"/>
  <c r="E33" i="21"/>
  <c r="F33" i="21" s="1"/>
  <c r="F34" i="20"/>
  <c r="I34" i="20" s="1"/>
  <c r="K33" i="20"/>
  <c r="L28" i="20" a="1"/>
  <c r="J34" i="20" a="1"/>
  <c r="J34" i="20" l="1"/>
  <c r="L28" i="20"/>
  <c r="D34" i="21"/>
  <c r="P33" i="20"/>
  <c r="R33" i="20"/>
  <c r="O33" i="20"/>
  <c r="N33" i="20"/>
  <c r="M32" i="20"/>
  <c r="O27" i="20"/>
  <c r="R27" i="20"/>
  <c r="P27" i="20"/>
  <c r="N27" i="20"/>
  <c r="F29" i="20"/>
  <c r="I29" i="20" s="1"/>
  <c r="E28" i="21"/>
  <c r="F28" i="21" s="1"/>
  <c r="K28" i="20"/>
  <c r="L34" i="20" a="1"/>
  <c r="J29" i="20" a="1"/>
  <c r="Q27" i="20" l="1"/>
  <c r="Q33" i="20"/>
  <c r="J29" i="20"/>
  <c r="L34" i="20"/>
  <c r="D29" i="21"/>
  <c r="M28" i="20"/>
  <c r="N32" i="20"/>
  <c r="R32" i="20"/>
  <c r="P32" i="20"/>
  <c r="O32" i="20"/>
  <c r="E34" i="21"/>
  <c r="F34" i="21" s="1"/>
  <c r="K34" i="20"/>
  <c r="F35" i="20"/>
  <c r="I35" i="20" s="1"/>
  <c r="L29" i="20" a="1"/>
  <c r="J35" i="20" a="1"/>
  <c r="J35" i="20" l="1"/>
  <c r="L29" i="20"/>
  <c r="Q32" i="20"/>
  <c r="N28" i="20"/>
  <c r="O28" i="20"/>
  <c r="R28" i="20"/>
  <c r="P28" i="20"/>
  <c r="D35" i="21"/>
  <c r="M34" i="20"/>
  <c r="K29" i="20"/>
  <c r="E29" i="21"/>
  <c r="F29" i="21" s="1"/>
  <c r="F30" i="20"/>
  <c r="I30" i="20" s="1"/>
  <c r="L35" i="20" a="1"/>
  <c r="J30" i="20" a="1"/>
  <c r="J30" i="20" l="1"/>
  <c r="L35" i="20"/>
  <c r="D30" i="21"/>
  <c r="I19" i="20"/>
  <c r="Q28" i="20"/>
  <c r="O34" i="20"/>
  <c r="N34" i="20"/>
  <c r="R34" i="20"/>
  <c r="P34" i="20"/>
  <c r="M29" i="20"/>
  <c r="F36" i="20"/>
  <c r="K35" i="20"/>
  <c r="E35" i="21"/>
  <c r="F35" i="21" s="1"/>
  <c r="L30" i="20" a="1"/>
  <c r="Q34" i="20" l="1"/>
  <c r="L30" i="20"/>
  <c r="F19" i="20"/>
  <c r="D19" i="21"/>
  <c r="R29" i="20"/>
  <c r="O29" i="20"/>
  <c r="N29" i="20"/>
  <c r="P29" i="20"/>
  <c r="M35" i="20"/>
  <c r="F37" i="20"/>
  <c r="I37" i="20" s="1"/>
  <c r="I36" i="20"/>
  <c r="E30" i="21"/>
  <c r="F30" i="21" s="1"/>
  <c r="K30" i="20"/>
  <c r="J19" i="20"/>
  <c r="L19" i="20" a="1"/>
  <c r="J36" i="20" a="1"/>
  <c r="J37" i="20" a="1"/>
  <c r="J37" i="20" l="1"/>
  <c r="J36" i="20"/>
  <c r="L19" i="20"/>
  <c r="Q29" i="20"/>
  <c r="K19" i="20"/>
  <c r="G19" i="20"/>
  <c r="E19" i="21"/>
  <c r="F19" i="21" s="1"/>
  <c r="D37" i="21"/>
  <c r="D36" i="21"/>
  <c r="R35" i="20"/>
  <c r="O35" i="20"/>
  <c r="N35" i="20"/>
  <c r="P35" i="20"/>
  <c r="M30" i="20"/>
  <c r="L37" i="20" a="1"/>
  <c r="L36" i="20" a="1"/>
  <c r="M19" i="20" a="1"/>
  <c r="M19" i="20" l="1"/>
  <c r="R19" i="20" s="1"/>
  <c r="L36" i="20"/>
  <c r="L37" i="20"/>
  <c r="M37" i="20" s="1"/>
  <c r="Q35" i="20"/>
  <c r="R30" i="20"/>
  <c r="O30" i="20"/>
  <c r="N30" i="20"/>
  <c r="P30" i="20"/>
  <c r="E36" i="21"/>
  <c r="F36" i="21" s="1"/>
  <c r="K36" i="20"/>
  <c r="E37" i="21"/>
  <c r="F37" i="21" s="1"/>
  <c r="K37" i="20"/>
  <c r="F38" i="20"/>
  <c r="I38" i="20" s="1"/>
  <c r="J38" i="20" a="1"/>
  <c r="J38" i="20" l="1"/>
  <c r="D38" i="21"/>
  <c r="R37" i="20"/>
  <c r="O37" i="20"/>
  <c r="N37" i="20"/>
  <c r="P37" i="20"/>
  <c r="M36" i="20"/>
  <c r="Q30" i="20"/>
  <c r="O19" i="20"/>
  <c r="N19" i="20"/>
  <c r="P19" i="20"/>
  <c r="L38" i="20" a="1"/>
  <c r="Q37" i="20" l="1"/>
  <c r="L38" i="20"/>
  <c r="M38" i="20" s="1"/>
  <c r="Q19" i="20"/>
  <c r="P36" i="20"/>
  <c r="O36" i="20"/>
  <c r="R36" i="20"/>
  <c r="N36" i="20"/>
  <c r="K38" i="20"/>
  <c r="F39" i="20"/>
  <c r="I39" i="20" s="1"/>
  <c r="E38" i="21"/>
  <c r="F38" i="21" s="1"/>
  <c r="J39" i="20" a="1"/>
  <c r="Q36" i="20" l="1"/>
  <c r="J39" i="20"/>
  <c r="D39" i="21"/>
  <c r="L39" i="20" a="1"/>
  <c r="L39" i="20" l="1"/>
  <c r="M39" i="20" s="1"/>
  <c r="N38" i="20"/>
  <c r="R38" i="20"/>
  <c r="P38" i="20"/>
  <c r="O38" i="20"/>
  <c r="K39" i="20"/>
  <c r="E39" i="21"/>
  <c r="F39" i="21" s="1"/>
  <c r="F40" i="20"/>
  <c r="I40" i="20" s="1"/>
  <c r="J40" i="20" a="1"/>
  <c r="J40" i="20" l="1"/>
  <c r="D40" i="21"/>
  <c r="Q38" i="20"/>
  <c r="L40" i="20" a="1"/>
  <c r="L40" i="20" l="1"/>
  <c r="M40" i="20" s="1"/>
  <c r="N39" i="20"/>
  <c r="O39" i="20"/>
  <c r="R39" i="20"/>
  <c r="P39" i="20"/>
  <c r="K40" i="20"/>
  <c r="E40" i="21"/>
  <c r="F40" i="21" s="1"/>
  <c r="F41" i="20"/>
  <c r="I41" i="20" s="1"/>
  <c r="J41" i="20" a="1"/>
  <c r="J41" i="20" l="1"/>
  <c r="D41" i="21"/>
  <c r="Q39" i="20"/>
  <c r="L41" i="20" a="1"/>
  <c r="L41" i="20" l="1"/>
  <c r="M41" i="20" s="1"/>
  <c r="O40" i="20"/>
  <c r="R40" i="20"/>
  <c r="N40" i="20"/>
  <c r="P40" i="20"/>
  <c r="K41" i="20"/>
  <c r="E41" i="21"/>
  <c r="F41" i="21" s="1"/>
  <c r="F42" i="20"/>
  <c r="I42" i="20" s="1"/>
  <c r="J42" i="20" a="1"/>
  <c r="J42" i="20" l="1"/>
  <c r="D42" i="21"/>
  <c r="Q40" i="20"/>
  <c r="L42" i="20" a="1"/>
  <c r="L42" i="20" l="1"/>
  <c r="R41" i="20"/>
  <c r="P41" i="20"/>
  <c r="N41" i="20"/>
  <c r="O41" i="20"/>
  <c r="F43" i="20"/>
  <c r="I43" i="20" s="1"/>
  <c r="E42" i="21"/>
  <c r="F42" i="21" s="1"/>
  <c r="K42" i="20"/>
  <c r="J43" i="20" a="1"/>
  <c r="Q41" i="20" l="1"/>
  <c r="J43" i="20"/>
  <c r="D43" i="21"/>
  <c r="M42" i="20"/>
  <c r="L43" i="20" a="1"/>
  <c r="L43" i="20" l="1"/>
  <c r="N42" i="20"/>
  <c r="P42" i="20"/>
  <c r="O42" i="20"/>
  <c r="R42" i="20"/>
  <c r="F44" i="20"/>
  <c r="I44" i="20" s="1"/>
  <c r="K43" i="20"/>
  <c r="E43" i="21"/>
  <c r="F43" i="21" s="1"/>
  <c r="J44" i="20" a="1"/>
  <c r="J44" i="20" l="1"/>
  <c r="D44" i="21"/>
  <c r="I31" i="20"/>
  <c r="Q42" i="20"/>
  <c r="M43" i="20"/>
  <c r="L44" i="20" a="1"/>
  <c r="L44" i="20" l="1"/>
  <c r="R43" i="20"/>
  <c r="O43" i="20"/>
  <c r="N43" i="20"/>
  <c r="P43" i="20"/>
  <c r="F31" i="20"/>
  <c r="D31" i="21"/>
  <c r="E44" i="21"/>
  <c r="F44" i="21" s="1"/>
  <c r="F46" i="20"/>
  <c r="I46" i="20" s="1"/>
  <c r="K44" i="20"/>
  <c r="J31" i="20"/>
  <c r="L31" i="20" a="1"/>
  <c r="J46" i="20" a="1"/>
  <c r="Q43" i="20" l="1"/>
  <c r="J46" i="20"/>
  <c r="L31" i="20"/>
  <c r="K31" i="20"/>
  <c r="E31" i="21"/>
  <c r="F31" i="21" s="1"/>
  <c r="G31" i="20"/>
  <c r="D46" i="21"/>
  <c r="M44" i="20"/>
  <c r="L46" i="20" a="1"/>
  <c r="M31" i="20" a="1"/>
  <c r="M31" i="20" l="1"/>
  <c r="R31" i="20" s="1"/>
  <c r="L46" i="20"/>
  <c r="R44" i="20"/>
  <c r="N44" i="20"/>
  <c r="O44" i="20"/>
  <c r="P44" i="20"/>
  <c r="F47" i="20"/>
  <c r="I47" i="20" s="1"/>
  <c r="E46" i="21"/>
  <c r="F46" i="21" s="1"/>
  <c r="K46" i="20"/>
  <c r="J47" i="20" a="1"/>
  <c r="Q44" i="20" l="1"/>
  <c r="J47" i="20"/>
  <c r="D47" i="21"/>
  <c r="I45" i="20"/>
  <c r="M46" i="20"/>
  <c r="N31" i="20"/>
  <c r="P31" i="20"/>
  <c r="O31" i="20"/>
  <c r="L47" i="20" a="1"/>
  <c r="Q31" i="20" l="1"/>
  <c r="L47" i="20"/>
  <c r="O46" i="20"/>
  <c r="N46" i="20"/>
  <c r="R46" i="20"/>
  <c r="P46" i="20"/>
  <c r="F45" i="20"/>
  <c r="D45" i="21"/>
  <c r="I12" i="20"/>
  <c r="K47" i="20"/>
  <c r="E47" i="21"/>
  <c r="F47" i="21" s="1"/>
  <c r="J45" i="20"/>
  <c r="L45" i="20" a="1"/>
  <c r="L45" i="20" l="1"/>
  <c r="G45" i="20"/>
  <c r="E45" i="21"/>
  <c r="F45" i="21" s="1"/>
  <c r="K45" i="20"/>
  <c r="J12" i="20"/>
  <c r="D12" i="21"/>
  <c r="F12" i="20"/>
  <c r="Q46" i="20"/>
  <c r="M47" i="20"/>
  <c r="L12" i="20" a="1"/>
  <c r="M45" i="20" a="1"/>
  <c r="L12" i="20" l="1"/>
  <c r="M45" i="20"/>
  <c r="R45" i="20" s="1"/>
  <c r="G12" i="20"/>
  <c r="E12" i="21"/>
  <c r="F12" i="21" s="1"/>
  <c r="K12" i="20"/>
  <c r="C7" i="20"/>
  <c r="R47" i="20"/>
  <c r="N47" i="20"/>
  <c r="O47" i="20"/>
  <c r="P47" i="20"/>
  <c r="C6" i="20"/>
  <c r="C6" i="21" s="1"/>
  <c r="M12" i="20" a="1"/>
  <c r="M12" i="20" l="1"/>
  <c r="R12" i="20" s="1"/>
  <c r="G49" i="21"/>
  <c r="G10" i="21"/>
  <c r="C7" i="21"/>
  <c r="C8" i="20"/>
  <c r="C8" i="21" s="1"/>
  <c r="Q47" i="20"/>
  <c r="P45" i="20"/>
  <c r="O45" i="20"/>
  <c r="N45" i="20"/>
  <c r="Q45" i="20" l="1"/>
  <c r="H49" i="21"/>
  <c r="I49" i="21" s="1"/>
  <c r="J49" i="21" s="1"/>
  <c r="K49" i="21" s="1"/>
  <c r="L49" i="21" s="1"/>
  <c r="M49" i="21" s="1"/>
  <c r="N49" i="21" s="1"/>
  <c r="O49" i="21" s="1"/>
  <c r="P49" i="21" s="1"/>
  <c r="Q49" i="21" s="1"/>
  <c r="R49" i="21" s="1"/>
  <c r="S49" i="21" s="1"/>
  <c r="T49" i="21" s="1"/>
  <c r="U49" i="21" s="1"/>
  <c r="V49" i="21" s="1"/>
  <c r="W49" i="21" s="1"/>
  <c r="X49" i="21" s="1"/>
  <c r="Y49" i="21" s="1"/>
  <c r="Z49" i="21" s="1"/>
  <c r="AA49" i="21" s="1"/>
  <c r="AB49" i="21" s="1"/>
  <c r="AC49" i="21" s="1"/>
  <c r="H10" i="21"/>
  <c r="G11" i="21"/>
  <c r="N12" i="20"/>
  <c r="P12" i="20"/>
  <c r="O12" i="20"/>
  <c r="G37" i="21" a="1"/>
  <c r="G33" i="21" a="1"/>
  <c r="G14" i="21" a="1"/>
  <c r="G19" i="21" a="1"/>
  <c r="G31" i="21" a="1"/>
  <c r="G23" i="21" a="1"/>
  <c r="G42" i="21" a="1"/>
  <c r="G36" i="21" a="1"/>
  <c r="G34" i="21" a="1"/>
  <c r="G28" i="21" a="1"/>
  <c r="G13" i="21" a="1"/>
  <c r="G47" i="21" a="1"/>
  <c r="G45" i="21" a="1"/>
  <c r="G27" i="21" a="1"/>
  <c r="G29" i="21" a="1"/>
  <c r="G12" i="21" a="1"/>
  <c r="G41" i="21" a="1"/>
  <c r="G25" i="21" a="1"/>
  <c r="G18" i="21" a="1"/>
  <c r="G26" i="21" a="1"/>
  <c r="G24" i="21" a="1"/>
  <c r="G43" i="21" a="1"/>
  <c r="G44" i="21" a="1"/>
  <c r="G32" i="21" a="1"/>
  <c r="G39" i="21" a="1"/>
  <c r="G30" i="21" a="1"/>
  <c r="G22" i="21" a="1"/>
  <c r="G16" i="21" a="1"/>
  <c r="G38" i="21" a="1"/>
  <c r="G35" i="21" a="1"/>
  <c r="G21" i="21" a="1"/>
  <c r="G15" i="21" a="1"/>
  <c r="G46" i="21" a="1"/>
  <c r="G20" i="21" a="1"/>
  <c r="G40" i="21" a="1"/>
  <c r="G17" i="21" a="1"/>
  <c r="G17" i="21" l="1"/>
  <c r="G40" i="21"/>
  <c r="G20" i="21"/>
  <c r="G46" i="21"/>
  <c r="G15" i="21"/>
  <c r="G21" i="21"/>
  <c r="G35" i="21"/>
  <c r="G38" i="21"/>
  <c r="G16" i="21"/>
  <c r="G22" i="21"/>
  <c r="G30" i="21"/>
  <c r="G39" i="21"/>
  <c r="G32" i="21"/>
  <c r="G44" i="21"/>
  <c r="G43" i="21"/>
  <c r="G24" i="21"/>
  <c r="G26" i="21"/>
  <c r="G18" i="21"/>
  <c r="G25" i="21"/>
  <c r="G41" i="21"/>
  <c r="G12" i="21"/>
  <c r="G29" i="21"/>
  <c r="G27" i="21"/>
  <c r="G45" i="21"/>
  <c r="G47" i="21"/>
  <c r="G13" i="21"/>
  <c r="G28" i="21"/>
  <c r="G34" i="21"/>
  <c r="G36" i="21"/>
  <c r="G42" i="21"/>
  <c r="G23" i="21"/>
  <c r="G31" i="21"/>
  <c r="G19" i="21"/>
  <c r="G14" i="21"/>
  <c r="G33" i="21"/>
  <c r="G37" i="21"/>
  <c r="Q12" i="20"/>
  <c r="I10" i="21"/>
  <c r="H11" i="21"/>
  <c r="H36" i="21" a="1"/>
  <c r="H46" i="21" a="1"/>
  <c r="H22" i="21" a="1"/>
  <c r="H19" i="21" a="1"/>
  <c r="H44" i="21" a="1"/>
  <c r="H42" i="21" a="1"/>
  <c r="H21" i="21" a="1"/>
  <c r="H16" i="21" a="1"/>
  <c r="H20" i="21" a="1"/>
  <c r="H13" i="21" a="1"/>
  <c r="H18" i="21" a="1"/>
  <c r="H40" i="21" a="1"/>
  <c r="H34" i="21" a="1"/>
  <c r="H32" i="21" a="1"/>
  <c r="H15" i="21" a="1"/>
  <c r="H45" i="21" a="1"/>
  <c r="H30" i="21" a="1"/>
  <c r="H29" i="21" a="1"/>
  <c r="H14" i="21" a="1"/>
  <c r="H17" i="21" a="1"/>
  <c r="H47" i="21" a="1"/>
  <c r="H41" i="21" a="1"/>
  <c r="H27" i="21" a="1"/>
  <c r="H28" i="21" a="1"/>
  <c r="H39" i="21" a="1"/>
  <c r="H43" i="21" a="1"/>
  <c r="H25" i="21" a="1"/>
  <c r="H26" i="21" a="1"/>
  <c r="H12" i="21" a="1"/>
  <c r="H33" i="21" a="1"/>
  <c r="H38" i="21" a="1"/>
  <c r="H35" i="21" a="1"/>
  <c r="H24" i="21" a="1"/>
  <c r="H31" i="21" a="1"/>
  <c r="H37" i="21" a="1"/>
  <c r="H23" i="21" a="1"/>
  <c r="H23" i="21" l="1"/>
  <c r="H37" i="21"/>
  <c r="H31" i="21"/>
  <c r="H24" i="21"/>
  <c r="H35" i="21"/>
  <c r="H38" i="21"/>
  <c r="H33" i="21"/>
  <c r="H12" i="21"/>
  <c r="H26" i="21"/>
  <c r="H25" i="21"/>
  <c r="H43" i="21"/>
  <c r="H39" i="21"/>
  <c r="H28" i="21"/>
  <c r="H27" i="21"/>
  <c r="H41" i="21"/>
  <c r="H47" i="21"/>
  <c r="H17" i="21"/>
  <c r="H14" i="21"/>
  <c r="H29" i="21"/>
  <c r="H30" i="21"/>
  <c r="H45" i="21"/>
  <c r="H15" i="21"/>
  <c r="H32" i="21"/>
  <c r="H34" i="21"/>
  <c r="H40" i="21"/>
  <c r="H18" i="21"/>
  <c r="H13" i="21"/>
  <c r="H20" i="21"/>
  <c r="H16" i="21"/>
  <c r="H21" i="21"/>
  <c r="H42" i="21"/>
  <c r="H44" i="21"/>
  <c r="H19" i="21"/>
  <c r="H22" i="21"/>
  <c r="H46" i="21"/>
  <c r="H36" i="21"/>
  <c r="J10" i="21"/>
  <c r="I11" i="21"/>
  <c r="G50" i="21"/>
  <c r="I37" i="21" a="1"/>
  <c r="I31" i="21" a="1"/>
  <c r="I33" i="21" a="1"/>
  <c r="I20" i="21" a="1"/>
  <c r="I44" i="21" a="1"/>
  <c r="I29" i="21" a="1"/>
  <c r="I12" i="21" a="1"/>
  <c r="I36" i="21" a="1"/>
  <c r="I30" i="21" a="1"/>
  <c r="I42" i="21" a="1"/>
  <c r="I13" i="21" a="1"/>
  <c r="I17" i="21" a="1"/>
  <c r="I27" i="21" a="1"/>
  <c r="I14" i="21" a="1"/>
  <c r="I40" i="21" a="1"/>
  <c r="I25" i="21" a="1"/>
  <c r="I35" i="21" a="1"/>
  <c r="I19" i="21" a="1"/>
  <c r="I41" i="21" a="1"/>
  <c r="I15" i="21" a="1"/>
  <c r="I38" i="21" a="1"/>
  <c r="I21" i="21" a="1"/>
  <c r="I18" i="21" a="1"/>
  <c r="I47" i="21" a="1"/>
  <c r="I45" i="21" a="1"/>
  <c r="I24" i="21" a="1"/>
  <c r="I28" i="21" a="1"/>
  <c r="I26" i="21" a="1"/>
  <c r="I43" i="21" a="1"/>
  <c r="I23" i="21" a="1"/>
  <c r="I16" i="21" a="1"/>
  <c r="I39" i="21" a="1"/>
  <c r="I34" i="21" a="1"/>
  <c r="I22" i="21" a="1"/>
  <c r="I46" i="21" a="1"/>
  <c r="I32" i="21" a="1"/>
  <c r="H50" i="21" l="1"/>
  <c r="H51" i="21" s="1"/>
  <c r="I32" i="21"/>
  <c r="I46" i="21"/>
  <c r="I22" i="21"/>
  <c r="I34" i="21"/>
  <c r="I39" i="21"/>
  <c r="I16" i="21"/>
  <c r="I23" i="21"/>
  <c r="I43" i="21"/>
  <c r="I26" i="21"/>
  <c r="I28" i="21"/>
  <c r="I24" i="21"/>
  <c r="I45" i="21"/>
  <c r="I47" i="21"/>
  <c r="I18" i="21"/>
  <c r="I21" i="21"/>
  <c r="I38" i="21"/>
  <c r="I15" i="21"/>
  <c r="I41" i="21"/>
  <c r="I19" i="21"/>
  <c r="I35" i="21"/>
  <c r="I25" i="21"/>
  <c r="I40" i="21"/>
  <c r="I14" i="21"/>
  <c r="I27" i="21"/>
  <c r="I17" i="21"/>
  <c r="I13" i="21"/>
  <c r="I42" i="21"/>
  <c r="I30" i="21"/>
  <c r="I36" i="21"/>
  <c r="I12" i="21"/>
  <c r="I29" i="21"/>
  <c r="I44" i="21"/>
  <c r="I20" i="21"/>
  <c r="I33" i="21"/>
  <c r="I31" i="21"/>
  <c r="I37" i="21"/>
  <c r="G51" i="21"/>
  <c r="J11" i="21"/>
  <c r="K10" i="21"/>
  <c r="J46" i="21" a="1"/>
  <c r="J29" i="21" a="1"/>
  <c r="J28" i="21" a="1"/>
  <c r="J23" i="21" a="1"/>
  <c r="J42" i="21" a="1"/>
  <c r="J44" i="21" a="1"/>
  <c r="J26" i="21" a="1"/>
  <c r="J21" i="21" a="1"/>
  <c r="J13" i="21" a="1"/>
  <c r="J37" i="21" a="1"/>
  <c r="J40" i="21" a="1"/>
  <c r="J22" i="21" a="1"/>
  <c r="J12" i="21" a="1"/>
  <c r="J38" i="21" a="1"/>
  <c r="J15" i="21" a="1"/>
  <c r="J43" i="21" a="1"/>
  <c r="J34" i="21" a="1"/>
  <c r="J39" i="21" a="1"/>
  <c r="J27" i="21" a="1"/>
  <c r="J25" i="21" a="1"/>
  <c r="J33" i="21" a="1"/>
  <c r="J47" i="21" a="1"/>
  <c r="J36" i="21" a="1"/>
  <c r="J35" i="21" a="1"/>
  <c r="J19" i="21" a="1"/>
  <c r="J18" i="21" a="1"/>
  <c r="J20" i="21" a="1"/>
  <c r="J31" i="21" a="1"/>
  <c r="J32" i="21" a="1"/>
  <c r="J17" i="21" a="1"/>
  <c r="J45" i="21" a="1"/>
  <c r="J16" i="21" a="1"/>
  <c r="J41" i="21" a="1"/>
  <c r="J30" i="21" a="1"/>
  <c r="J24" i="21" a="1"/>
  <c r="J14" i="21" a="1"/>
  <c r="J14" i="21" l="1"/>
  <c r="J24" i="21"/>
  <c r="J30" i="21"/>
  <c r="J41" i="21"/>
  <c r="J16" i="21"/>
  <c r="J45" i="21"/>
  <c r="J17" i="21"/>
  <c r="J32" i="21"/>
  <c r="J31" i="21"/>
  <c r="J20" i="21"/>
  <c r="J18" i="21"/>
  <c r="J19" i="21"/>
  <c r="J35" i="21"/>
  <c r="J36" i="21"/>
  <c r="J47" i="21"/>
  <c r="J33" i="21"/>
  <c r="J25" i="21"/>
  <c r="J27" i="21"/>
  <c r="J39" i="21"/>
  <c r="J34" i="21"/>
  <c r="J43" i="21"/>
  <c r="J15" i="21"/>
  <c r="J38" i="21"/>
  <c r="J12" i="21"/>
  <c r="J22" i="21"/>
  <c r="J40" i="21"/>
  <c r="J37" i="21"/>
  <c r="J13" i="21"/>
  <c r="J21" i="21"/>
  <c r="J26" i="21"/>
  <c r="J44" i="21"/>
  <c r="J42" i="21"/>
  <c r="J23" i="21"/>
  <c r="J28" i="21"/>
  <c r="J29" i="21"/>
  <c r="J46" i="21"/>
  <c r="I50" i="21"/>
  <c r="H52" i="21"/>
  <c r="G52" i="21"/>
  <c r="K11" i="21"/>
  <c r="L10" i="21"/>
  <c r="K46" i="21" a="1"/>
  <c r="K32" i="21" a="1"/>
  <c r="K35" i="21" a="1"/>
  <c r="K25" i="21" a="1"/>
  <c r="K19" i="21" a="1"/>
  <c r="K31" i="21" a="1"/>
  <c r="K40" i="21" a="1"/>
  <c r="K12" i="21" a="1"/>
  <c r="K18" i="21" a="1"/>
  <c r="K20" i="21" a="1"/>
  <c r="K43" i="21" a="1"/>
  <c r="K27" i="21" a="1"/>
  <c r="K42" i="21" a="1"/>
  <c r="K39" i="21" a="1"/>
  <c r="K30" i="21" a="1"/>
  <c r="K24" i="21" a="1"/>
  <c r="K17" i="21" a="1"/>
  <c r="K38" i="21" a="1"/>
  <c r="K29" i="21" a="1"/>
  <c r="K16" i="21" a="1"/>
  <c r="K41" i="21" a="1"/>
  <c r="K37" i="21" a="1"/>
  <c r="K22" i="21" a="1"/>
  <c r="K23" i="21" a="1"/>
  <c r="K28" i="21" a="1"/>
  <c r="K15" i="21" a="1"/>
  <c r="K47" i="21" a="1"/>
  <c r="K13" i="21" a="1"/>
  <c r="K34" i="21" a="1"/>
  <c r="K44" i="21" a="1"/>
  <c r="K36" i="21" a="1"/>
  <c r="K26" i="21" a="1"/>
  <c r="K21" i="21" a="1"/>
  <c r="K14" i="21" a="1"/>
  <c r="K33" i="21" a="1"/>
  <c r="K45" i="21" a="1"/>
  <c r="J50" i="21" l="1"/>
  <c r="J51" i="21" s="1"/>
  <c r="K45" i="21"/>
  <c r="K33" i="21"/>
  <c r="K14" i="21"/>
  <c r="K21" i="21"/>
  <c r="K26" i="21"/>
  <c r="K36" i="21"/>
  <c r="K44" i="21"/>
  <c r="K34" i="21"/>
  <c r="K13" i="21"/>
  <c r="K47" i="21"/>
  <c r="K15" i="21"/>
  <c r="K28" i="21"/>
  <c r="K23" i="21"/>
  <c r="K22" i="21"/>
  <c r="K37" i="21"/>
  <c r="K41" i="21"/>
  <c r="K16" i="21"/>
  <c r="K29" i="21"/>
  <c r="K38" i="21"/>
  <c r="K17" i="21"/>
  <c r="K24" i="21"/>
  <c r="K30" i="21"/>
  <c r="K39" i="21"/>
  <c r="K42" i="21"/>
  <c r="K27" i="21"/>
  <c r="K43" i="21"/>
  <c r="K20" i="21"/>
  <c r="K18" i="21"/>
  <c r="K12" i="21"/>
  <c r="K40" i="21"/>
  <c r="K31" i="21"/>
  <c r="K19" i="21"/>
  <c r="K25" i="21"/>
  <c r="K35" i="21"/>
  <c r="K32" i="21"/>
  <c r="K46" i="21"/>
  <c r="I51" i="21"/>
  <c r="M10" i="21"/>
  <c r="L11" i="21"/>
  <c r="H53" i="21"/>
  <c r="G53" i="21"/>
  <c r="L46" i="21" a="1"/>
  <c r="L44" i="21" a="1"/>
  <c r="L22" i="21" a="1"/>
  <c r="L13" i="21" a="1"/>
  <c r="L30" i="21" a="1"/>
  <c r="L28" i="21" a="1"/>
  <c r="L43" i="21" a="1"/>
  <c r="L42" i="21" a="1"/>
  <c r="L40" i="21" a="1"/>
  <c r="L21" i="21" a="1"/>
  <c r="L12" i="21" a="1"/>
  <c r="L29" i="21" a="1"/>
  <c r="L39" i="21" a="1"/>
  <c r="L35" i="21" a="1"/>
  <c r="L31" i="21" a="1"/>
  <c r="L26" i="21" a="1"/>
  <c r="L23" i="21" a="1"/>
  <c r="L38" i="21" a="1"/>
  <c r="L33" i="21" a="1"/>
  <c r="L27" i="21" a="1"/>
  <c r="L20" i="21" a="1"/>
  <c r="L37" i="21" a="1"/>
  <c r="L32" i="21" a="1"/>
  <c r="L25" i="21" a="1"/>
  <c r="L17" i="21" a="1"/>
  <c r="L36" i="21" a="1"/>
  <c r="L34" i="21" a="1"/>
  <c r="L16" i="21" a="1"/>
  <c r="L18" i="21" a="1"/>
  <c r="L41" i="21" a="1"/>
  <c r="L14" i="21" a="1"/>
  <c r="L45" i="21" a="1"/>
  <c r="L47" i="21" a="1"/>
  <c r="L24" i="21" a="1"/>
  <c r="L15" i="21" a="1"/>
  <c r="L19" i="21" a="1"/>
  <c r="L19" i="21" l="1"/>
  <c r="L15" i="21"/>
  <c r="L24" i="21"/>
  <c r="L47" i="21"/>
  <c r="L45" i="21"/>
  <c r="L14" i="21"/>
  <c r="L41" i="21"/>
  <c r="L18" i="21"/>
  <c r="L16" i="21"/>
  <c r="L34" i="21"/>
  <c r="L36" i="21"/>
  <c r="L17" i="21"/>
  <c r="L25" i="21"/>
  <c r="L32" i="21"/>
  <c r="L37" i="21"/>
  <c r="L20" i="21"/>
  <c r="L27" i="21"/>
  <c r="L33" i="21"/>
  <c r="L38" i="21"/>
  <c r="L23" i="21"/>
  <c r="L26" i="21"/>
  <c r="L31" i="21"/>
  <c r="L35" i="21"/>
  <c r="L39" i="21"/>
  <c r="L29" i="21"/>
  <c r="L12" i="21"/>
  <c r="L21" i="21"/>
  <c r="L40" i="21"/>
  <c r="L42" i="21"/>
  <c r="L43" i="21"/>
  <c r="L28" i="21"/>
  <c r="L30" i="21"/>
  <c r="L13" i="21"/>
  <c r="L22" i="21"/>
  <c r="L44" i="21"/>
  <c r="L46" i="21"/>
  <c r="N10" i="21"/>
  <c r="M11" i="21"/>
  <c r="K50" i="21"/>
  <c r="J52" i="21"/>
  <c r="I52" i="21"/>
  <c r="H54" i="21"/>
  <c r="G54" i="21"/>
  <c r="M37" i="21" a="1"/>
  <c r="M33" i="21" a="1"/>
  <c r="M22" i="21" a="1"/>
  <c r="M12" i="21" a="1"/>
  <c r="M19" i="21" a="1"/>
  <c r="M16" i="21" a="1"/>
  <c r="M36" i="21" a="1"/>
  <c r="M42" i="21" a="1"/>
  <c r="M21" i="21" a="1"/>
  <c r="M26" i="21" a="1"/>
  <c r="M44" i="21" a="1"/>
  <c r="M46" i="21" a="1"/>
  <c r="M34" i="21" a="1"/>
  <c r="M45" i="21" a="1"/>
  <c r="M20" i="21" a="1"/>
  <c r="M47" i="21" a="1"/>
  <c r="M32" i="21" a="1"/>
  <c r="M27" i="21" a="1"/>
  <c r="M17" i="21" a="1"/>
  <c r="M13" i="21" a="1"/>
  <c r="M43" i="21" a="1"/>
  <c r="M31" i="21" a="1"/>
  <c r="M25" i="21" a="1"/>
  <c r="M41" i="21" a="1"/>
  <c r="M18" i="21" a="1"/>
  <c r="M30" i="21" a="1"/>
  <c r="M39" i="21" a="1"/>
  <c r="M40" i="21" a="1"/>
  <c r="M24" i="21" a="1"/>
  <c r="M15" i="21" a="1"/>
  <c r="M29" i="21" a="1"/>
  <c r="M38" i="21" a="1"/>
  <c r="M35" i="21" a="1"/>
  <c r="M23" i="21" a="1"/>
  <c r="M14" i="21" a="1"/>
  <c r="M28" i="21" a="1"/>
  <c r="M28" i="21" l="1"/>
  <c r="M14" i="21"/>
  <c r="M23" i="21"/>
  <c r="M35" i="21"/>
  <c r="M38" i="21"/>
  <c r="M29" i="21"/>
  <c r="M15" i="21"/>
  <c r="M24" i="21"/>
  <c r="M40" i="21"/>
  <c r="M39" i="21"/>
  <c r="M30" i="21"/>
  <c r="M18" i="21"/>
  <c r="M41" i="21"/>
  <c r="M25" i="21"/>
  <c r="M31" i="21"/>
  <c r="M43" i="21"/>
  <c r="M13" i="21"/>
  <c r="M17" i="21"/>
  <c r="M27" i="21"/>
  <c r="M32" i="21"/>
  <c r="M47" i="21"/>
  <c r="M20" i="21"/>
  <c r="M45" i="21"/>
  <c r="M34" i="21"/>
  <c r="M46" i="21"/>
  <c r="M44" i="21"/>
  <c r="M26" i="21"/>
  <c r="M21" i="21"/>
  <c r="M42" i="21"/>
  <c r="M36" i="21"/>
  <c r="M16" i="21"/>
  <c r="M19" i="21"/>
  <c r="M12" i="21"/>
  <c r="M22" i="21"/>
  <c r="M33" i="21"/>
  <c r="M37" i="21"/>
  <c r="J53" i="21"/>
  <c r="I53" i="21"/>
  <c r="K51" i="21"/>
  <c r="O10" i="21"/>
  <c r="N11" i="21"/>
  <c r="L50" i="21"/>
  <c r="H55" i="21"/>
  <c r="G55" i="21"/>
  <c r="N34" i="21" a="1"/>
  <c r="N36" i="21" a="1"/>
  <c r="N19" i="21" a="1"/>
  <c r="N16" i="21" a="1"/>
  <c r="N46" i="21" a="1"/>
  <c r="N32" i="21" a="1"/>
  <c r="N27" i="21" a="1"/>
  <c r="N15" i="21" a="1"/>
  <c r="N45" i="21" a="1"/>
  <c r="N42" i="21" a="1"/>
  <c r="N31" i="21" a="1"/>
  <c r="N25" i="21" a="1"/>
  <c r="N23" i="21" a="1"/>
  <c r="N14" i="21" a="1"/>
  <c r="N29" i="21" a="1"/>
  <c r="N18" i="21" a="1"/>
  <c r="N28" i="21" a="1"/>
  <c r="N47" i="21" a="1"/>
  <c r="N30" i="21" a="1"/>
  <c r="N38" i="21" a="1"/>
  <c r="N21" i="21" a="1"/>
  <c r="N13" i="21" a="1"/>
  <c r="N43" i="21" a="1"/>
  <c r="N35" i="21" a="1"/>
  <c r="N12" i="21" a="1"/>
  <c r="N40" i="21" a="1"/>
  <c r="N41" i="21" a="1"/>
  <c r="N26" i="21" a="1"/>
  <c r="N24" i="21" a="1"/>
  <c r="N20" i="21" a="1"/>
  <c r="N39" i="21" a="1"/>
  <c r="N37" i="21" a="1"/>
  <c r="N33" i="21" a="1"/>
  <c r="N22" i="21" a="1"/>
  <c r="N44" i="21" a="1"/>
  <c r="N17" i="21" a="1"/>
  <c r="N17" i="21" l="1"/>
  <c r="N44" i="21"/>
  <c r="N22" i="21"/>
  <c r="N33" i="21"/>
  <c r="N37" i="21"/>
  <c r="N39" i="21"/>
  <c r="N20" i="21"/>
  <c r="N24" i="21"/>
  <c r="N26" i="21"/>
  <c r="N41" i="21"/>
  <c r="N40" i="21"/>
  <c r="N12" i="21"/>
  <c r="N35" i="21"/>
  <c r="N43" i="21"/>
  <c r="N13" i="21"/>
  <c r="N21" i="21"/>
  <c r="N38" i="21"/>
  <c r="N30" i="21"/>
  <c r="N47" i="21"/>
  <c r="N28" i="21"/>
  <c r="N18" i="21"/>
  <c r="N29" i="21"/>
  <c r="N14" i="21"/>
  <c r="N23" i="21"/>
  <c r="N25" i="21"/>
  <c r="N31" i="21"/>
  <c r="N42" i="21"/>
  <c r="N45" i="21"/>
  <c r="N15" i="21"/>
  <c r="N27" i="21"/>
  <c r="N32" i="21"/>
  <c r="N46" i="21"/>
  <c r="N16" i="21"/>
  <c r="N19" i="21"/>
  <c r="N36" i="21"/>
  <c r="N34" i="21"/>
  <c r="K52" i="21"/>
  <c r="H56" i="21"/>
  <c r="G56" i="21"/>
  <c r="I54" i="21"/>
  <c r="J54" i="21"/>
  <c r="P10" i="21"/>
  <c r="O11" i="21"/>
  <c r="L51" i="21"/>
  <c r="M50" i="21"/>
  <c r="O39" i="21" a="1"/>
  <c r="O46" i="21" a="1"/>
  <c r="O23" i="21" a="1"/>
  <c r="O16" i="21" a="1"/>
  <c r="O38" i="21" a="1"/>
  <c r="O34" i="21" a="1"/>
  <c r="O22" i="21" a="1"/>
  <c r="O15" i="21" a="1"/>
  <c r="O47" i="21" a="1"/>
  <c r="O37" i="21" a="1"/>
  <c r="O35" i="21" a="1"/>
  <c r="O21" i="21" a="1"/>
  <c r="O14" i="21" a="1"/>
  <c r="O41" i="21" a="1"/>
  <c r="O43" i="21" a="1"/>
  <c r="O36" i="21" a="1"/>
  <c r="O33" i="21" a="1"/>
  <c r="O20" i="21" a="1"/>
  <c r="O13" i="21" a="1"/>
  <c r="O24" i="21" a="1"/>
  <c r="O44" i="21" a="1"/>
  <c r="O42" i="21" a="1"/>
  <c r="O28" i="21" a="1"/>
  <c r="O18" i="21" a="1"/>
  <c r="O19" i="21" a="1"/>
  <c r="O25" i="21" a="1"/>
  <c r="O40" i="21" a="1"/>
  <c r="O32" i="21" a="1"/>
  <c r="O26" i="21" a="1"/>
  <c r="O12" i="21" a="1"/>
  <c r="O31" i="21" a="1"/>
  <c r="O29" i="21" a="1"/>
  <c r="O30" i="21" a="1"/>
  <c r="O45" i="21" a="1"/>
  <c r="O27" i="21" a="1"/>
  <c r="O17" i="21" a="1"/>
  <c r="O17" i="21" l="1"/>
  <c r="O27" i="21"/>
  <c r="O45" i="21"/>
  <c r="O30" i="21"/>
  <c r="O29" i="21"/>
  <c r="O31" i="21"/>
  <c r="O12" i="21"/>
  <c r="O26" i="21"/>
  <c r="O32" i="21"/>
  <c r="O40" i="21"/>
  <c r="O25" i="21"/>
  <c r="O19" i="21"/>
  <c r="O18" i="21"/>
  <c r="O28" i="21"/>
  <c r="O42" i="21"/>
  <c r="O44" i="21"/>
  <c r="O24" i="21"/>
  <c r="O13" i="21"/>
  <c r="O20" i="21"/>
  <c r="O33" i="21"/>
  <c r="O36" i="21"/>
  <c r="O43" i="21"/>
  <c r="O41" i="21"/>
  <c r="O14" i="21"/>
  <c r="O21" i="21"/>
  <c r="O35" i="21"/>
  <c r="O37" i="21"/>
  <c r="O47" i="21"/>
  <c r="O15" i="21"/>
  <c r="O22" i="21"/>
  <c r="O34" i="21"/>
  <c r="O38" i="21"/>
  <c r="O16" i="21"/>
  <c r="O23" i="21"/>
  <c r="O46" i="21"/>
  <c r="O39" i="21"/>
  <c r="H57" i="21"/>
  <c r="G57" i="21"/>
  <c r="P11" i="21"/>
  <c r="Q10" i="21"/>
  <c r="N50" i="21"/>
  <c r="N51" i="21" s="1"/>
  <c r="L52" i="21"/>
  <c r="L53" i="21" s="1"/>
  <c r="M51" i="21"/>
  <c r="I55" i="21"/>
  <c r="J55" i="21"/>
  <c r="K53" i="21"/>
  <c r="P37" i="21" a="1"/>
  <c r="P44" i="21" a="1"/>
  <c r="P29" i="21" a="1"/>
  <c r="P27" i="21" a="1"/>
  <c r="P12" i="21" a="1"/>
  <c r="P36" i="21" a="1"/>
  <c r="P40" i="21" a="1"/>
  <c r="P24" i="21" a="1"/>
  <c r="P25" i="21" a="1"/>
  <c r="P45" i="21" a="1"/>
  <c r="P23" i="21" a="1"/>
  <c r="P43" i="21" a="1"/>
  <c r="P18" i="21" a="1"/>
  <c r="P41" i="21" a="1"/>
  <c r="P35" i="21" a="1"/>
  <c r="P22" i="21" a="1"/>
  <c r="P19" i="21" a="1"/>
  <c r="P17" i="21" a="1"/>
  <c r="P46" i="21" a="1"/>
  <c r="P33" i="21" a="1"/>
  <c r="P21" i="21" a="1"/>
  <c r="P16" i="21" a="1"/>
  <c r="P39" i="21" a="1"/>
  <c r="P28" i="21" a="1"/>
  <c r="P30" i="21" a="1"/>
  <c r="P38" i="21" a="1"/>
  <c r="P47" i="21" a="1"/>
  <c r="P26" i="21" a="1"/>
  <c r="P13" i="21" a="1"/>
  <c r="P42" i="21" a="1"/>
  <c r="P31" i="21" a="1"/>
  <c r="P20" i="21" a="1"/>
  <c r="P15" i="21" a="1"/>
  <c r="P34" i="21" a="1"/>
  <c r="P14" i="21" a="1"/>
  <c r="P32" i="21" a="1"/>
  <c r="P32" i="21" l="1"/>
  <c r="P14" i="21"/>
  <c r="P34" i="21"/>
  <c r="P15" i="21"/>
  <c r="P20" i="21"/>
  <c r="P31" i="21"/>
  <c r="P42" i="21"/>
  <c r="P13" i="21"/>
  <c r="P26" i="21"/>
  <c r="P47" i="21"/>
  <c r="P38" i="21"/>
  <c r="P30" i="21"/>
  <c r="P28" i="21"/>
  <c r="P39" i="21"/>
  <c r="P16" i="21"/>
  <c r="P21" i="21"/>
  <c r="P33" i="21"/>
  <c r="P46" i="21"/>
  <c r="P17" i="21"/>
  <c r="P19" i="21"/>
  <c r="P22" i="21"/>
  <c r="P35" i="21"/>
  <c r="P41" i="21"/>
  <c r="P18" i="21"/>
  <c r="P43" i="21"/>
  <c r="P23" i="21"/>
  <c r="P45" i="21"/>
  <c r="P25" i="21"/>
  <c r="P24" i="21"/>
  <c r="P40" i="21"/>
  <c r="P36" i="21"/>
  <c r="P12" i="21"/>
  <c r="P27" i="21"/>
  <c r="P29" i="21"/>
  <c r="P44" i="21"/>
  <c r="P37" i="21"/>
  <c r="N52" i="21"/>
  <c r="O50" i="21"/>
  <c r="M52" i="21"/>
  <c r="H58" i="21"/>
  <c r="G58" i="21"/>
  <c r="I56" i="21"/>
  <c r="J56" i="21"/>
  <c r="K54" i="21"/>
  <c r="L54" i="21"/>
  <c r="R10" i="21"/>
  <c r="Q11" i="21"/>
  <c r="Q44" i="21" a="1"/>
  <c r="Q46" i="21" a="1"/>
  <c r="Q26" i="21" a="1"/>
  <c r="Q25" i="21" a="1"/>
  <c r="Q14" i="21" a="1"/>
  <c r="Q22" i="21" a="1"/>
  <c r="Q19" i="21" a="1"/>
  <c r="Q38" i="21" a="1"/>
  <c r="Q33" i="21" a="1"/>
  <c r="Q21" i="21" a="1"/>
  <c r="Q20" i="21" a="1"/>
  <c r="Q16" i="21" a="1"/>
  <c r="Q36" i="21" a="1"/>
  <c r="Q31" i="21" a="1"/>
  <c r="Q45" i="21" a="1"/>
  <c r="Q43" i="21" a="1"/>
  <c r="Q28" i="21" a="1"/>
  <c r="Q17" i="21" a="1"/>
  <c r="Q37" i="21" a="1"/>
  <c r="Q32" i="21" a="1"/>
  <c r="Q29" i="21" a="1"/>
  <c r="Q18" i="21" a="1"/>
  <c r="Q15" i="21" a="1"/>
  <c r="Q30" i="21" a="1"/>
  <c r="Q41" i="21" a="1"/>
  <c r="Q40" i="21" a="1"/>
  <c r="Q34" i="21" a="1"/>
  <c r="Q39" i="21" a="1"/>
  <c r="Q24" i="21" a="1"/>
  <c r="Q13" i="21" a="1"/>
  <c r="Q47" i="21" a="1"/>
  <c r="Q27" i="21" a="1"/>
  <c r="Q42" i="21" a="1"/>
  <c r="Q12" i="21" a="1"/>
  <c r="Q23" i="21" a="1"/>
  <c r="Q35" i="21" a="1"/>
  <c r="P50" i="21" l="1"/>
  <c r="P51" i="21" s="1"/>
  <c r="Q35" i="21"/>
  <c r="Q23" i="21"/>
  <c r="Q12" i="21"/>
  <c r="Q42" i="21"/>
  <c r="Q27" i="21"/>
  <c r="Q47" i="21"/>
  <c r="Q13" i="21"/>
  <c r="Q24" i="21"/>
  <c r="Q39" i="21"/>
  <c r="Q34" i="21"/>
  <c r="Q40" i="21"/>
  <c r="Q41" i="21"/>
  <c r="Q30" i="21"/>
  <c r="Q15" i="21"/>
  <c r="Q18" i="21"/>
  <c r="Q29" i="21"/>
  <c r="Q32" i="21"/>
  <c r="Q37" i="21"/>
  <c r="Q17" i="21"/>
  <c r="Q28" i="21"/>
  <c r="Q43" i="21"/>
  <c r="Q45" i="21"/>
  <c r="Q31" i="21"/>
  <c r="Q36" i="21"/>
  <c r="Q16" i="21"/>
  <c r="Q20" i="21"/>
  <c r="Q21" i="21"/>
  <c r="Q33" i="21"/>
  <c r="Q38" i="21"/>
  <c r="Q19" i="21"/>
  <c r="Q22" i="21"/>
  <c r="Q14" i="21"/>
  <c r="Q25" i="21"/>
  <c r="Q26" i="21"/>
  <c r="Q46" i="21"/>
  <c r="Q44" i="21"/>
  <c r="G59" i="21"/>
  <c r="H59" i="21"/>
  <c r="H60" i="21" s="1"/>
  <c r="O51" i="21"/>
  <c r="N53" i="21"/>
  <c r="R11" i="21"/>
  <c r="S10" i="21"/>
  <c r="M53" i="21"/>
  <c r="L55" i="21"/>
  <c r="K55" i="21"/>
  <c r="I57" i="21"/>
  <c r="J57" i="21"/>
  <c r="R44" i="21" a="1"/>
  <c r="R30" i="21" a="1"/>
  <c r="R27" i="21" a="1"/>
  <c r="R18" i="21" a="1"/>
  <c r="R19" i="21" a="1"/>
  <c r="R40" i="21" a="1"/>
  <c r="R29" i="21" a="1"/>
  <c r="R25" i="21" a="1"/>
  <c r="R26" i="21" a="1"/>
  <c r="R23" i="21" a="1"/>
  <c r="R38" i="21" a="1"/>
  <c r="R28" i="21" a="1"/>
  <c r="R21" i="21" a="1"/>
  <c r="R35" i="21" a="1"/>
  <c r="R45" i="21" a="1"/>
  <c r="R16" i="21" a="1"/>
  <c r="R46" i="21" a="1"/>
  <c r="R33" i="21" a="1"/>
  <c r="R41" i="21" a="1"/>
  <c r="R22" i="21" a="1"/>
  <c r="R15" i="21" a="1"/>
  <c r="R42" i="21" a="1"/>
  <c r="R37" i="21" a="1"/>
  <c r="R36" i="21" a="1"/>
  <c r="R17" i="21" a="1"/>
  <c r="R14" i="21" a="1"/>
  <c r="R43" i="21" a="1"/>
  <c r="R32" i="21" a="1"/>
  <c r="R34" i="21" a="1"/>
  <c r="R24" i="21" a="1"/>
  <c r="R13" i="21" a="1"/>
  <c r="R47" i="21" a="1"/>
  <c r="R31" i="21" a="1"/>
  <c r="R39" i="21" a="1"/>
  <c r="R20" i="21" a="1"/>
  <c r="R12" i="21" a="1"/>
  <c r="R12" i="21" l="1"/>
  <c r="R20" i="21"/>
  <c r="R39" i="21"/>
  <c r="R31" i="21"/>
  <c r="R47" i="21"/>
  <c r="R13" i="21"/>
  <c r="R24" i="21"/>
  <c r="R34" i="21"/>
  <c r="R32" i="21"/>
  <c r="R43" i="21"/>
  <c r="R14" i="21"/>
  <c r="R17" i="21"/>
  <c r="R36" i="21"/>
  <c r="R37" i="21"/>
  <c r="R42" i="21"/>
  <c r="R15" i="21"/>
  <c r="R22" i="21"/>
  <c r="R41" i="21"/>
  <c r="R33" i="21"/>
  <c r="R46" i="21"/>
  <c r="R16" i="21"/>
  <c r="R45" i="21"/>
  <c r="R35" i="21"/>
  <c r="R21" i="21"/>
  <c r="R28" i="21"/>
  <c r="R38" i="21"/>
  <c r="R23" i="21"/>
  <c r="R26" i="21"/>
  <c r="R25" i="21"/>
  <c r="R29" i="21"/>
  <c r="R40" i="21"/>
  <c r="R19" i="21"/>
  <c r="R18" i="21"/>
  <c r="R27" i="21"/>
  <c r="R30" i="21"/>
  <c r="R44" i="21"/>
  <c r="G60" i="21"/>
  <c r="P52" i="21"/>
  <c r="O52" i="21"/>
  <c r="J58" i="21"/>
  <c r="I58" i="21"/>
  <c r="Q50" i="21"/>
  <c r="N54" i="21"/>
  <c r="M54" i="21"/>
  <c r="S11" i="21"/>
  <c r="T10" i="21"/>
  <c r="K56" i="21"/>
  <c r="L56" i="21"/>
  <c r="S47" i="21" a="1"/>
  <c r="S31" i="21" a="1"/>
  <c r="S22" i="21" a="1"/>
  <c r="S28" i="21" a="1"/>
  <c r="S29" i="21" a="1"/>
  <c r="S39" i="21" a="1"/>
  <c r="S30" i="21" a="1"/>
  <c r="S21" i="21" a="1"/>
  <c r="S17" i="21" a="1"/>
  <c r="S35" i="21" a="1"/>
  <c r="S32" i="21" a="1"/>
  <c r="S38" i="21" a="1"/>
  <c r="S45" i="21" a="1"/>
  <c r="S20" i="21" a="1"/>
  <c r="S18" i="21" a="1"/>
  <c r="S19" i="21" a="1"/>
  <c r="S43" i="21" a="1"/>
  <c r="S12" i="21" a="1"/>
  <c r="S37" i="21" a="1"/>
  <c r="S42" i="21" a="1"/>
  <c r="S41" i="21" a="1"/>
  <c r="S16" i="21" a="1"/>
  <c r="S36" i="21" a="1"/>
  <c r="S27" i="21" a="1"/>
  <c r="S34" i="21" a="1"/>
  <c r="S15" i="21" a="1"/>
  <c r="S24" i="21" a="1"/>
  <c r="S44" i="21" a="1"/>
  <c r="S25" i="21" a="1"/>
  <c r="S26" i="21" a="1"/>
  <c r="S14" i="21" a="1"/>
  <c r="S46" i="21" a="1"/>
  <c r="S33" i="21" a="1"/>
  <c r="S13" i="21" a="1"/>
  <c r="S40" i="21" a="1"/>
  <c r="S23" i="21" a="1"/>
  <c r="S23" i="21" l="1"/>
  <c r="S40" i="21"/>
  <c r="S13" i="21"/>
  <c r="S33" i="21"/>
  <c r="S46" i="21"/>
  <c r="S14" i="21"/>
  <c r="S26" i="21"/>
  <c r="S25" i="21"/>
  <c r="S44" i="21"/>
  <c r="S24" i="21"/>
  <c r="S15" i="21"/>
  <c r="S34" i="21"/>
  <c r="S27" i="21"/>
  <c r="S36" i="21"/>
  <c r="S16" i="21"/>
  <c r="S41" i="21"/>
  <c r="S42" i="21"/>
  <c r="S37" i="21"/>
  <c r="S12" i="21"/>
  <c r="S43" i="21"/>
  <c r="S19" i="21"/>
  <c r="S18" i="21"/>
  <c r="S20" i="21"/>
  <c r="S45" i="21"/>
  <c r="S38" i="21"/>
  <c r="S32" i="21"/>
  <c r="S35" i="21"/>
  <c r="S17" i="21"/>
  <c r="S21" i="21"/>
  <c r="S30" i="21"/>
  <c r="S39" i="21"/>
  <c r="S29" i="21"/>
  <c r="S28" i="21"/>
  <c r="S22" i="21"/>
  <c r="S31" i="21"/>
  <c r="S47" i="21"/>
  <c r="I59" i="21"/>
  <c r="J59" i="21"/>
  <c r="J60" i="21" s="1"/>
  <c r="M55" i="21"/>
  <c r="N55" i="21"/>
  <c r="T11" i="21"/>
  <c r="U10" i="21"/>
  <c r="Q51" i="21"/>
  <c r="Q52" i="21" s="1"/>
  <c r="Q53" i="21" s="1"/>
  <c r="O53" i="21"/>
  <c r="L57" i="21"/>
  <c r="K57" i="21"/>
  <c r="P53" i="21"/>
  <c r="R50" i="21"/>
  <c r="T38" i="21" a="1"/>
  <c r="T41" i="21" a="1"/>
  <c r="T20" i="21" a="1"/>
  <c r="T25" i="21" a="1"/>
  <c r="T27" i="21" a="1"/>
  <c r="T37" i="21" a="1"/>
  <c r="T34" i="21" a="1"/>
  <c r="T26" i="21" a="1"/>
  <c r="T16" i="21" a="1"/>
  <c r="T30" i="21" a="1"/>
  <c r="T24" i="21" a="1"/>
  <c r="T15" i="21" a="1"/>
  <c r="T36" i="21" a="1"/>
  <c r="T35" i="21" a="1"/>
  <c r="T33" i="21" a="1"/>
  <c r="T28" i="21" a="1"/>
  <c r="T14" i="21" a="1"/>
  <c r="T39" i="21" a="1"/>
  <c r="T21" i="21" a="1"/>
  <c r="T19" i="21" a="1"/>
  <c r="T46" i="21" a="1"/>
  <c r="T47" i="21" a="1"/>
  <c r="T32" i="21" a="1"/>
  <c r="T31" i="21" a="1"/>
  <c r="T13" i="21" a="1"/>
  <c r="T42" i="21" a="1"/>
  <c r="T44" i="21" a="1"/>
  <c r="T23" i="21" a="1"/>
  <c r="T29" i="21" a="1"/>
  <c r="T12" i="21" a="1"/>
  <c r="T45" i="21" a="1"/>
  <c r="T43" i="21" a="1"/>
  <c r="T40" i="21" a="1"/>
  <c r="T22" i="21" a="1"/>
  <c r="T17" i="21" a="1"/>
  <c r="T18" i="21" a="1"/>
  <c r="T18" i="21" l="1"/>
  <c r="T17" i="21"/>
  <c r="T22" i="21"/>
  <c r="T40" i="21"/>
  <c r="T43" i="21"/>
  <c r="T45" i="21"/>
  <c r="T12" i="21"/>
  <c r="T29" i="21"/>
  <c r="T23" i="21"/>
  <c r="T44" i="21"/>
  <c r="T42" i="21"/>
  <c r="T13" i="21"/>
  <c r="T31" i="21"/>
  <c r="T32" i="21"/>
  <c r="T47" i="21"/>
  <c r="T46" i="21"/>
  <c r="T19" i="21"/>
  <c r="T21" i="21"/>
  <c r="T39" i="21"/>
  <c r="T14" i="21"/>
  <c r="T28" i="21"/>
  <c r="T33" i="21"/>
  <c r="T35" i="21"/>
  <c r="T36" i="21"/>
  <c r="T15" i="21"/>
  <c r="T24" i="21"/>
  <c r="T30" i="21"/>
  <c r="T16" i="21"/>
  <c r="T26" i="21"/>
  <c r="T34" i="21"/>
  <c r="T37" i="21"/>
  <c r="T27" i="21"/>
  <c r="T25" i="21"/>
  <c r="T20" i="21"/>
  <c r="T41" i="21"/>
  <c r="T38" i="21"/>
  <c r="K58" i="21"/>
  <c r="L58" i="21"/>
  <c r="I60" i="21"/>
  <c r="R51" i="21"/>
  <c r="R52" i="21" s="1"/>
  <c r="R53" i="21" s="1"/>
  <c r="R54" i="21" s="1"/>
  <c r="S50" i="21"/>
  <c r="Q54" i="21"/>
  <c r="P54" i="21"/>
  <c r="O54" i="21"/>
  <c r="V10" i="21"/>
  <c r="U11" i="21"/>
  <c r="M56" i="21"/>
  <c r="N56" i="21"/>
  <c r="U31" i="21" a="1"/>
  <c r="U47" i="21" a="1"/>
  <c r="U45" i="21" a="1"/>
  <c r="U30" i="21" a="1"/>
  <c r="U29" i="21" a="1"/>
  <c r="U39" i="21" a="1"/>
  <c r="U41" i="21" a="1"/>
  <c r="U42" i="21" a="1"/>
  <c r="U25" i="21" a="1"/>
  <c r="U17" i="21" a="1"/>
  <c r="U27" i="21" a="1"/>
  <c r="U28" i="21" a="1"/>
  <c r="U38" i="21" a="1"/>
  <c r="U46" i="21" a="1"/>
  <c r="U23" i="21" a="1"/>
  <c r="U18" i="21" a="1"/>
  <c r="U16" i="21" a="1"/>
  <c r="U43" i="21" a="1"/>
  <c r="U19" i="21" a="1"/>
  <c r="U32" i="21" a="1"/>
  <c r="U37" i="21" a="1"/>
  <c r="U34" i="21" a="1"/>
  <c r="U22" i="21" a="1"/>
  <c r="U20" i="21" a="1"/>
  <c r="U15" i="21" a="1"/>
  <c r="U36" i="21" a="1"/>
  <c r="U21" i="21" a="1"/>
  <c r="U14" i="21" a="1"/>
  <c r="U24" i="21" a="1"/>
  <c r="U40" i="21" a="1"/>
  <c r="U35" i="21" a="1"/>
  <c r="U33" i="21" a="1"/>
  <c r="U26" i="21" a="1"/>
  <c r="U13" i="21" a="1"/>
  <c r="U12" i="21" a="1"/>
  <c r="U44" i="21" a="1"/>
  <c r="U44" i="21" l="1"/>
  <c r="U12" i="21"/>
  <c r="U13" i="21"/>
  <c r="U26" i="21"/>
  <c r="U33" i="21"/>
  <c r="U35" i="21"/>
  <c r="U40" i="21"/>
  <c r="U24" i="21"/>
  <c r="U14" i="21"/>
  <c r="U21" i="21"/>
  <c r="U36" i="21"/>
  <c r="U15" i="21"/>
  <c r="U20" i="21"/>
  <c r="U22" i="21"/>
  <c r="U34" i="21"/>
  <c r="U37" i="21"/>
  <c r="U32" i="21"/>
  <c r="U19" i="21"/>
  <c r="U43" i="21"/>
  <c r="U16" i="21"/>
  <c r="U18" i="21"/>
  <c r="U23" i="21"/>
  <c r="U46" i="21"/>
  <c r="U38" i="21"/>
  <c r="U28" i="21"/>
  <c r="U27" i="21"/>
  <c r="U17" i="21"/>
  <c r="U25" i="21"/>
  <c r="U42" i="21"/>
  <c r="U41" i="21"/>
  <c r="U39" i="21"/>
  <c r="U29" i="21"/>
  <c r="U30" i="21"/>
  <c r="U45" i="21"/>
  <c r="U47" i="21"/>
  <c r="U31" i="21"/>
  <c r="T50" i="21"/>
  <c r="W10" i="21"/>
  <c r="V11" i="21"/>
  <c r="M57" i="21"/>
  <c r="N57" i="21"/>
  <c r="L59" i="21"/>
  <c r="L60" i="21" s="1"/>
  <c r="K59" i="21"/>
  <c r="Q55" i="21"/>
  <c r="O55" i="21"/>
  <c r="P55" i="21"/>
  <c r="R55" i="21"/>
  <c r="S51" i="21"/>
  <c r="S52" i="21" s="1"/>
  <c r="S53" i="21" s="1"/>
  <c r="S54" i="21" s="1"/>
  <c r="S55" i="21" s="1"/>
  <c r="V33" i="21" a="1"/>
  <c r="V38" i="21" a="1"/>
  <c r="V22" i="21" a="1"/>
  <c r="V15" i="21" a="1"/>
  <c r="V20" i="21" a="1"/>
  <c r="V43" i="21" a="1"/>
  <c r="V32" i="21" a="1"/>
  <c r="V39" i="21" a="1"/>
  <c r="V14" i="21" a="1"/>
  <c r="V47" i="21" a="1"/>
  <c r="V31" i="21" a="1"/>
  <c r="V26" i="21" a="1"/>
  <c r="V19" i="21" a="1"/>
  <c r="V13" i="21" a="1"/>
  <c r="V44" i="21" a="1"/>
  <c r="V30" i="21" a="1"/>
  <c r="V24" i="21" a="1"/>
  <c r="V12" i="21" a="1"/>
  <c r="V40" i="21" a="1"/>
  <c r="V29" i="21" a="1"/>
  <c r="V34" i="21" a="1"/>
  <c r="V23" i="21" a="1"/>
  <c r="V18" i="21" a="1"/>
  <c r="V36" i="21" a="1"/>
  <c r="V42" i="21" a="1"/>
  <c r="V25" i="21" a="1"/>
  <c r="V16" i="21" a="1"/>
  <c r="V45" i="21" a="1"/>
  <c r="V28" i="21" a="1"/>
  <c r="V46" i="21" a="1"/>
  <c r="V21" i="21" a="1"/>
  <c r="V37" i="21" a="1"/>
  <c r="V41" i="21" a="1"/>
  <c r="V35" i="21" a="1"/>
  <c r="V27" i="21" a="1"/>
  <c r="V17" i="21" a="1"/>
  <c r="V17" i="21" l="1"/>
  <c r="V27" i="21"/>
  <c r="V35" i="21"/>
  <c r="V41" i="21"/>
  <c r="V37" i="21"/>
  <c r="V21" i="21"/>
  <c r="V46" i="21"/>
  <c r="V28" i="21"/>
  <c r="V45" i="21"/>
  <c r="V16" i="21"/>
  <c r="V25" i="21"/>
  <c r="V42" i="21"/>
  <c r="V36" i="21"/>
  <c r="V18" i="21"/>
  <c r="V23" i="21"/>
  <c r="V34" i="21"/>
  <c r="V29" i="21"/>
  <c r="V40" i="21"/>
  <c r="V12" i="21"/>
  <c r="V24" i="21"/>
  <c r="V30" i="21"/>
  <c r="V44" i="21"/>
  <c r="V13" i="21"/>
  <c r="V19" i="21"/>
  <c r="V26" i="21"/>
  <c r="V31" i="21"/>
  <c r="V47" i="21"/>
  <c r="V14" i="21"/>
  <c r="V39" i="21"/>
  <c r="V32" i="21"/>
  <c r="V43" i="21"/>
  <c r="V20" i="21"/>
  <c r="V15" i="21"/>
  <c r="V22" i="21"/>
  <c r="V38" i="21"/>
  <c r="V33" i="21"/>
  <c r="X10" i="21"/>
  <c r="W11" i="21"/>
  <c r="K60" i="21"/>
  <c r="N58" i="21"/>
  <c r="M58" i="21"/>
  <c r="O56" i="21"/>
  <c r="R56" i="21"/>
  <c r="P56" i="21"/>
  <c r="Q56" i="21"/>
  <c r="S56" i="21"/>
  <c r="U50" i="21"/>
  <c r="T51" i="21"/>
  <c r="T52" i="21" s="1"/>
  <c r="T53" i="21" s="1"/>
  <c r="T54" i="21" s="1"/>
  <c r="T55" i="21" s="1"/>
  <c r="T56" i="21" s="1"/>
  <c r="W40" i="21" a="1"/>
  <c r="W36" i="21" a="1"/>
  <c r="W28" i="21" a="1"/>
  <c r="W19" i="21" a="1"/>
  <c r="W17" i="21" a="1"/>
  <c r="W45" i="21" a="1"/>
  <c r="W43" i="21" a="1"/>
  <c r="W27" i="21" a="1"/>
  <c r="W16" i="21" a="1"/>
  <c r="W41" i="21" a="1"/>
  <c r="W32" i="21" a="1"/>
  <c r="W25" i="21" a="1"/>
  <c r="W15" i="21" a="1"/>
  <c r="W26" i="21" a="1"/>
  <c r="W46" i="21" a="1"/>
  <c r="W31" i="21" a="1"/>
  <c r="W23" i="21" a="1"/>
  <c r="W14" i="21" a="1"/>
  <c r="W18" i="21" a="1"/>
  <c r="W29" i="21" a="1"/>
  <c r="W12" i="21" a="1"/>
  <c r="W42" i="21" a="1"/>
  <c r="W30" i="21" a="1"/>
  <c r="W22" i="21" a="1"/>
  <c r="W13" i="21" a="1"/>
  <c r="W39" i="21" a="1"/>
  <c r="W21" i="21" a="1"/>
  <c r="W47" i="21" a="1"/>
  <c r="W38" i="21" a="1"/>
  <c r="W33" i="21" a="1"/>
  <c r="W20" i="21" a="1"/>
  <c r="W24" i="21" a="1"/>
  <c r="W44" i="21" a="1"/>
  <c r="W37" i="21" a="1"/>
  <c r="W34" i="21" a="1"/>
  <c r="W35" i="21" a="1"/>
  <c r="W35" i="21" l="1"/>
  <c r="W34" i="21"/>
  <c r="W37" i="21"/>
  <c r="W44" i="21"/>
  <c r="W24" i="21"/>
  <c r="W20" i="21"/>
  <c r="W33" i="21"/>
  <c r="W38" i="21"/>
  <c r="W47" i="21"/>
  <c r="W21" i="21"/>
  <c r="W39" i="21"/>
  <c r="W13" i="21"/>
  <c r="W22" i="21"/>
  <c r="W30" i="21"/>
  <c r="W42" i="21"/>
  <c r="W12" i="21"/>
  <c r="W29" i="21"/>
  <c r="W18" i="21"/>
  <c r="W14" i="21"/>
  <c r="W23" i="21"/>
  <c r="W31" i="21"/>
  <c r="W46" i="21"/>
  <c r="W26" i="21"/>
  <c r="W15" i="21"/>
  <c r="W25" i="21"/>
  <c r="W32" i="21"/>
  <c r="W41" i="21"/>
  <c r="W16" i="21"/>
  <c r="W27" i="21"/>
  <c r="W43" i="21"/>
  <c r="W45" i="21"/>
  <c r="W17" i="21"/>
  <c r="W19" i="21"/>
  <c r="W28" i="21"/>
  <c r="W36" i="21"/>
  <c r="W40" i="21"/>
  <c r="M59" i="21"/>
  <c r="N59" i="21"/>
  <c r="N60" i="21" s="1"/>
  <c r="Y10" i="21"/>
  <c r="X11" i="21"/>
  <c r="O57" i="21"/>
  <c r="P57" i="21"/>
  <c r="Q57" i="21"/>
  <c r="R57" i="21"/>
  <c r="S57" i="21"/>
  <c r="T57" i="21"/>
  <c r="V50" i="21"/>
  <c r="U51" i="21"/>
  <c r="U52" i="21" s="1"/>
  <c r="U53" i="21" s="1"/>
  <c r="U54" i="21" s="1"/>
  <c r="U55" i="21" s="1"/>
  <c r="U56" i="21" s="1"/>
  <c r="U57" i="21" s="1"/>
  <c r="X37" i="21" a="1"/>
  <c r="X41" i="21" a="1"/>
  <c r="X25" i="21" a="1"/>
  <c r="X24" i="21" a="1"/>
  <c r="X17" i="21" a="1"/>
  <c r="X36" i="21" a="1"/>
  <c r="X34" i="21" a="1"/>
  <c r="X31" i="21" a="1"/>
  <c r="X16" i="21" a="1"/>
  <c r="X28" i="21" a="1"/>
  <c r="X35" i="21" a="1"/>
  <c r="X44" i="21" a="1"/>
  <c r="X23" i="21" a="1"/>
  <c r="X15" i="21" a="1"/>
  <c r="X19" i="21" a="1"/>
  <c r="X32" i="21" a="1"/>
  <c r="X27" i="21" a="1"/>
  <c r="X46" i="21" a="1"/>
  <c r="X40" i="21" a="1"/>
  <c r="X22" i="21" a="1"/>
  <c r="X14" i="21" a="1"/>
  <c r="X18" i="21" a="1"/>
  <c r="X43" i="21" a="1"/>
  <c r="X20" i="21" a="1"/>
  <c r="X12" i="21" a="1"/>
  <c r="X45" i="21" a="1"/>
  <c r="X42" i="21" a="1"/>
  <c r="X47" i="21" a="1"/>
  <c r="X21" i="21" a="1"/>
  <c r="X13" i="21" a="1"/>
  <c r="X26" i="21" a="1"/>
  <c r="X39" i="21" a="1"/>
  <c r="X33" i="21" a="1"/>
  <c r="X29" i="21" a="1"/>
  <c r="X30" i="21" a="1"/>
  <c r="X38" i="21" a="1"/>
  <c r="X38" i="21" l="1"/>
  <c r="X30" i="21"/>
  <c r="X29" i="21"/>
  <c r="X33" i="21"/>
  <c r="X39" i="21"/>
  <c r="X26" i="21"/>
  <c r="X13" i="21"/>
  <c r="X21" i="21"/>
  <c r="X47" i="21"/>
  <c r="X42" i="21"/>
  <c r="X45" i="21"/>
  <c r="X12" i="21"/>
  <c r="X20" i="21"/>
  <c r="X43" i="21"/>
  <c r="X18" i="21"/>
  <c r="X14" i="21"/>
  <c r="X22" i="21"/>
  <c r="X40" i="21"/>
  <c r="X46" i="21"/>
  <c r="X27" i="21"/>
  <c r="X32" i="21"/>
  <c r="X19" i="21"/>
  <c r="X15" i="21"/>
  <c r="X23" i="21"/>
  <c r="X44" i="21"/>
  <c r="X35" i="21"/>
  <c r="X28" i="21"/>
  <c r="X16" i="21"/>
  <c r="X31" i="21"/>
  <c r="X34" i="21"/>
  <c r="X36" i="21"/>
  <c r="X17" i="21"/>
  <c r="X24" i="21"/>
  <c r="X25" i="21"/>
  <c r="X41" i="21"/>
  <c r="X37" i="21"/>
  <c r="W50" i="21"/>
  <c r="Z10" i="21"/>
  <c r="Y11" i="21"/>
  <c r="V51" i="21"/>
  <c r="V52" i="21" s="1"/>
  <c r="V53" i="21" s="1"/>
  <c r="V54" i="21" s="1"/>
  <c r="V55" i="21" s="1"/>
  <c r="V56" i="21" s="1"/>
  <c r="V57" i="21" s="1"/>
  <c r="V58" i="21" s="1"/>
  <c r="O58" i="21"/>
  <c r="T58" i="21"/>
  <c r="R58" i="21"/>
  <c r="S58" i="21"/>
  <c r="P58" i="21"/>
  <c r="Q58" i="21"/>
  <c r="U58" i="21"/>
  <c r="M60" i="21"/>
  <c r="Y41" i="21" a="1"/>
  <c r="Y43" i="21" a="1"/>
  <c r="Y27" i="21" a="1"/>
  <c r="Y33" i="21" a="1"/>
  <c r="Y24" i="21" a="1"/>
  <c r="Y39" i="21" a="1"/>
  <c r="Y34" i="21" a="1"/>
  <c r="Y25" i="21" a="1"/>
  <c r="Y16" i="21" a="1"/>
  <c r="Y18" i="21" a="1"/>
  <c r="Y38" i="21" a="1"/>
  <c r="Y44" i="21" a="1"/>
  <c r="Y23" i="21" a="1"/>
  <c r="Y13" i="21" a="1"/>
  <c r="Y15" i="21" a="1"/>
  <c r="Y37" i="21" a="1"/>
  <c r="Y40" i="21" a="1"/>
  <c r="Y22" i="21" a="1"/>
  <c r="Y28" i="21" a="1"/>
  <c r="Y19" i="21" a="1"/>
  <c r="Y29" i="21" a="1"/>
  <c r="Y36" i="21" a="1"/>
  <c r="Y31" i="21" a="1"/>
  <c r="Y21" i="21" a="1"/>
  <c r="Y14" i="21" a="1"/>
  <c r="Y12" i="21" a="1"/>
  <c r="Y35" i="21" a="1"/>
  <c r="Y30" i="21" a="1"/>
  <c r="Y20" i="21" a="1"/>
  <c r="Y17" i="21" a="1"/>
  <c r="Y42" i="21" a="1"/>
  <c r="Y47" i="21" a="1"/>
  <c r="Y46" i="21" a="1"/>
  <c r="Y32" i="21" a="1"/>
  <c r="Y26" i="21" a="1"/>
  <c r="Y45" i="21" a="1"/>
  <c r="Y45" i="21" l="1"/>
  <c r="Y26" i="21"/>
  <c r="Y32" i="21"/>
  <c r="Y46" i="21"/>
  <c r="Y47" i="21"/>
  <c r="Y42" i="21"/>
  <c r="Y17" i="21"/>
  <c r="Y20" i="21"/>
  <c r="Y30" i="21"/>
  <c r="Y35" i="21"/>
  <c r="Y12" i="21"/>
  <c r="Y14" i="21"/>
  <c r="Y21" i="21"/>
  <c r="Y31" i="21"/>
  <c r="Y36" i="21"/>
  <c r="Y29" i="21"/>
  <c r="Y19" i="21"/>
  <c r="Y28" i="21"/>
  <c r="Y22" i="21"/>
  <c r="Y40" i="21"/>
  <c r="Y37" i="21"/>
  <c r="Y15" i="21"/>
  <c r="Y13" i="21"/>
  <c r="Y23" i="21"/>
  <c r="Y44" i="21"/>
  <c r="Y38" i="21"/>
  <c r="Y18" i="21"/>
  <c r="Y16" i="21"/>
  <c r="Y25" i="21"/>
  <c r="Y34" i="21"/>
  <c r="Y39" i="21"/>
  <c r="Y24" i="21"/>
  <c r="Y33" i="21"/>
  <c r="Y27" i="21"/>
  <c r="Y43" i="21"/>
  <c r="Y41" i="21"/>
  <c r="S59" i="21"/>
  <c r="S60" i="21" s="1"/>
  <c r="Q59" i="21"/>
  <c r="Q60" i="21" s="1"/>
  <c r="P59" i="21"/>
  <c r="P60" i="21" s="1"/>
  <c r="O59" i="21"/>
  <c r="V59" i="21"/>
  <c r="V60" i="21" s="1"/>
  <c r="T59" i="21"/>
  <c r="T60" i="21" s="1"/>
  <c r="R59" i="21"/>
  <c r="R60" i="21" s="1"/>
  <c r="U59" i="21"/>
  <c r="U60" i="21" s="1"/>
  <c r="W51" i="21"/>
  <c r="W52" i="21" s="1"/>
  <c r="W53" i="21" s="1"/>
  <c r="W54" i="21" s="1"/>
  <c r="W55" i="21" s="1"/>
  <c r="W56" i="21" s="1"/>
  <c r="W57" i="21" s="1"/>
  <c r="W58" i="21" s="1"/>
  <c r="W59" i="21" s="1"/>
  <c r="X50" i="21"/>
  <c r="Z11" i="21"/>
  <c r="AA10" i="21"/>
  <c r="Z41" i="21" a="1"/>
  <c r="Z28" i="21" a="1"/>
  <c r="Z17" i="21" a="1"/>
  <c r="Z18" i="21" a="1"/>
  <c r="Z25" i="21" a="1"/>
  <c r="Z39" i="21" a="1"/>
  <c r="Z42" i="21" a="1"/>
  <c r="Z35" i="21" a="1"/>
  <c r="Z37" i="21" a="1"/>
  <c r="Z21" i="21" a="1"/>
  <c r="Z22" i="21" a="1"/>
  <c r="Z36" i="21" a="1"/>
  <c r="Z19" i="21" a="1"/>
  <c r="Z46" i="21" a="1"/>
  <c r="Z34" i="21" a="1"/>
  <c r="Z33" i="21" a="1"/>
  <c r="Z47" i="21" a="1"/>
  <c r="Z16" i="21" a="1"/>
  <c r="Z38" i="21" a="1"/>
  <c r="Z26" i="21" a="1"/>
  <c r="Z30" i="21" a="1"/>
  <c r="Z29" i="21" a="1"/>
  <c r="Z27" i="21" a="1"/>
  <c r="Z43" i="21" a="1"/>
  <c r="Z15" i="21" a="1"/>
  <c r="Z14" i="21" a="1"/>
  <c r="Z13" i="21" a="1"/>
  <c r="Z44" i="21" a="1"/>
  <c r="Z31" i="21" a="1"/>
  <c r="Z24" i="21" a="1"/>
  <c r="Z20" i="21" a="1"/>
  <c r="Z32" i="21" a="1"/>
  <c r="Z23" i="21" a="1"/>
  <c r="Z40" i="21" a="1"/>
  <c r="Z45" i="21" a="1"/>
  <c r="Z12" i="21" a="1"/>
  <c r="Z12" i="21" l="1"/>
  <c r="Z45" i="21"/>
  <c r="Z40" i="21"/>
  <c r="Z23" i="21"/>
  <c r="Z32" i="21"/>
  <c r="Z20" i="21"/>
  <c r="Z24" i="21"/>
  <c r="Z31" i="21"/>
  <c r="Z44" i="21"/>
  <c r="Z13" i="21"/>
  <c r="Z14" i="21"/>
  <c r="Z15" i="21"/>
  <c r="Z43" i="21"/>
  <c r="Z27" i="21"/>
  <c r="Z29" i="21"/>
  <c r="Z30" i="21"/>
  <c r="Z26" i="21"/>
  <c r="Z38" i="21"/>
  <c r="Z16" i="21"/>
  <c r="Z47" i="21"/>
  <c r="Z33" i="21"/>
  <c r="Z34" i="21"/>
  <c r="Z46" i="21"/>
  <c r="Z19" i="21"/>
  <c r="Z36" i="21"/>
  <c r="Z22" i="21"/>
  <c r="Z21" i="21"/>
  <c r="Z37" i="21"/>
  <c r="Z35" i="21"/>
  <c r="Z42" i="21"/>
  <c r="Z39" i="21"/>
  <c r="Z25" i="21"/>
  <c r="Z18" i="21"/>
  <c r="Z17" i="21"/>
  <c r="Z28" i="21"/>
  <c r="Z41" i="21"/>
  <c r="AA11" i="21"/>
  <c r="AB10" i="21"/>
  <c r="O60" i="21"/>
  <c r="X51" i="21"/>
  <c r="X52" i="21" s="1"/>
  <c r="X53" i="21" s="1"/>
  <c r="X54" i="21" s="1"/>
  <c r="X55" i="21" s="1"/>
  <c r="X56" i="21" s="1"/>
  <c r="X57" i="21" s="1"/>
  <c r="X58" i="21" s="1"/>
  <c r="X59" i="21" s="1"/>
  <c r="Y50" i="21"/>
  <c r="W60" i="21"/>
  <c r="AA38" i="21" a="1"/>
  <c r="AA29" i="21" a="1"/>
  <c r="AA23" i="21" a="1"/>
  <c r="AA17" i="21" a="1"/>
  <c r="AA19" i="21" a="1"/>
  <c r="AA37" i="21" a="1"/>
  <c r="AA32" i="21" a="1"/>
  <c r="AA22" i="21" a="1"/>
  <c r="AA18" i="21" a="1"/>
  <c r="AA36" i="21" a="1"/>
  <c r="AA34" i="21" a="1"/>
  <c r="AA21" i="21" a="1"/>
  <c r="AA16" i="21" a="1"/>
  <c r="AA12" i="21" a="1"/>
  <c r="AA35" i="21" a="1"/>
  <c r="AA26" i="21" a="1"/>
  <c r="AA20" i="21" a="1"/>
  <c r="AA15" i="21" a="1"/>
  <c r="AA44" i="21" a="1"/>
  <c r="AA45" i="21" a="1"/>
  <c r="AA24" i="21" a="1"/>
  <c r="AA27" i="21" a="1"/>
  <c r="AA14" i="21" a="1"/>
  <c r="AA40" i="21" a="1"/>
  <c r="AA41" i="21" a="1"/>
  <c r="AA43" i="21" a="1"/>
  <c r="AA25" i="21" a="1"/>
  <c r="AA13" i="21" a="1"/>
  <c r="AA47" i="21" a="1"/>
  <c r="AA31" i="21" a="1"/>
  <c r="AA46" i="21" a="1"/>
  <c r="AA42" i="21" a="1"/>
  <c r="AA39" i="21" a="1"/>
  <c r="AA30" i="21" a="1"/>
  <c r="AA28" i="21" a="1"/>
  <c r="AA33" i="21" a="1"/>
  <c r="AA33" i="21" l="1"/>
  <c r="AA28" i="21"/>
  <c r="AA30" i="21"/>
  <c r="AA39" i="21"/>
  <c r="AA42" i="21"/>
  <c r="AA46" i="21"/>
  <c r="AA31" i="21"/>
  <c r="AA47" i="21"/>
  <c r="AA13" i="21"/>
  <c r="AA25" i="21"/>
  <c r="AA43" i="21"/>
  <c r="AA41" i="21"/>
  <c r="AA40" i="21"/>
  <c r="AA14" i="21"/>
  <c r="AA27" i="21"/>
  <c r="AA24" i="21"/>
  <c r="AA45" i="21"/>
  <c r="AA44" i="21"/>
  <c r="AA15" i="21"/>
  <c r="AA20" i="21"/>
  <c r="AA26" i="21"/>
  <c r="AA35" i="21"/>
  <c r="AA12" i="21"/>
  <c r="AA16" i="21"/>
  <c r="AA21" i="21"/>
  <c r="AA34" i="21"/>
  <c r="AA36" i="21"/>
  <c r="AA18" i="21"/>
  <c r="AA22" i="21"/>
  <c r="AA32" i="21"/>
  <c r="AA37" i="21"/>
  <c r="AA19" i="21"/>
  <c r="AA17" i="21"/>
  <c r="AA23" i="21"/>
  <c r="AA29" i="21"/>
  <c r="AA38" i="21"/>
  <c r="Y51" i="21"/>
  <c r="Y52" i="21" s="1"/>
  <c r="Y53" i="21" s="1"/>
  <c r="Y54" i="21" s="1"/>
  <c r="Y55" i="21" s="1"/>
  <c r="Y56" i="21" s="1"/>
  <c r="Y57" i="21" s="1"/>
  <c r="Y58" i="21" s="1"/>
  <c r="Y59" i="21" s="1"/>
  <c r="X60" i="21"/>
  <c r="AB11" i="21"/>
  <c r="AC10" i="21"/>
  <c r="Z50" i="21"/>
  <c r="AB44" i="21" a="1"/>
  <c r="AB45" i="21" a="1"/>
  <c r="AB28" i="21" a="1"/>
  <c r="AB24" i="21" a="1"/>
  <c r="AB19" i="21" a="1"/>
  <c r="AB40" i="21" a="1"/>
  <c r="AB41" i="21" a="1"/>
  <c r="AB23" i="21" a="1"/>
  <c r="AB18" i="21" a="1"/>
  <c r="AB26" i="21" a="1"/>
  <c r="AB16" i="21" a="1"/>
  <c r="AB38" i="21" a="1"/>
  <c r="AB42" i="21" a="1"/>
  <c r="AB21" i="21" a="1"/>
  <c r="AB15" i="21" a="1"/>
  <c r="AB31" i="21" a="1"/>
  <c r="AB25" i="21" a="1"/>
  <c r="AB43" i="21" a="1"/>
  <c r="AB30" i="21" a="1"/>
  <c r="AB39" i="21" a="1"/>
  <c r="AB32" i="21" a="1"/>
  <c r="AB22" i="21" a="1"/>
  <c r="AB37" i="21" a="1"/>
  <c r="AB33" i="21" a="1"/>
  <c r="AB20" i="21" a="1"/>
  <c r="AB14" i="21" a="1"/>
  <c r="AB17" i="21" a="1"/>
  <c r="AB36" i="21" a="1"/>
  <c r="AB46" i="21" a="1"/>
  <c r="AB27" i="21" a="1"/>
  <c r="AB13" i="21" a="1"/>
  <c r="AB35" i="21" a="1"/>
  <c r="AB34" i="21" a="1"/>
  <c r="AB12" i="21" a="1"/>
  <c r="AB47" i="21" a="1"/>
  <c r="AB29" i="21" a="1"/>
  <c r="AB29" i="21" l="1"/>
  <c r="AB47" i="21"/>
  <c r="AB12" i="21"/>
  <c r="AB34" i="21"/>
  <c r="AB35" i="21"/>
  <c r="AB13" i="21"/>
  <c r="AB27" i="21"/>
  <c r="AB46" i="21"/>
  <c r="AB36" i="21"/>
  <c r="AB17" i="21"/>
  <c r="AB14" i="21"/>
  <c r="AB20" i="21"/>
  <c r="AB33" i="21"/>
  <c r="AB37" i="21"/>
  <c r="AB22" i="21"/>
  <c r="AB32" i="21"/>
  <c r="AB39" i="21"/>
  <c r="AB30" i="21"/>
  <c r="AB43" i="21"/>
  <c r="AB25" i="21"/>
  <c r="AB31" i="21"/>
  <c r="AB15" i="21"/>
  <c r="AB21" i="21"/>
  <c r="AB42" i="21"/>
  <c r="AB38" i="21"/>
  <c r="AB16" i="21"/>
  <c r="AB26" i="21"/>
  <c r="AB18" i="21"/>
  <c r="AB23" i="21"/>
  <c r="AB41" i="21"/>
  <c r="AB40" i="21"/>
  <c r="AB19" i="21"/>
  <c r="AB24" i="21"/>
  <c r="AB28" i="21"/>
  <c r="AB45" i="21"/>
  <c r="AB44" i="21"/>
  <c r="Z51" i="21"/>
  <c r="Z52" i="21" s="1"/>
  <c r="Z53" i="21" s="1"/>
  <c r="Z54" i="21" s="1"/>
  <c r="Z55" i="21" s="1"/>
  <c r="Z56" i="21" s="1"/>
  <c r="Z57" i="21" s="1"/>
  <c r="Z58" i="21" s="1"/>
  <c r="Z59" i="21" s="1"/>
  <c r="Y60" i="21"/>
  <c r="AA50" i="21"/>
  <c r="AC11" i="21"/>
  <c r="AC47" i="21" a="1"/>
  <c r="AC46" i="21" a="1"/>
  <c r="AC22" i="21" a="1"/>
  <c r="AC44" i="21" a="1"/>
  <c r="AC14" i="21" a="1"/>
  <c r="AC38" i="21" a="1"/>
  <c r="AC20" i="21" a="1"/>
  <c r="AC17" i="21" a="1"/>
  <c r="AC40" i="21" a="1"/>
  <c r="AC35" i="21" a="1"/>
  <c r="AC45" i="21" a="1"/>
  <c r="AC26" i="21" a="1"/>
  <c r="AC16" i="21" a="1"/>
  <c r="AC39" i="21" a="1"/>
  <c r="AC42" i="21" a="1"/>
  <c r="AC21" i="21" a="1"/>
  <c r="AC32" i="21" a="1"/>
  <c r="AC12" i="21" a="1"/>
  <c r="AC33" i="21" a="1"/>
  <c r="AC24" i="21" a="1"/>
  <c r="AC31" i="21" a="1"/>
  <c r="AC13" i="21" a="1"/>
  <c r="AC30" i="21" a="1"/>
  <c r="AC18" i="21" a="1"/>
  <c r="AC27" i="21" a="1"/>
  <c r="AC25" i="21" a="1"/>
  <c r="AC19" i="21" a="1"/>
  <c r="AC29" i="21" a="1"/>
  <c r="AC23" i="21" a="1"/>
  <c r="AC37" i="21" a="1"/>
  <c r="AC34" i="21" a="1"/>
  <c r="AC43" i="21" a="1"/>
  <c r="AC15" i="21" a="1"/>
  <c r="AC41" i="21" a="1"/>
  <c r="AC36" i="21" a="1"/>
  <c r="AC28" i="21" a="1"/>
  <c r="AC28" i="21" l="1"/>
  <c r="AC36" i="21"/>
  <c r="AC41" i="21"/>
  <c r="AC15" i="21"/>
  <c r="AC43" i="21"/>
  <c r="AC34" i="21"/>
  <c r="AC37" i="21"/>
  <c r="AC23" i="21"/>
  <c r="AC29" i="21"/>
  <c r="AC19" i="21"/>
  <c r="AC25" i="21"/>
  <c r="AC27" i="21"/>
  <c r="AC18" i="21"/>
  <c r="AC30" i="21"/>
  <c r="AC13" i="21"/>
  <c r="AC31" i="21"/>
  <c r="AC24" i="21"/>
  <c r="AC33" i="21"/>
  <c r="AC12" i="21"/>
  <c r="AC32" i="21"/>
  <c r="AC21" i="21"/>
  <c r="AC42" i="21"/>
  <c r="AC39" i="21"/>
  <c r="AC16" i="21"/>
  <c r="AC26" i="21"/>
  <c r="AC45" i="21"/>
  <c r="AC35" i="21"/>
  <c r="AC40" i="21"/>
  <c r="AC17" i="21"/>
  <c r="AC20" i="21"/>
  <c r="AC38" i="21"/>
  <c r="AC14" i="21"/>
  <c r="AC44" i="21"/>
  <c r="AC22" i="21"/>
  <c r="AC46" i="21"/>
  <c r="AC47" i="21"/>
  <c r="AA51" i="21"/>
  <c r="AA52" i="21" s="1"/>
  <c r="AA53" i="21" s="1"/>
  <c r="AA54" i="21" s="1"/>
  <c r="AA55" i="21" s="1"/>
  <c r="AA56" i="21" s="1"/>
  <c r="AA57" i="21" s="1"/>
  <c r="AA58" i="21" s="1"/>
  <c r="AA59" i="21" s="1"/>
  <c r="Z60" i="21"/>
  <c r="AB50" i="21"/>
  <c r="AC50" i="21" l="1"/>
  <c r="AC51" i="21" s="1"/>
  <c r="AB51" i="21"/>
  <c r="AB52" i="21" s="1"/>
  <c r="AB53" i="21" s="1"/>
  <c r="AB54" i="21" s="1"/>
  <c r="AB55" i="21" s="1"/>
  <c r="AB56" i="21" s="1"/>
  <c r="AB57" i="21" s="1"/>
  <c r="AB58" i="21" s="1"/>
  <c r="AB59" i="21" s="1"/>
  <c r="AA60" i="21"/>
  <c r="D65" i="21" a="1"/>
  <c r="D65" i="21" s="1"/>
  <c r="D66" i="21" a="1"/>
  <c r="D66" i="21" s="1"/>
  <c r="D67" i="21" a="1"/>
  <c r="D67" i="21" s="1"/>
  <c r="F50" i="21" l="1"/>
  <c r="AC52" i="21"/>
  <c r="F51" i="21"/>
  <c r="D70" i="21"/>
  <c r="D69" i="21"/>
  <c r="AB60" i="21"/>
  <c r="AC53" i="21" l="1"/>
  <c r="F52" i="21"/>
  <c r="F53" i="21" l="1"/>
  <c r="AC54" i="21"/>
  <c r="F54" i="21" l="1"/>
  <c r="AC55" i="21"/>
  <c r="F55" i="21" l="1"/>
  <c r="AC56" i="21"/>
  <c r="F56" i="21" l="1"/>
  <c r="AC57" i="21"/>
  <c r="F57" i="21" l="1"/>
  <c r="AC58" i="21"/>
  <c r="F58" i="21" l="1"/>
  <c r="AC59" i="21"/>
  <c r="F59" i="21" l="1"/>
  <c r="F60" i="21" s="1"/>
  <c r="AC6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2D828552-8668-4BDC-B92D-C85143F16386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5C9B5AE3-6519-48C4-B541-95A52A2449DA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9FD6F335-157D-4FB9-86D1-EC2C4440B915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D3CB7EDA-C822-41DD-9CA9-C9B28DE5EE00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DA2F5054-50D5-4CE6-BBD3-05975A90FD60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4F3C2357-8E30-48C6-A5E8-B8F8F23D769E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T10" authorId="0" shapeId="0" xr:uid="{864058E4-FCAD-4588-965B-FFDEFF8C61E9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<sst xmlns="http://schemas.openxmlformats.org/spreadsheetml/2006/main" count="332" uniqueCount="188">
  <si>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</si>
  <si>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</si>
  <si>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</si>
  <si>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</si>
  <si>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</si>
  <si>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</si>
  <si>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</si>
  <si>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</si>
  <si>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</si>
  <si>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</si>
  <si>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</si>
  <si>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</si>
  <si>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</si>
  <si>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</si>
  <si>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</si>
  <si>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</si>
  <si>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</si>
  <si>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</si>
  <si>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</si>
  <si>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</si>
  <si>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</si>
  <si>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</si>
  <si>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</si>
  <si>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</si>
  <si>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</si>
  <si>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</si>
  <si>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</si>
  <si>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</si>
  <si>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</si>
  <si>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</si>
  <si>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</si>
  <si>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</si>
  <si>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</si>
  <si>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</si>
  <si>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</si>
  <si>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</si>
  <si>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</si>
  <si>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</si>
  <si>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</si>
  <si>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</si>
  <si>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</si>
  <si>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</si>
  <si>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</si>
  <si>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</si>
  <si>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</si>
  <si>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</si>
  <si>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Not Started</t>
  </si>
  <si>
    <t>In Progress</t>
  </si>
  <si>
    <t>Short Description</t>
  </si>
  <si>
    <t>Finish</t>
  </si>
  <si>
    <t>Project Information</t>
  </si>
  <si>
    <t>Code</t>
  </si>
  <si>
    <t>Name</t>
  </si>
  <si>
    <t>Asof</t>
  </si>
  <si>
    <t>Group</t>
  </si>
  <si>
    <t>Deliverables</t>
  </si>
  <si>
    <t>Calendar
Days</t>
  </si>
  <si>
    <t>Member6</t>
  </si>
  <si>
    <t>Member7</t>
  </si>
  <si>
    <t>Member8</t>
  </si>
  <si>
    <t>Member9</t>
  </si>
  <si>
    <t>Member10</t>
  </si>
  <si>
    <t>Offline Application Fraud Detection</t>
  </si>
  <si>
    <t>a) Anomaly detection model for 2 products i.e. home loan and SME
b) Investigation Tool that provide financial trails of individuals connected to suspicious HL cases.</t>
  </si>
  <si>
    <t>Project Setup</t>
  </si>
  <si>
    <t>Define Project Charter</t>
  </si>
  <si>
    <t>Project Charter</t>
  </si>
  <si>
    <t>Outline project objectives, scope, stakeholders, and key success metrics.</t>
  </si>
  <si>
    <t>Quick Assessment &amp; Initial Research</t>
  </si>
  <si>
    <t>Q &amp; R</t>
  </si>
  <si>
    <t>Set up meeting</t>
  </si>
  <si>
    <t>Initial Analysis – Conduct early-stage analysis to evaluate the problem/opportunity</t>
  </si>
  <si>
    <t>Initial Analysis</t>
  </si>
  <si>
    <t>Initial project feasibility</t>
  </si>
  <si>
    <t>Evaluate Ease of Implementation – Assess technical and operational feasibility.</t>
  </si>
  <si>
    <t>Ease of Implementation</t>
  </si>
  <si>
    <t>a) Assess implementation complexity, required effort, and draft the initial project timeline
b) Complete all necessary documentation for the approval process</t>
  </si>
  <si>
    <t>Project Approval – Present proposal to stakeholders for endorsement and go/no-go decision.</t>
  </si>
  <si>
    <t>Project Approval</t>
  </si>
  <si>
    <t>Minute of meeting</t>
  </si>
  <si>
    <t>Project planning – Form the project squad/team and establish detailed project timeline and key milestones</t>
  </si>
  <si>
    <t>a) Squad (team members + R&amp;R)
b) Detailed project timeline and key milestones</t>
  </si>
  <si>
    <t>Gather Business Requirements – Collaborate with stakeholders to capture and document functional and non-functional needs.</t>
  </si>
  <si>
    <t>Frame Analysis – Process &amp; Data Understanding – Analyze current workflows and identify required data sources.</t>
  </si>
  <si>
    <t>Process &amp; Data Understanding</t>
  </si>
  <si>
    <t>Data Collection &amp; Preparation e.g. Identify data sources (transaction logs, application data, behavioral logs, etc.), Clean and preprocess data, Feature engineering</t>
  </si>
  <si>
    <t>Data Collection &amp; Preparation</t>
  </si>
  <si>
    <t>a) Data preparation &amp; feature engineering
b) Descriptive analysis
c) Collection of all possible features</t>
  </si>
  <si>
    <t>a) Model MVP1
b) Model output for validation</t>
  </si>
  <si>
    <t>Forensic Validation (R1)</t>
  </si>
  <si>
    <t>a) FR performs forensic review
b) Collect feedback on performance</t>
  </si>
  <si>
    <t>Model Tuning &amp; Re-Evaluation</t>
  </si>
  <si>
    <t>a) Model MVP2
b) Model output for validation</t>
  </si>
  <si>
    <t>Forensic Validation (R2)</t>
  </si>
  <si>
    <t>a) FR performs forensic review of MVP2's output
b) Collect feedback on revised performance</t>
  </si>
  <si>
    <t xml:space="preserve">Final Evaluation &amp; Approval </t>
  </si>
  <si>
    <t>a) Final evaluation report
b) Sign-off</t>
  </si>
  <si>
    <t>Deployment Planning</t>
  </si>
  <si>
    <t>a) Deployment mode (e.g., batch or real-time)
b) Delivery method (e.g., email distribution)</t>
  </si>
  <si>
    <t>Deployment Execution</t>
  </si>
  <si>
    <t>a) Set up automated data pipeline using MDP
b) Integrate model into production environment
c) Perform system sanity checks</t>
  </si>
  <si>
    <t>Monitoring &amp; Transition</t>
  </si>
  <si>
    <t>a) Generate suspicious application lists monthly
b) Transition to  fraud team</t>
  </si>
  <si>
    <t>Working Days</t>
  </si>
  <si>
    <t>Member</t>
  </si>
  <si>
    <t>Role</t>
  </si>
  <si>
    <t>Danusorn Sitdhirasdr</t>
  </si>
  <si>
    <t>Squad Lead</t>
  </si>
  <si>
    <t>Scrum Master</t>
  </si>
  <si>
    <t>Data Scientist</t>
  </si>
  <si>
    <t>Material Preparation</t>
  </si>
  <si>
    <t>Nak</t>
  </si>
  <si>
    <t>Work Schedule Version 2.01</t>
  </si>
  <si>
    <t>Grand Total</t>
  </si>
  <si>
    <t>Hide</t>
  </si>
  <si>
    <t>Visible</t>
  </si>
  <si>
    <t>% Contribution</t>
  </si>
  <si>
    <t>Pun</t>
  </si>
  <si>
    <t>Earth</t>
  </si>
  <si>
    <t>Rule Optimization &amp; Validation (Unsecured Loan)</t>
  </si>
  <si>
    <t>Rule Optimization &amp; Validation (Secured Loan)</t>
  </si>
  <si>
    <t>Result Update (R1)</t>
  </si>
  <si>
    <t>Result Update (R2)</t>
  </si>
  <si>
    <t>Transition</t>
  </si>
  <si>
    <t>Project Execution : Rule Optimization</t>
  </si>
  <si>
    <t>Project Planning</t>
  </si>
  <si>
    <t>a) Rule Optimization (Unsecured Loan)
b) Model output for validation</t>
  </si>
  <si>
    <t>a) Rule Optimization (Secured Loan)
b) Model output for validation</t>
  </si>
  <si>
    <t>a) update result of MVP2's output with FR Team
b) Collect feedback on revised performance</t>
  </si>
  <si>
    <t>a) Transition to  fraud team (Script Sharing)</t>
  </si>
  <si>
    <t>Business Requirement Gathering</t>
  </si>
  <si>
    <t>a) Available data sources
b) Modeling techniques
c) Testing framework (e.g., train/test split, in-time vs. out-of-time validation, targets)
d) Business and technical metrics for model validation
e) Operational framework</t>
  </si>
  <si>
    <t>Rule optiomization script</t>
  </si>
  <si>
    <t>Rule optimization (unsecured)</t>
  </si>
  <si>
    <t>Rule optimization (secured)</t>
  </si>
  <si>
    <t>Project Execution : Anomaly Detection</t>
  </si>
  <si>
    <t>Anomaly Detection Script</t>
  </si>
  <si>
    <t>Project Approval or exit</t>
  </si>
  <si>
    <t>Model Training &amp; Validation (Secured Loan : HL)</t>
  </si>
  <si>
    <t>Model Training &amp; Validation (Unsecured Loan : CC, XPC)</t>
  </si>
  <si>
    <t>b) Business requirements and specifications e.g. output format</t>
  </si>
  <si>
    <t>Member5</t>
  </si>
  <si>
    <t>a) Update result with FR (R1)
b) Collect feedback on performance</t>
  </si>
  <si>
    <t>Business requirements and specifications e.g. output format</t>
  </si>
  <si>
    <t>a) Available data sources
b) Modeling techniques
c) Testing framework (e.g., train/test split, in-time vs. out-of-time validation, targets)
d) Business and technical metrics for model validation</t>
  </si>
  <si>
    <t>Committee approval</t>
  </si>
  <si>
    <t>Project Sign-off meeting</t>
  </si>
  <si>
    <t>Executive summary Presentation</t>
  </si>
  <si>
    <t>Project sign-off document</t>
  </si>
  <si>
    <t>Online Application Fraud</t>
  </si>
  <si>
    <t>PJ2504_0166</t>
  </si>
  <si>
    <t>Model Training &amp; Validation (CC, XPC)</t>
  </si>
  <si>
    <t>Model Training &amp; Validation (HL)</t>
  </si>
  <si>
    <t>Engkarat Techapanurak</t>
  </si>
  <si>
    <t>Witchapong Daroontham</t>
  </si>
  <si>
    <t>Punyanuch Sriwannawit</t>
  </si>
  <si>
    <t>Model Training (HL)</t>
  </si>
  <si>
    <t>Model Training (CC, XPC)</t>
  </si>
  <si>
    <t xml:space="preserve">Break-down effort estimation </t>
  </si>
  <si>
    <t>Effort
Group</t>
  </si>
  <si>
    <t>A</t>
  </si>
  <si>
    <t>D</t>
  </si>
  <si>
    <t>B</t>
  </si>
  <si>
    <t>Manage</t>
  </si>
  <si>
    <t>Implement</t>
  </si>
  <si>
    <t>C</t>
  </si>
  <si>
    <t>E</t>
  </si>
  <si>
    <t>item</t>
  </si>
  <si>
    <t>Manday</t>
  </si>
  <si>
    <t xml:space="preserve">Pre-implementation: Initial Analysis </t>
  </si>
  <si>
    <t>Implementation: RA to PVT</t>
  </si>
  <si>
    <t>Operation / Maintenance (MA)</t>
  </si>
  <si>
    <t>Other (if any)</t>
  </si>
  <si>
    <t>Management: Project manager</t>
  </si>
  <si>
    <t>Man-day</t>
  </si>
  <si>
    <t>Implementation Effort (A to D)</t>
  </si>
  <si>
    <t>Total Effort (A to E)</t>
  </si>
  <si>
    <t>Effort Type</t>
  </si>
  <si>
    <t>Rule Optimization</t>
  </si>
  <si>
    <t>Anomaly Detection</t>
  </si>
  <si>
    <t>Business Requirement</t>
  </si>
  <si>
    <t>Mick</t>
  </si>
  <si>
    <t>Progress</t>
  </si>
  <si>
    <t>TRUE</t>
  </si>
  <si>
    <t>Overall Project</t>
  </si>
  <si>
    <t>Rule Opt. (secured)</t>
  </si>
  <si>
    <t>Rule Opt. (unsecured)</t>
  </si>
  <si>
    <t>Final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</si>
</sst>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87" formatCode="_(* #,##0_);_(* \(#,##0\);_(* &quot;-&quot;??_);_(@_)"/>
    <numFmt numFmtId="188" formatCode="_(* #,##0.00_);_(* \(#,##0.00\);_(* &quot;-&quot;??_);_(@_)"/>
    <numFmt numFmtId="189" formatCode="_-* #,##0_-;\-* #,##0_-;_-* &quot;-&quot;??_-;_-@_-"/>
    <numFmt numFmtId="190" formatCode="_-* #,##0.0_-;\-* #,##0.0_-;_-* &quot;-&quot;??_-;_-@_-"/>
    <numFmt numFmtId="191" formatCode="#,##0\ &quot;days&quot;"/>
    <numFmt numFmtId="192" formatCode="[$-409]mmm\-yy;@"/>
  </numFmts>
  <fonts count="26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rgb="FF444444"/>
      <name val="Tahoma"/>
      <family val="2"/>
    </font>
    <font>
      <sz val="11"/>
      <color theme="1"/>
      <name val="Tahoma"/>
      <family val="2"/>
    </font>
    <font>
      <sz val="11"/>
      <color rgb="FF444444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Tahoma"/>
      <family val="2"/>
      <scheme val="minor"/>
    </font>
    <font>
      <b/>
      <sz val="10"/>
      <color rgb="FF0000FF"/>
      <name val="Calibri"/>
      <family val="2"/>
    </font>
    <font>
      <b/>
      <sz val="10"/>
      <color rgb="FF000000"/>
      <name val="Calibri"/>
      <family val="2"/>
    </font>
    <font>
      <sz val="10"/>
      <color theme="1" tint="0.249977111117893"/>
      <name val="Calibri"/>
      <family val="2"/>
    </font>
    <font>
      <sz val="10"/>
      <color rgb="FF0000FF"/>
      <name val="Calibri"/>
      <family val="2"/>
    </font>
    <font>
      <sz val="10"/>
      <color theme="0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double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double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1" fillId="0" borderId="0" applyFont="0" applyFill="0" applyBorder="0" applyAlignment="0" applyProtection="0"/>
  </cellStyleXfs>
  <cellXfs count="17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14" fontId="4" fillId="3" borderId="1" xfId="0" applyNumberFormat="1" applyFont="1" applyFill="1" applyBorder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vertical="center"/>
    </xf>
    <xf numFmtId="1" fontId="12" fillId="0" borderId="3" xfId="0" applyNumberFormat="1" applyFont="1" applyBorder="1" applyAlignment="1">
      <alignment horizontal="center" vertical="top" wrapText="1"/>
    </xf>
    <xf numFmtId="14" fontId="12" fillId="0" borderId="4" xfId="0" applyNumberFormat="1" applyFont="1" applyBorder="1" applyAlignment="1">
      <alignment horizontal="center" vertical="top"/>
    </xf>
    <xf numFmtId="187" fontId="12" fillId="0" borderId="4" xfId="3" applyNumberFormat="1" applyFont="1" applyFill="1" applyBorder="1" applyAlignment="1">
      <alignment vertical="top"/>
    </xf>
    <xf numFmtId="14" fontId="13" fillId="0" borderId="4" xfId="0" applyNumberFormat="1" applyFont="1" applyBorder="1" applyAlignment="1">
      <alignment horizontal="center" vertical="top"/>
    </xf>
    <xf numFmtId="189" fontId="13" fillId="0" borderId="4" xfId="1" applyNumberFormat="1" applyFont="1" applyBorder="1" applyAlignment="1">
      <alignment horizontal="center" vertical="top"/>
    </xf>
    <xf numFmtId="0" fontId="13" fillId="0" borderId="4" xfId="1" applyNumberFormat="1" applyFont="1" applyBorder="1" applyAlignment="1">
      <alignment horizontal="left" vertical="top" shrinkToFit="1"/>
    </xf>
    <xf numFmtId="1" fontId="12" fillId="0" borderId="9" xfId="0" applyNumberFormat="1" applyFont="1" applyBorder="1" applyAlignment="1">
      <alignment horizontal="center" vertical="top" wrapText="1"/>
    </xf>
    <xf numFmtId="14" fontId="12" fillId="0" borderId="10" xfId="0" applyNumberFormat="1" applyFont="1" applyBorder="1" applyAlignment="1">
      <alignment horizontal="center" vertical="top"/>
    </xf>
    <xf numFmtId="187" fontId="12" fillId="0" borderId="10" xfId="3" applyNumberFormat="1" applyFont="1" applyFill="1" applyBorder="1" applyAlignment="1">
      <alignment vertical="top"/>
    </xf>
    <xf numFmtId="14" fontId="13" fillId="0" borderId="10" xfId="0" applyNumberFormat="1" applyFont="1" applyBorder="1" applyAlignment="1">
      <alignment horizontal="center" vertical="top"/>
    </xf>
    <xf numFmtId="189" fontId="13" fillId="0" borderId="10" xfId="1" applyNumberFormat="1" applyFont="1" applyBorder="1" applyAlignment="1">
      <alignment horizontal="center" vertical="top"/>
    </xf>
    <xf numFmtId="0" fontId="13" fillId="0" borderId="10" xfId="1" applyNumberFormat="1" applyFont="1" applyBorder="1" applyAlignment="1">
      <alignment horizontal="left" vertical="top" shrinkToFit="1"/>
    </xf>
    <xf numFmtId="1" fontId="12" fillId="0" borderId="5" xfId="0" applyNumberFormat="1" applyFont="1" applyBorder="1" applyAlignment="1">
      <alignment horizontal="center" vertical="top" wrapText="1"/>
    </xf>
    <xf numFmtId="14" fontId="13" fillId="0" borderId="6" xfId="0" applyNumberFormat="1" applyFont="1" applyBorder="1" applyAlignment="1">
      <alignment horizontal="center" vertical="top"/>
    </xf>
    <xf numFmtId="189" fontId="13" fillId="0" borderId="6" xfId="1" applyNumberFormat="1" applyFont="1" applyBorder="1" applyAlignment="1">
      <alignment horizontal="center" vertical="top"/>
    </xf>
    <xf numFmtId="9" fontId="13" fillId="0" borderId="4" xfId="2" applyFont="1" applyBorder="1" applyAlignment="1">
      <alignment horizontal="center" vertical="top"/>
    </xf>
    <xf numFmtId="9" fontId="12" fillId="0" borderId="4" xfId="2" applyFont="1" applyFill="1" applyBorder="1" applyAlignment="1">
      <alignment horizontal="center" vertical="top"/>
    </xf>
    <xf numFmtId="9" fontId="13" fillId="0" borderId="10" xfId="2" applyFont="1" applyBorder="1" applyAlignment="1">
      <alignment horizontal="center" vertical="top"/>
    </xf>
    <xf numFmtId="9" fontId="12" fillId="0" borderId="10" xfId="2" applyFont="1" applyFill="1" applyBorder="1" applyAlignment="1">
      <alignment horizontal="center" vertical="top"/>
    </xf>
    <xf numFmtId="9" fontId="12" fillId="0" borderId="6" xfId="2" applyFont="1" applyFill="1" applyBorder="1" applyAlignment="1">
      <alignment horizontal="center" vertical="top"/>
    </xf>
    <xf numFmtId="0" fontId="12" fillId="0" borderId="4" xfId="0" applyFont="1" applyBorder="1" applyAlignment="1">
      <alignment horizontal="left" vertical="top" wrapText="1"/>
    </xf>
    <xf numFmtId="0" fontId="12" fillId="0" borderId="10" xfId="0" applyFont="1" applyBorder="1" applyAlignment="1">
      <alignment horizontal="left" vertical="top" wrapText="1"/>
    </xf>
    <xf numFmtId="0" fontId="12" fillId="0" borderId="6" xfId="0" applyFont="1" applyBorder="1" applyAlignment="1">
      <alignment horizontal="left" vertical="top" wrapText="1"/>
    </xf>
    <xf numFmtId="0" fontId="14" fillId="0" borderId="0" xfId="0" applyFont="1" applyAlignment="1">
      <alignment vertical="center"/>
    </xf>
    <xf numFmtId="1" fontId="14" fillId="0" borderId="3" xfId="0" applyNumberFormat="1" applyFont="1" applyBorder="1" applyAlignment="1">
      <alignment horizontal="center" vertical="top" wrapText="1"/>
    </xf>
    <xf numFmtId="0" fontId="14" fillId="0" borderId="4" xfId="0" applyFont="1" applyBorder="1" applyAlignment="1">
      <alignment horizontal="left" vertical="top" wrapText="1"/>
    </xf>
    <xf numFmtId="14" fontId="14" fillId="0" borderId="4" xfId="0" applyNumberFormat="1" applyFont="1" applyBorder="1" applyAlignment="1">
      <alignment horizontal="center" vertical="top"/>
    </xf>
    <xf numFmtId="187" fontId="14" fillId="0" borderId="4" xfId="3" applyNumberFormat="1" applyFont="1" applyFill="1" applyBorder="1" applyAlignment="1">
      <alignment vertical="top"/>
    </xf>
    <xf numFmtId="189" fontId="14" fillId="0" borderId="4" xfId="1" applyNumberFormat="1" applyFont="1" applyBorder="1" applyAlignment="1">
      <alignment horizontal="center" vertical="top"/>
    </xf>
    <xf numFmtId="9" fontId="14" fillId="0" borderId="4" xfId="2" applyFont="1" applyBorder="1" applyAlignment="1">
      <alignment horizontal="center" vertical="top"/>
    </xf>
    <xf numFmtId="9" fontId="14" fillId="0" borderId="4" xfId="2" applyFont="1" applyFill="1" applyBorder="1" applyAlignment="1">
      <alignment horizontal="center" vertical="top"/>
    </xf>
    <xf numFmtId="0" fontId="14" fillId="0" borderId="4" xfId="1" applyNumberFormat="1" applyFont="1" applyBorder="1" applyAlignment="1">
      <alignment horizontal="left" vertical="top" shrinkToFit="1"/>
    </xf>
    <xf numFmtId="0" fontId="7" fillId="0" borderId="19" xfId="0" applyFont="1" applyBorder="1" applyAlignment="1">
      <alignment horizontal="left" vertical="center" indent="1"/>
    </xf>
    <xf numFmtId="14" fontId="13" fillId="0" borderId="13" xfId="0" applyNumberFormat="1" applyFont="1" applyBorder="1" applyAlignment="1">
      <alignment horizontal="left" vertical="top" indent="1"/>
    </xf>
    <xf numFmtId="0" fontId="7" fillId="0" borderId="15" xfId="0" applyFont="1" applyBorder="1" applyAlignment="1">
      <alignment horizontal="left" vertical="center" indent="1"/>
    </xf>
    <xf numFmtId="189" fontId="13" fillId="7" borderId="12" xfId="1" applyNumberFormat="1" applyFont="1" applyFill="1" applyBorder="1" applyAlignment="1">
      <alignment horizontal="center" vertical="center" shrinkToFit="1"/>
    </xf>
    <xf numFmtId="0" fontId="13" fillId="7" borderId="12" xfId="0" applyFont="1" applyFill="1" applyBorder="1" applyAlignment="1">
      <alignment horizontal="center" vertical="center" shrinkToFit="1"/>
    </xf>
    <xf numFmtId="0" fontId="7" fillId="0" borderId="21" xfId="0" applyFont="1" applyBorder="1" applyAlignment="1">
      <alignment vertical="center"/>
    </xf>
    <xf numFmtId="0" fontId="16" fillId="0" borderId="4" xfId="0" applyFont="1" applyBorder="1" applyAlignment="1">
      <alignment horizontal="left" vertical="top" wrapText="1"/>
    </xf>
    <xf numFmtId="14" fontId="16" fillId="0" borderId="4" xfId="0" applyNumberFormat="1" applyFont="1" applyBorder="1" applyAlignment="1">
      <alignment horizontal="center" vertical="top"/>
    </xf>
    <xf numFmtId="187" fontId="16" fillId="0" borderId="4" xfId="3" applyNumberFormat="1" applyFont="1" applyFill="1" applyBorder="1" applyAlignment="1">
      <alignment vertical="top"/>
    </xf>
    <xf numFmtId="189" fontId="16" fillId="0" borderId="4" xfId="1" applyNumberFormat="1" applyFont="1" applyBorder="1" applyAlignment="1">
      <alignment horizontal="center" vertical="top"/>
    </xf>
    <xf numFmtId="9" fontId="16" fillId="0" borderId="4" xfId="2" applyFont="1" applyBorder="1" applyAlignment="1">
      <alignment horizontal="center" vertical="top"/>
    </xf>
    <xf numFmtId="9" fontId="16" fillId="0" borderId="4" xfId="2" applyFont="1" applyFill="1" applyBorder="1" applyAlignment="1">
      <alignment horizontal="center" vertical="top"/>
    </xf>
    <xf numFmtId="0" fontId="16" fillId="0" borderId="4" xfId="1" applyNumberFormat="1" applyFont="1" applyBorder="1" applyAlignment="1">
      <alignment horizontal="left" vertical="top" shrinkToFit="1"/>
    </xf>
    <xf numFmtId="2" fontId="13" fillId="0" borderId="16" xfId="0" applyNumberFormat="1" applyFont="1" applyBorder="1" applyAlignment="1">
      <alignment horizontal="left" vertical="top" indent="1"/>
    </xf>
    <xf numFmtId="190" fontId="7" fillId="0" borderId="0" xfId="0" applyNumberFormat="1" applyFont="1" applyAlignment="1">
      <alignment vertical="center"/>
    </xf>
    <xf numFmtId="0" fontId="7" fillId="0" borderId="22" xfId="0" applyFont="1" applyBorder="1" applyAlignment="1">
      <alignment vertical="center"/>
    </xf>
    <xf numFmtId="189" fontId="18" fillId="6" borderId="23" xfId="1" applyNumberFormat="1" applyFont="1" applyFill="1" applyBorder="1" applyAlignment="1">
      <alignment horizontal="center" vertical="center" shrinkToFit="1"/>
    </xf>
    <xf numFmtId="1" fontId="19" fillId="0" borderId="3" xfId="0" applyNumberFormat="1" applyFont="1" applyBorder="1" applyAlignment="1">
      <alignment horizontal="center" vertical="top" wrapText="1"/>
    </xf>
    <xf numFmtId="0" fontId="19" fillId="0" borderId="4" xfId="0" applyFont="1" applyBorder="1" applyAlignment="1">
      <alignment horizontal="left" vertical="top" wrapText="1"/>
    </xf>
    <xf numFmtId="191" fontId="16" fillId="0" borderId="4" xfId="3" applyNumberFormat="1" applyFont="1" applyFill="1" applyBorder="1" applyAlignment="1">
      <alignment horizontal="center" vertical="top"/>
    </xf>
    <xf numFmtId="191" fontId="16" fillId="0" borderId="4" xfId="1" applyNumberFormat="1" applyFont="1" applyBorder="1" applyAlignment="1">
      <alignment horizontal="center" vertical="top"/>
    </xf>
    <xf numFmtId="0" fontId="7" fillId="0" borderId="4" xfId="0" applyFont="1" applyBorder="1" applyAlignment="1">
      <alignment horizontal="left" vertical="top" wrapText="1"/>
    </xf>
    <xf numFmtId="191" fontId="14" fillId="0" borderId="4" xfId="3" applyNumberFormat="1" applyFont="1" applyFill="1" applyBorder="1" applyAlignment="1">
      <alignment horizontal="center" vertical="top"/>
    </xf>
    <xf numFmtId="191" fontId="14" fillId="0" borderId="4" xfId="1" applyNumberFormat="1" applyFont="1" applyBorder="1" applyAlignment="1">
      <alignment horizontal="center" vertical="top"/>
    </xf>
    <xf numFmtId="191" fontId="12" fillId="0" borderId="4" xfId="3" applyNumberFormat="1" applyFont="1" applyFill="1" applyBorder="1" applyAlignment="1">
      <alignment horizontal="center" vertical="top"/>
    </xf>
    <xf numFmtId="191" fontId="13" fillId="0" borderId="4" xfId="1" applyNumberFormat="1" applyFont="1" applyBorder="1" applyAlignment="1">
      <alignment horizontal="center" vertical="top"/>
    </xf>
    <xf numFmtId="191" fontId="12" fillId="0" borderId="10" xfId="3" applyNumberFormat="1" applyFont="1" applyFill="1" applyBorder="1" applyAlignment="1">
      <alignment horizontal="center" vertical="top"/>
    </xf>
    <xf numFmtId="191" fontId="13" fillId="0" borderId="10" xfId="1" applyNumberFormat="1" applyFont="1" applyBorder="1" applyAlignment="1">
      <alignment horizontal="center" vertical="top"/>
    </xf>
    <xf numFmtId="9" fontId="12" fillId="0" borderId="14" xfId="2" applyFont="1" applyFill="1" applyBorder="1" applyAlignment="1">
      <alignment horizontal="center" vertical="top"/>
    </xf>
    <xf numFmtId="1" fontId="14" fillId="0" borderId="7" xfId="0" applyNumberFormat="1" applyFont="1" applyBorder="1" applyAlignment="1">
      <alignment horizontal="center" vertical="top" wrapText="1"/>
    </xf>
    <xf numFmtId="0" fontId="14" fillId="0" borderId="8" xfId="0" applyFont="1" applyBorder="1" applyAlignment="1">
      <alignment horizontal="left" vertical="top" wrapText="1"/>
    </xf>
    <xf numFmtId="14" fontId="14" fillId="0" borderId="8" xfId="0" applyNumberFormat="1" applyFont="1" applyBorder="1" applyAlignment="1">
      <alignment horizontal="center" vertical="top"/>
    </xf>
    <xf numFmtId="191" fontId="14" fillId="0" borderId="8" xfId="3" applyNumberFormat="1" applyFont="1" applyFill="1" applyBorder="1" applyAlignment="1">
      <alignment horizontal="center" vertical="top"/>
    </xf>
    <xf numFmtId="187" fontId="14" fillId="0" borderId="8" xfId="3" applyNumberFormat="1" applyFont="1" applyFill="1" applyBorder="1" applyAlignment="1">
      <alignment vertical="top"/>
    </xf>
    <xf numFmtId="191" fontId="14" fillId="0" borderId="8" xfId="1" applyNumberFormat="1" applyFont="1" applyBorder="1" applyAlignment="1">
      <alignment horizontal="center" vertical="top"/>
    </xf>
    <xf numFmtId="9" fontId="14" fillId="0" borderId="8" xfId="2" applyFont="1" applyBorder="1" applyAlignment="1">
      <alignment horizontal="center" vertical="top"/>
    </xf>
    <xf numFmtId="9" fontId="14" fillId="0" borderId="8" xfId="2" applyFont="1" applyFill="1" applyBorder="1" applyAlignment="1">
      <alignment horizontal="center" vertical="top"/>
    </xf>
    <xf numFmtId="189" fontId="14" fillId="0" borderId="8" xfId="1" applyNumberFormat="1" applyFont="1" applyBorder="1" applyAlignment="1">
      <alignment horizontal="center" vertical="top"/>
    </xf>
    <xf numFmtId="0" fontId="14" fillId="0" borderId="8" xfId="1" applyNumberFormat="1" applyFont="1" applyBorder="1" applyAlignment="1">
      <alignment horizontal="left" vertical="top" shrinkToFit="1"/>
    </xf>
    <xf numFmtId="0" fontId="7" fillId="0" borderId="8" xfId="0" applyFont="1" applyBorder="1" applyAlignment="1">
      <alignment horizontal="left" vertical="top" wrapText="1"/>
    </xf>
    <xf numFmtId="192" fontId="20" fillId="5" borderId="11" xfId="0" applyNumberFormat="1" applyFont="1" applyFill="1" applyBorder="1" applyAlignment="1">
      <alignment horizontal="center" vertical="center"/>
    </xf>
    <xf numFmtId="192" fontId="20" fillId="5" borderId="24" xfId="0" applyNumberFormat="1" applyFont="1" applyFill="1" applyBorder="1" applyAlignment="1">
      <alignment horizontal="center" vertical="center"/>
    </xf>
    <xf numFmtId="191" fontId="20" fillId="5" borderId="25" xfId="0" applyNumberFormat="1" applyFont="1" applyFill="1" applyBorder="1" applyAlignment="1">
      <alignment horizontal="center" vertical="center"/>
    </xf>
    <xf numFmtId="191" fontId="20" fillId="5" borderId="26" xfId="0" applyNumberFormat="1" applyFont="1" applyFill="1" applyBorder="1" applyAlignment="1">
      <alignment horizontal="center" vertical="center"/>
    </xf>
    <xf numFmtId="189" fontId="13" fillId="0" borderId="13" xfId="1" applyNumberFormat="1" applyFont="1" applyBorder="1" applyAlignment="1">
      <alignment horizontal="center" vertical="top"/>
    </xf>
    <xf numFmtId="191" fontId="12" fillId="0" borderId="6" xfId="3" applyNumberFormat="1" applyFont="1" applyFill="1" applyBorder="1" applyAlignment="1">
      <alignment horizontal="center" vertical="top"/>
    </xf>
    <xf numFmtId="189" fontId="7" fillId="0" borderId="21" xfId="0" applyNumberFormat="1" applyFont="1" applyBorder="1" applyAlignment="1">
      <alignment vertical="center"/>
    </xf>
    <xf numFmtId="0" fontId="8" fillId="6" borderId="27" xfId="0" applyFont="1" applyFill="1" applyBorder="1" applyAlignment="1">
      <alignment horizontal="center" vertical="center" wrapText="1" shrinkToFit="1"/>
    </xf>
    <xf numFmtId="0" fontId="9" fillId="6" borderId="28" xfId="0" applyFont="1" applyFill="1" applyBorder="1" applyAlignment="1">
      <alignment horizontal="center" vertical="center" shrinkToFit="1"/>
    </xf>
    <xf numFmtId="0" fontId="10" fillId="5" borderId="28" xfId="0" applyFont="1" applyFill="1" applyBorder="1" applyAlignment="1">
      <alignment horizontal="center" vertical="center" shrinkToFit="1"/>
    </xf>
    <xf numFmtId="192" fontId="20" fillId="5" borderId="28" xfId="0" applyNumberFormat="1" applyFont="1" applyFill="1" applyBorder="1" applyAlignment="1">
      <alignment horizontal="center" vertical="center"/>
    </xf>
    <xf numFmtId="192" fontId="20" fillId="5" borderId="30" xfId="0" applyNumberFormat="1" applyFont="1" applyFill="1" applyBorder="1" applyAlignment="1">
      <alignment horizontal="center" vertical="center"/>
    </xf>
    <xf numFmtId="1" fontId="7" fillId="0" borderId="7" xfId="0" applyNumberFormat="1" applyFont="1" applyBorder="1" applyAlignment="1">
      <alignment horizontal="center" vertical="top" wrapText="1"/>
    </xf>
    <xf numFmtId="191" fontId="7" fillId="0" borderId="8" xfId="3" applyNumberFormat="1" applyFont="1" applyFill="1" applyBorder="1" applyAlignment="1">
      <alignment horizontal="center" vertical="top"/>
    </xf>
    <xf numFmtId="43" fontId="13" fillId="0" borderId="4" xfId="1" applyFont="1" applyBorder="1" applyAlignment="1">
      <alignment horizontal="center" vertical="top"/>
    </xf>
    <xf numFmtId="43" fontId="13" fillId="0" borderId="13" xfId="1" applyFont="1" applyBorder="1" applyAlignment="1">
      <alignment horizontal="center" vertical="top"/>
    </xf>
    <xf numFmtId="43" fontId="13" fillId="0" borderId="6" xfId="1" applyFont="1" applyBorder="1" applyAlignment="1">
      <alignment horizontal="center" vertical="top"/>
    </xf>
    <xf numFmtId="43" fontId="13" fillId="0" borderId="16" xfId="1" applyFont="1" applyBorder="1" applyAlignment="1">
      <alignment horizontal="center" vertical="top"/>
    </xf>
    <xf numFmtId="189" fontId="18" fillId="6" borderId="35" xfId="1" applyNumberFormat="1" applyFont="1" applyFill="1" applyBorder="1" applyAlignment="1">
      <alignment horizontal="center" vertical="center" shrinkToFit="1"/>
    </xf>
    <xf numFmtId="9" fontId="16" fillId="0" borderId="13" xfId="2" applyFont="1" applyFill="1" applyBorder="1" applyAlignment="1">
      <alignment horizontal="center" vertical="top"/>
    </xf>
    <xf numFmtId="9" fontId="14" fillId="0" borderId="13" xfId="2" applyFont="1" applyFill="1" applyBorder="1" applyAlignment="1">
      <alignment horizontal="center" vertical="top"/>
    </xf>
    <xf numFmtId="9" fontId="12" fillId="0" borderId="13" xfId="2" applyFont="1" applyFill="1" applyBorder="1" applyAlignment="1">
      <alignment horizontal="center" vertical="top"/>
    </xf>
    <xf numFmtId="9" fontId="14" fillId="0" borderId="15" xfId="2" applyFont="1" applyFill="1" applyBorder="1" applyAlignment="1">
      <alignment horizontal="center" vertical="top"/>
    </xf>
    <xf numFmtId="9" fontId="12" fillId="0" borderId="16" xfId="2" applyFont="1" applyFill="1" applyBorder="1" applyAlignment="1">
      <alignment horizontal="center" vertical="top"/>
    </xf>
    <xf numFmtId="189" fontId="13" fillId="0" borderId="14" xfId="1" applyNumberFormat="1" applyFont="1" applyBorder="1" applyAlignment="1">
      <alignment horizontal="center" vertical="top"/>
    </xf>
    <xf numFmtId="1" fontId="16" fillId="0" borderId="3" xfId="0" applyNumberFormat="1" applyFont="1" applyBorder="1" applyAlignment="1">
      <alignment horizontal="center" vertical="top" wrapText="1"/>
    </xf>
    <xf numFmtId="189" fontId="16" fillId="0" borderId="13" xfId="1" applyNumberFormat="1" applyFont="1" applyBorder="1" applyAlignment="1">
      <alignment horizontal="center" vertical="top"/>
    </xf>
    <xf numFmtId="189" fontId="14" fillId="0" borderId="13" xfId="1" applyNumberFormat="1" applyFont="1" applyBorder="1" applyAlignment="1">
      <alignment horizontal="center" vertical="top"/>
    </xf>
    <xf numFmtId="189" fontId="14" fillId="0" borderId="15" xfId="1" applyNumberFormat="1" applyFont="1" applyBorder="1" applyAlignment="1">
      <alignment horizontal="center" vertical="top"/>
    </xf>
    <xf numFmtId="49" fontId="16" fillId="0" borderId="4" xfId="0" applyNumberFormat="1" applyFont="1" applyBorder="1" applyAlignment="1">
      <alignment horizontal="center" vertical="top" wrapText="1"/>
    </xf>
    <xf numFmtId="49" fontId="14" fillId="0" borderId="4" xfId="0" applyNumberFormat="1" applyFont="1" applyBorder="1" applyAlignment="1">
      <alignment horizontal="center" vertical="top" wrapText="1"/>
    </xf>
    <xf numFmtId="49" fontId="12" fillId="0" borderId="4" xfId="0" applyNumberFormat="1" applyFont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 wrapText="1"/>
    </xf>
    <xf numFmtId="0" fontId="12" fillId="0" borderId="10" xfId="0" applyFont="1" applyBorder="1" applyAlignment="1">
      <alignment horizontal="center" vertical="top" wrapText="1"/>
    </xf>
    <xf numFmtId="0" fontId="14" fillId="0" borderId="8" xfId="0" applyFont="1" applyBorder="1" applyAlignment="1">
      <alignment horizontal="center" vertical="top" wrapText="1"/>
    </xf>
    <xf numFmtId="191" fontId="22" fillId="8" borderId="39" xfId="3" applyNumberFormat="1" applyFont="1" applyFill="1" applyBorder="1" applyAlignment="1">
      <alignment horizontal="center" vertical="top"/>
    </xf>
    <xf numFmtId="43" fontId="23" fillId="8" borderId="39" xfId="1" applyFont="1" applyFill="1" applyBorder="1" applyAlignment="1">
      <alignment horizontal="center" vertical="top"/>
    </xf>
    <xf numFmtId="43" fontId="23" fillId="8" borderId="40" xfId="1" applyFont="1" applyFill="1" applyBorder="1" applyAlignment="1">
      <alignment horizontal="center" vertical="top"/>
    </xf>
    <xf numFmtId="0" fontId="9" fillId="6" borderId="29" xfId="0" applyFont="1" applyFill="1" applyBorder="1" applyAlignment="1">
      <alignment horizontal="center" vertical="center" shrinkToFit="1"/>
    </xf>
    <xf numFmtId="1" fontId="22" fillId="0" borderId="7" xfId="0" applyNumberFormat="1" applyFont="1" applyBorder="1" applyAlignment="1">
      <alignment horizontal="center" vertical="top" wrapText="1"/>
    </xf>
    <xf numFmtId="14" fontId="12" fillId="0" borderId="6" xfId="0" applyNumberFormat="1" applyFont="1" applyBorder="1" applyAlignment="1">
      <alignment horizontal="center" vertical="top"/>
    </xf>
    <xf numFmtId="187" fontId="12" fillId="0" borderId="6" xfId="3" applyNumberFormat="1" applyFont="1" applyFill="1" applyBorder="1" applyAlignment="1">
      <alignment vertical="top"/>
    </xf>
    <xf numFmtId="191" fontId="13" fillId="0" borderId="6" xfId="1" applyNumberFormat="1" applyFont="1" applyBorder="1" applyAlignment="1">
      <alignment horizontal="center" vertical="top"/>
    </xf>
    <xf numFmtId="9" fontId="13" fillId="0" borderId="6" xfId="2" applyFont="1" applyBorder="1" applyAlignment="1">
      <alignment horizontal="center" vertical="top"/>
    </xf>
    <xf numFmtId="0" fontId="13" fillId="0" borderId="6" xfId="1" applyNumberFormat="1" applyFont="1" applyBorder="1" applyAlignment="1">
      <alignment horizontal="left" vertical="top" shrinkToFit="1"/>
    </xf>
    <xf numFmtId="0" fontId="12" fillId="0" borderId="6" xfId="0" applyFont="1" applyBorder="1" applyAlignment="1">
      <alignment horizontal="center" vertical="top" wrapText="1"/>
    </xf>
    <xf numFmtId="1" fontId="14" fillId="0" borderId="2" xfId="0" applyNumberFormat="1" applyFont="1" applyBorder="1" applyAlignment="1">
      <alignment horizontal="left" vertical="top" shrinkToFit="1"/>
    </xf>
    <xf numFmtId="1" fontId="14" fillId="0" borderId="7" xfId="0" applyNumberFormat="1" applyFont="1" applyBorder="1" applyAlignment="1">
      <alignment horizontal="left" vertical="top" shrinkToFit="1"/>
    </xf>
    <xf numFmtId="1" fontId="14" fillId="0" borderId="3" xfId="0" applyNumberFormat="1" applyFont="1" applyBorder="1" applyAlignment="1">
      <alignment horizontal="left" vertical="top" shrinkToFit="1"/>
    </xf>
    <xf numFmtId="1" fontId="14" fillId="0" borderId="5" xfId="0" applyNumberFormat="1" applyFont="1" applyBorder="1" applyAlignment="1">
      <alignment horizontal="left" vertical="top" shrinkToFit="1"/>
    </xf>
    <xf numFmtId="189" fontId="18" fillId="6" borderId="44" xfId="1" applyNumberFormat="1" applyFont="1" applyFill="1" applyBorder="1" applyAlignment="1">
      <alignment horizontal="center" vertical="center" shrinkToFit="1"/>
    </xf>
    <xf numFmtId="9" fontId="16" fillId="0" borderId="32" xfId="2" applyFont="1" applyFill="1" applyBorder="1" applyAlignment="1">
      <alignment horizontal="center" vertical="top"/>
    </xf>
    <xf numFmtId="9" fontId="14" fillId="0" borderId="32" xfId="2" applyFont="1" applyFill="1" applyBorder="1" applyAlignment="1">
      <alignment horizontal="center" vertical="top"/>
    </xf>
    <xf numFmtId="9" fontId="12" fillId="0" borderId="32" xfId="2" applyFont="1" applyFill="1" applyBorder="1" applyAlignment="1">
      <alignment horizontal="center" vertical="top"/>
    </xf>
    <xf numFmtId="9" fontId="12" fillId="0" borderId="41" xfId="2" applyFont="1" applyFill="1" applyBorder="1" applyAlignment="1">
      <alignment horizontal="center" vertical="top"/>
    </xf>
    <xf numFmtId="9" fontId="14" fillId="0" borderId="42" xfId="2" applyFont="1" applyFill="1" applyBorder="1" applyAlignment="1">
      <alignment horizontal="center" vertical="top"/>
    </xf>
    <xf numFmtId="9" fontId="12" fillId="0" borderId="33" xfId="2" applyFont="1" applyFill="1" applyBorder="1" applyAlignment="1">
      <alignment horizontal="center" vertical="top"/>
    </xf>
    <xf numFmtId="0" fontId="7" fillId="0" borderId="8" xfId="0" applyFont="1" applyBorder="1" applyAlignment="1">
      <alignment horizontal="left" vertical="top" shrinkToFit="1"/>
    </xf>
    <xf numFmtId="0" fontId="12" fillId="0" borderId="4" xfId="0" applyFont="1" applyBorder="1" applyAlignment="1">
      <alignment horizontal="left" vertical="top" shrinkToFit="1"/>
    </xf>
    <xf numFmtId="0" fontId="12" fillId="0" borderId="6" xfId="0" applyFont="1" applyBorder="1" applyAlignment="1">
      <alignment horizontal="left" vertical="top" shrinkToFit="1"/>
    </xf>
    <xf numFmtId="49" fontId="7" fillId="0" borderId="31" xfId="0" applyNumberFormat="1" applyFont="1" applyBorder="1" applyAlignment="1">
      <alignment vertical="top" shrinkToFit="1"/>
    </xf>
    <xf numFmtId="49" fontId="21" fillId="0" borderId="32" xfId="0" applyNumberFormat="1" applyFont="1" applyBorder="1" applyAlignment="1">
      <alignment vertical="top" shrinkToFit="1"/>
    </xf>
    <xf numFmtId="49" fontId="21" fillId="0" borderId="33" xfId="0" applyNumberFormat="1" applyFont="1" applyBorder="1" applyAlignment="1">
      <alignment vertical="top" shrinkToFit="1"/>
    </xf>
    <xf numFmtId="0" fontId="10" fillId="0" borderId="0" xfId="0" applyFont="1" applyAlignment="1">
      <alignment horizontal="center" vertical="center" shrinkToFit="1"/>
    </xf>
    <xf numFmtId="192" fontId="20" fillId="0" borderId="0" xfId="0" applyNumberFormat="1" applyFont="1" applyAlignment="1">
      <alignment horizontal="center" vertical="center"/>
    </xf>
    <xf numFmtId="191" fontId="7" fillId="0" borderId="0" xfId="3" applyNumberFormat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/>
    </xf>
    <xf numFmtId="191" fontId="12" fillId="0" borderId="0" xfId="3" applyNumberFormat="1" applyFont="1" applyFill="1" applyBorder="1" applyAlignment="1">
      <alignment horizontal="center" vertical="top"/>
    </xf>
    <xf numFmtId="189" fontId="7" fillId="0" borderId="0" xfId="0" applyNumberFormat="1" applyFont="1" applyAlignment="1">
      <alignment vertical="center"/>
    </xf>
    <xf numFmtId="0" fontId="7" fillId="0" borderId="45" xfId="0" applyFont="1" applyBorder="1" applyAlignment="1">
      <alignment vertical="center"/>
    </xf>
    <xf numFmtId="0" fontId="9" fillId="6" borderId="30" xfId="0" applyFont="1" applyFill="1" applyBorder="1" applyAlignment="1">
      <alignment horizontal="center" vertical="center" shrinkToFit="1"/>
    </xf>
    <xf numFmtId="191" fontId="7" fillId="0" borderId="15" xfId="1" applyNumberFormat="1" applyFont="1" applyBorder="1" applyAlignment="1">
      <alignment horizontal="right" vertical="top" shrinkToFit="1"/>
    </xf>
    <xf numFmtId="191" fontId="12" fillId="0" borderId="13" xfId="1" applyNumberFormat="1" applyFont="1" applyBorder="1" applyAlignment="1">
      <alignment horizontal="right" vertical="top" shrinkToFit="1"/>
    </xf>
    <xf numFmtId="191" fontId="12" fillId="0" borderId="14" xfId="1" applyNumberFormat="1" applyFont="1" applyBorder="1" applyAlignment="1">
      <alignment horizontal="right" vertical="top" shrinkToFit="1"/>
    </xf>
    <xf numFmtId="191" fontId="22" fillId="8" borderId="15" xfId="1" applyNumberFormat="1" applyFont="1" applyFill="1" applyBorder="1" applyAlignment="1">
      <alignment horizontal="right" vertical="top" shrinkToFit="1"/>
    </xf>
    <xf numFmtId="191" fontId="22" fillId="8" borderId="16" xfId="1" applyNumberFormat="1" applyFont="1" applyFill="1" applyBorder="1" applyAlignment="1">
      <alignment horizontal="right" vertical="top" shrinkToFit="1"/>
    </xf>
    <xf numFmtId="0" fontId="9" fillId="6" borderId="11" xfId="0" applyFont="1" applyFill="1" applyBorder="1" applyAlignment="1">
      <alignment horizontal="center" vertical="center" wrapText="1" shrinkToFit="1"/>
    </xf>
    <xf numFmtId="0" fontId="9" fillId="6" borderId="12" xfId="0" applyFont="1" applyFill="1" applyBorder="1" applyAlignment="1">
      <alignment horizontal="center" vertical="center" shrinkToFit="1"/>
    </xf>
    <xf numFmtId="0" fontId="9" fillId="6" borderId="21" xfId="0" applyFont="1" applyFill="1" applyBorder="1" applyAlignment="1">
      <alignment horizontal="center" vertical="center" shrinkToFit="1"/>
    </xf>
    <xf numFmtId="0" fontId="9" fillId="6" borderId="34" xfId="0" applyFont="1" applyFill="1" applyBorder="1" applyAlignment="1">
      <alignment horizontal="center" vertical="center" shrinkToFit="1"/>
    </xf>
    <xf numFmtId="0" fontId="9" fillId="6" borderId="11" xfId="0" applyFont="1" applyFill="1" applyBorder="1" applyAlignment="1">
      <alignment horizontal="center" vertical="center" shrinkToFit="1"/>
    </xf>
    <xf numFmtId="0" fontId="11" fillId="7" borderId="20" xfId="0" applyFont="1" applyFill="1" applyBorder="1" applyAlignment="1">
      <alignment horizontal="center" vertical="center" shrinkToFit="1"/>
    </xf>
    <xf numFmtId="0" fontId="11" fillId="7" borderId="43" xfId="0" applyFont="1" applyFill="1" applyBorder="1" applyAlignment="1">
      <alignment horizontal="center" vertical="center" shrinkToFit="1"/>
    </xf>
    <xf numFmtId="0" fontId="11" fillId="7" borderId="46" xfId="0" applyFont="1" applyFill="1" applyBorder="1" applyAlignment="1">
      <alignment horizontal="center" vertical="center" shrinkToFit="1"/>
    </xf>
    <xf numFmtId="0" fontId="8" fillId="6" borderId="17" xfId="0" applyFont="1" applyFill="1" applyBorder="1" applyAlignment="1">
      <alignment horizontal="center" vertical="center" wrapText="1" shrinkToFit="1"/>
    </xf>
    <xf numFmtId="0" fontId="8" fillId="6" borderId="18" xfId="0" applyFont="1" applyFill="1" applyBorder="1" applyAlignment="1">
      <alignment horizontal="center" vertical="center" shrinkToFit="1"/>
    </xf>
    <xf numFmtId="0" fontId="10" fillId="5" borderId="11" xfId="0" applyFont="1" applyFill="1" applyBorder="1" applyAlignment="1">
      <alignment horizontal="center" vertical="center" shrinkToFit="1"/>
    </xf>
    <xf numFmtId="0" fontId="10" fillId="5" borderId="12" xfId="0" applyFont="1" applyFill="1" applyBorder="1" applyAlignment="1">
      <alignment horizontal="center" vertical="center" shrinkToFit="1"/>
    </xf>
    <xf numFmtId="0" fontId="10" fillId="5" borderId="11" xfId="0" applyFont="1" applyFill="1" applyBorder="1" applyAlignment="1">
      <alignment horizontal="center" vertical="center" wrapText="1" shrinkToFit="1"/>
    </xf>
    <xf numFmtId="1" fontId="22" fillId="8" borderId="36" xfId="0" applyNumberFormat="1" applyFont="1" applyFill="1" applyBorder="1" applyAlignment="1">
      <alignment horizontal="center" vertical="top" wrapText="1"/>
    </xf>
    <xf numFmtId="1" fontId="22" fillId="8" borderId="37" xfId="0" applyNumberFormat="1" applyFont="1" applyFill="1" applyBorder="1" applyAlignment="1">
      <alignment horizontal="center" vertical="top" wrapText="1"/>
    </xf>
    <xf numFmtId="1" fontId="22" fillId="8" borderId="38" xfId="0" applyNumberFormat="1" applyFont="1" applyFill="1" applyBorder="1" applyAlignment="1">
      <alignment horizontal="center" vertical="top" wrapText="1"/>
    </xf>
    <xf numFmtId="0" fontId="22" fillId="8" borderId="7" xfId="0" applyFont="1" applyFill="1" applyBorder="1" applyAlignment="1">
      <alignment horizontal="left" vertical="top" wrapText="1"/>
    </xf>
    <xf numFmtId="0" fontId="22" fillId="8" borderId="42" xfId="0" applyFont="1" applyFill="1" applyBorder="1" applyAlignment="1">
      <alignment horizontal="left" vertical="top" wrapText="1"/>
    </xf>
    <xf numFmtId="0" fontId="22" fillId="8" borderId="5" xfId="0" applyFont="1" applyFill="1" applyBorder="1" applyAlignment="1">
      <alignment horizontal="left" vertical="top" wrapText="1"/>
    </xf>
    <xf numFmtId="0" fontId="22" fillId="8" borderId="33" xfId="0" applyFont="1" applyFill="1" applyBorder="1" applyAlignment="1">
      <alignment horizontal="left" vertical="top" wrapTex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0FF"/>
      <color rgb="FF3AE374"/>
      <color rgb="FF1B9CFC"/>
      <color rgb="FFFC427B"/>
      <color rgb="FFBFBFBF"/>
      <color rgb="FFDEDEDE"/>
      <color rgb="FF5E5E5E"/>
      <color rgb="FFEEFFAF"/>
      <color rgb="FFF97F51"/>
      <color rgb="FF27AE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8</c:v>
              </c:pt>
              <c:pt idx="3">
                <c:v>20</c:v>
              </c:pt>
              <c:pt idx="4">
                <c:v>34</c:v>
              </c:pt>
            </c:numLit>
          </c:cat>
          <c:val>
            <c:numLit>
              <c:formatCode>General</c:formatCode>
              <c:ptCount val="5"/>
              <c:pt idx="0">
                <c:v>45783</c:v>
              </c:pt>
              <c:pt idx="1">
                <c:v>45783</c:v>
              </c:pt>
              <c:pt idx="2">
                <c:v>45791</c:v>
              </c:pt>
              <c:pt idx="3">
                <c:v>45877</c:v>
              </c:pt>
              <c:pt idx="4">
                <c:v>46010</c:v>
              </c:pt>
            </c:numLit>
          </c:val>
          <c:extLst>
            <c:ext xmlns:c16="http://schemas.microsoft.com/office/drawing/2014/chart" uri="{C3380CC4-5D6E-409C-BE32-E72D297353CC}">
              <c16:uniqueId val="{0000000A-57DC-4C98-949E-C682ADE374A2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</c:spPr>
          <c:invertIfNegative val="0"/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57DC-4C98-949E-C682ADE374A2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</c:spPr>
          <c:invertIfNegative val="0"/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57DC-4C98-949E-C682ADE374A2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</c:spPr>
          <c:invertIfNegative val="0"/>
          <c:val>
            <c:numLit>
              <c:formatCode>General</c:formatCode>
              <c:ptCount val="5"/>
              <c:pt idx="0">
                <c:v>234</c:v>
              </c:pt>
              <c:pt idx="1">
                <c:v>42</c:v>
              </c:pt>
              <c:pt idx="2">
                <c:v>139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DC-4C98-949E-C682ADE374A2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</c:spPr>
          <c:invertIfNegative val="0"/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133</c:v>
              </c:pt>
              <c:pt idx="4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E-57DC-4C98-949E-C682ADE37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892200719"/>
        <c:axId val="892187759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4A94F0-9A34-4009-9CC0-C3204A99F77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DC-4C98-949E-C682ADE374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C3F5E5-36BE-41F0-99A4-75198F4825D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DC-4C98-949E-C682ADE374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4F4343-3FA3-421F-873F-309B5AD674F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DC-4C98-949E-C682ADE374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7CDF66-597F-438E-92DC-A551834D1B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DC-4C98-949E-C682ADE374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4B0FA8-CE25-40A4-8FE5-A5B92964434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DC-4C98-949E-C682ADE374A2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800" b="1">
                    <a:solidFill>
                      <a:srgbClr val="0D0D0D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5"/>
              <c:pt idx="0">
                <c:v>46017</c:v>
              </c:pt>
              <c:pt idx="1">
                <c:v>45825</c:v>
              </c:pt>
              <c:pt idx="2">
                <c:v>45930</c:v>
              </c:pt>
              <c:pt idx="3">
                <c:v>46010</c:v>
              </c:pt>
              <c:pt idx="4">
                <c:v>46017</c:v>
              </c:pt>
            </c:numLit>
          </c:xVal>
          <c:yVal>
            <c:numLit>
              <c:formatCode>General</c:formatCode>
              <c:ptCount val="5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{"26% (26%)","97% (97%)","23% (23%)","0%","0%"}</c15:f>
                <c15:dlblRangeCache>
                  <c:ptCount val="5"/>
                  <c:pt idx="0">
                    <c:v>26% (26%)</c:v>
                  </c:pt>
                  <c:pt idx="1">
                    <c:v>97% (97%)</c:v>
                  </c:pt>
                  <c:pt idx="2">
                    <c:v>23% (23%)</c:v>
                  </c:pt>
                  <c:pt idx="3">
                    <c:v>0%</c:v>
                  </c:pt>
                  <c:pt idx="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57DC-4C98-949E-C682ADE374A2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57DC-4C98-949E-C682ADE374A2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57DC-4C98-949E-C682ADE374A2}"/>
              </c:ext>
            </c:extLst>
          </c:dPt>
          <c:dPt>
            <c:idx val="2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7DC-4C98-949E-C682ADE374A2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57DC-4C98-949E-C682ADE374A2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57DC-4C98-949E-C682ADE374A2}"/>
              </c:ext>
            </c:extLst>
          </c:dPt>
          <c:dPt>
            <c:idx val="5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7DC-4C98-949E-C682ADE374A2}"/>
              </c:ext>
            </c:extLst>
          </c:dPt>
          <c:dPt>
            <c:idx val="6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7DC-4C98-949E-C682ADE374A2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57DC-4C98-949E-C682ADE374A2}"/>
              </c:ext>
            </c:extLst>
          </c:dPt>
          <c:dPt>
            <c:idx val="8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7DC-4C98-949E-C682ADE374A2}"/>
              </c:ext>
            </c:extLst>
          </c:dPt>
          <c:dPt>
            <c:idx val="9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7DC-4C98-949E-C682ADE374A2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57DC-4C98-949E-C682ADE374A2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57DC-4C98-949E-C682ADE374A2}"/>
              </c:ext>
            </c:extLst>
          </c:dPt>
          <c:dPt>
            <c:idx val="12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7DC-4C98-949E-C682ADE374A2}"/>
              </c:ext>
            </c:extLst>
          </c:dPt>
          <c:dPt>
            <c:idx val="13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7DC-4C98-949E-C682ADE374A2}"/>
              </c:ext>
            </c:extLst>
          </c:dPt>
          <c:dPt>
            <c:idx val="14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7DC-4C98-949E-C682ADE374A2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57DC-4C98-949E-C682ADE374A2}"/>
              </c:ext>
            </c:extLst>
          </c:dPt>
          <c:dPt>
            <c:idx val="16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7DC-4C98-949E-C682ADE374A2}"/>
              </c:ext>
            </c:extLst>
          </c:dPt>
          <c:dPt>
            <c:idx val="17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7DC-4C98-949E-C682ADE374A2}"/>
              </c:ext>
            </c:extLst>
          </c:dPt>
          <c:dPt>
            <c:idx val="18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7DC-4C98-949E-C682ADE374A2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57DC-4C98-949E-C682ADE374A2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57DC-4C98-949E-C682ADE374A2}"/>
              </c:ext>
            </c:extLst>
          </c:dPt>
          <c:dPt>
            <c:idx val="21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7DC-4C98-949E-C682ADE374A2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57DC-4C98-949E-C682ADE374A2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57DC-4C98-949E-C682ADE374A2}"/>
              </c:ext>
            </c:extLst>
          </c:dPt>
          <c:dPt>
            <c:idx val="24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57DC-4C98-949E-C682ADE374A2}"/>
              </c:ext>
            </c:extLst>
          </c:dPt>
          <c:dPt>
            <c:idx val="25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57DC-4C98-949E-C682ADE374A2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B-57DC-4C98-949E-C682ADE374A2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C-57DC-4C98-949E-C682ADE374A2}"/>
              </c:ext>
            </c:extLst>
          </c:dPt>
          <c:dPt>
            <c:idx val="28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57DC-4C98-949E-C682ADE374A2}"/>
              </c:ext>
            </c:extLst>
          </c:dPt>
          <c:dPt>
            <c:idx val="29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57DC-4C98-949E-C682ADE374A2}"/>
              </c:ext>
            </c:extLst>
          </c:dPt>
          <c:dPt>
            <c:idx val="3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F-57DC-4C98-949E-C682ADE374A2}"/>
              </c:ext>
            </c:extLst>
          </c:dPt>
          <c:dPt>
            <c:idx val="31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57DC-4C98-949E-C682ADE374A2}"/>
              </c:ext>
            </c:extLst>
          </c:dPt>
          <c:dPt>
            <c:idx val="32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57DC-4C98-949E-C682ADE374A2}"/>
              </c:ext>
            </c:extLst>
          </c:dPt>
          <c:dPt>
            <c:idx val="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57DC-4C98-949E-C682ADE374A2}"/>
              </c:ext>
            </c:extLst>
          </c:dPt>
          <c:dPt>
            <c:idx val="3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3-57DC-4C98-949E-C682ADE374A2}"/>
              </c:ext>
            </c:extLst>
          </c:dPt>
          <c:dPt>
            <c:idx val="35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57DC-4C98-949E-C682ADE374A2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2B7200C-70DF-4685-A38E-931055DDB5A9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57DC-4C98-949E-C682ADE374A2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CD94078-09E0-4BCF-A751-7D8ED0548EB5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57DC-4C98-949E-C682ADE374A2}"/>
                </c:ext>
              </c:extLst>
            </c:dLbl>
            <c:dLbl>
              <c:idx val="2"/>
              <c:layout>
                <c:manualLayout>
                  <c:x val="-4.1037196991255409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32215AC-0A64-4BEF-9B75-D339F8B23E3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57DC-4C98-949E-C682ADE374A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57DC-4C98-949E-C682ADE374A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57DC-4C98-949E-C682ADE374A2}"/>
                </c:ext>
              </c:extLst>
            </c:dLbl>
            <c:dLbl>
              <c:idx val="5"/>
              <c:layout>
                <c:manualLayout>
                  <c:x val="-4.1038274097175203E-3"/>
                  <c:y val="2.63650816553729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929B8D4-EB21-4D31-8F99-B1DCA3D2BEB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57DC-4C98-949E-C682ADE374A2}"/>
                </c:ext>
              </c:extLst>
            </c:dLbl>
            <c:dLbl>
              <c:idx val="6"/>
              <c:layout>
                <c:manualLayout>
                  <c:x val="-4.1037735544215302E-3"/>
                  <c:y val="-7.450448816635793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B118341-CE65-408E-AC24-6C383FE635F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57DC-4C98-949E-C682ADE374A2}"/>
                </c:ext>
              </c:extLst>
            </c:dLbl>
            <c:dLbl>
              <c:idx val="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35B40CA-B404-48A5-91DC-B56DC16DDBFC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57DC-4C98-949E-C682ADE374A2}"/>
                </c:ext>
              </c:extLst>
            </c:dLbl>
            <c:dLbl>
              <c:idx val="8"/>
              <c:layout>
                <c:manualLayout>
                  <c:x val="-4.103773554421530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8114E94-A50A-4491-A327-C2810C0B76D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57DC-4C98-949E-C682ADE374A2}"/>
                </c:ext>
              </c:extLst>
            </c:dLbl>
            <c:dLbl>
              <c:idx val="9"/>
              <c:layout>
                <c:manualLayout>
                  <c:x val="-4.1037735544215302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5F8D272-4F1A-43E0-B23F-FE663CACAB2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57DC-4C98-949E-C682ADE374A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57DC-4C98-949E-C682ADE374A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57DC-4C98-949E-C682ADE374A2}"/>
                </c:ext>
              </c:extLst>
            </c:dLbl>
            <c:dLbl>
              <c:idx val="12"/>
              <c:layout>
                <c:manualLayout>
                  <c:x val="-4.1037735544216308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320132E-D312-40AB-B8D8-3D350BA7D19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57DC-4C98-949E-C682ADE374A2}"/>
                </c:ext>
              </c:extLst>
            </c:dLbl>
            <c:dLbl>
              <c:idx val="13"/>
              <c:layout>
                <c:manualLayout>
                  <c:x val="-4.1037196991255409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630F995-7022-4A64-A72A-49B99490E9B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57DC-4C98-949E-C682ADE374A2}"/>
                </c:ext>
              </c:extLst>
            </c:dLbl>
            <c:dLbl>
              <c:idx val="14"/>
              <c:layout>
                <c:manualLayout>
                  <c:x val="-4.1037196991256415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5E7D303-C40E-4D29-8364-5187E9E08BD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57DC-4C98-949E-C682ADE374A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57DC-4C98-949E-C682ADE374A2}"/>
                </c:ext>
              </c:extLst>
            </c:dLbl>
            <c:dLbl>
              <c:idx val="16"/>
              <c:layout>
                <c:manualLayout>
                  <c:x val="-4.1037196991255409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4811FA5-C282-415A-91A4-40468FB75FE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57DC-4C98-949E-C682ADE374A2}"/>
                </c:ext>
              </c:extLst>
            </c:dLbl>
            <c:dLbl>
              <c:idx val="17"/>
              <c:layout>
                <c:manualLayout>
                  <c:x val="-4.1037735544215302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613E2E9-B72D-40FD-8D8B-B90173A02A7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57DC-4C98-949E-C682ADE374A2}"/>
                </c:ext>
              </c:extLst>
            </c:dLbl>
            <c:dLbl>
              <c:idx val="18"/>
              <c:layout>
                <c:manualLayout>
                  <c:x val="-4.1037735544215302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B2ED29A-D7CC-421E-9502-5CBC0C60551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57DC-4C98-949E-C682ADE374A2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A1AEA45-D02A-4839-BABA-B845C807F017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57DC-4C98-949E-C682ADE374A2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57DC-4C98-949E-C682ADE374A2}"/>
                </c:ext>
              </c:extLst>
            </c:dLbl>
            <c:dLbl>
              <c:idx val="21"/>
              <c:layout>
                <c:manualLayout>
                  <c:x val="-4.103773554421530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DEB95C9-6656-47EA-939B-DF12F02568D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57DC-4C98-949E-C682ADE374A2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7-57DC-4C98-949E-C682ADE374A2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57DC-4C98-949E-C682ADE374A2}"/>
                </c:ext>
              </c:extLst>
            </c:dLbl>
            <c:dLbl>
              <c:idx val="24"/>
              <c:layout>
                <c:manualLayout>
                  <c:x val="-4.1037735544216308E-3"/>
                  <c:y val="2.636508165537285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423EA0E-591E-43C1-AFA0-F2DBCF95182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57DC-4C98-949E-C682ADE374A2}"/>
                </c:ext>
              </c:extLst>
            </c:dLbl>
            <c:dLbl>
              <c:idx val="25"/>
              <c:layout>
                <c:manualLayout>
                  <c:x val="-4.1037735544215302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60684C4-FE00-4E6B-BA3D-A0C721650F9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57DC-4C98-949E-C682ADE374A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B-57DC-4C98-949E-C682ADE374A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57DC-4C98-949E-C682ADE374A2}"/>
                </c:ext>
              </c:extLst>
            </c:dLbl>
            <c:dLbl>
              <c:idx val="28"/>
              <c:layout>
                <c:manualLayout>
                  <c:x val="-4.1038274097175203E-3"/>
                  <c:y val="-9.972188062179070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386EF51-9236-4984-865B-4A2F4413988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57DC-4C98-949E-C682ADE374A2}"/>
                </c:ext>
              </c:extLst>
            </c:dLbl>
            <c:dLbl>
              <c:idx val="29"/>
              <c:layout>
                <c:manualLayout>
                  <c:x val="-4.103773554421530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C802A94-3A9E-4110-BFCB-0B6ED6C58FE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57DC-4C98-949E-C682ADE374A2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F-57DC-4C98-949E-C682ADE374A2}"/>
                </c:ext>
              </c:extLst>
            </c:dLbl>
            <c:dLbl>
              <c:idx val="31"/>
              <c:layout>
                <c:manualLayout>
                  <c:x val="-4.1037196991255409E-3"/>
                  <c:y val="2.636508165537285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E4E8878-312D-49F8-A1BC-30D134722ED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57DC-4C98-949E-C682ADE374A2}"/>
                </c:ext>
              </c:extLst>
            </c:dLbl>
            <c:dLbl>
              <c:idx val="32"/>
              <c:layout>
                <c:manualLayout>
                  <c:x val="-4.1037735544216308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856CEE1-77E2-4614-AC45-91835AB7E0B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57DC-4C98-949E-C682ADE374A2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4174CA7-E7A7-4687-83D7-B2532FE60355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57DC-4C98-949E-C682ADE374A2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33-57DC-4C98-949E-C682ADE374A2}"/>
                </c:ext>
              </c:extLst>
            </c:dLbl>
            <c:dLbl>
              <c:idx val="35"/>
              <c:layout>
                <c:manualLayout>
                  <c:x val="-4.103773554421530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EB98FD5-1F31-43FA-8D59-8D72B10421B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57DC-4C98-949E-C682ADE374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36"/>
              <c:pt idx="0">
                <c:v>45783</c:v>
              </c:pt>
              <c:pt idx="1">
                <c:v>45783</c:v>
              </c:pt>
              <c:pt idx="2">
                <c:v>45800</c:v>
              </c:pt>
              <c:pt idx="3">
                <c:v>45800</c:v>
              </c:pt>
              <c:pt idx="4">
                <c:v>45800</c:v>
              </c:pt>
              <c:pt idx="5">
                <c:v>45819</c:v>
              </c:pt>
              <c:pt idx="6">
                <c:v>45825</c:v>
              </c:pt>
              <c:pt idx="7">
                <c:v>45791</c:v>
              </c:pt>
              <c:pt idx="8">
                <c:v>45805</c:v>
              </c:pt>
              <c:pt idx="9">
                <c:v>45821</c:v>
              </c:pt>
              <c:pt idx="10">
                <c:v>45833</c:v>
              </c:pt>
              <c:pt idx="11">
                <c:v>45840</c:v>
              </c:pt>
              <c:pt idx="12">
                <c:v>45870</c:v>
              </c:pt>
              <c:pt idx="13">
                <c:v>45870</c:v>
              </c:pt>
              <c:pt idx="14">
                <c:v>45877</c:v>
              </c:pt>
              <c:pt idx="15">
                <c:v>45895</c:v>
              </c:pt>
              <c:pt idx="16">
                <c:v>45902</c:v>
              </c:pt>
              <c:pt idx="17">
                <c:v>45909</c:v>
              </c:pt>
              <c:pt idx="18">
                <c:v>45930</c:v>
              </c:pt>
              <c:pt idx="19">
                <c:v>45877</c:v>
              </c:pt>
              <c:pt idx="20">
                <c:v>45888</c:v>
              </c:pt>
              <c:pt idx="21">
                <c:v>45888</c:v>
              </c:pt>
              <c:pt idx="22">
                <c:v>45895</c:v>
              </c:pt>
              <c:pt idx="23">
                <c:v>45902</c:v>
              </c:pt>
              <c:pt idx="24">
                <c:v>45916</c:v>
              </c:pt>
              <c:pt idx="25">
                <c:v>45916</c:v>
              </c:pt>
              <c:pt idx="26">
                <c:v>45930</c:v>
              </c:pt>
              <c:pt idx="27">
                <c:v>45952</c:v>
              </c:pt>
              <c:pt idx="28">
                <c:v>45974</c:v>
              </c:pt>
              <c:pt idx="29">
                <c:v>45976</c:v>
              </c:pt>
              <c:pt idx="30">
                <c:v>45980</c:v>
              </c:pt>
              <c:pt idx="31">
                <c:v>45987</c:v>
              </c:pt>
              <c:pt idx="32">
                <c:v>46010</c:v>
              </c:pt>
              <c:pt idx="33">
                <c:v>46010</c:v>
              </c:pt>
              <c:pt idx="34">
                <c:v>46016</c:v>
              </c:pt>
              <c:pt idx="35">
                <c:v>46017</c:v>
              </c:pt>
            </c:numLit>
          </c:xVal>
          <c:yVal>
            <c:numLit>
              <c:formatCode>General</c:formatCode>
              <c:ptCount val="36"/>
              <c:pt idx="0">
                <c:v>1.5</c:v>
              </c:pt>
              <c:pt idx="1">
                <c:v>2.5</c:v>
              </c:pt>
              <c:pt idx="2">
                <c:v>2.7</c:v>
              </c:pt>
              <c:pt idx="3">
                <c:v>2.7</c:v>
              </c:pt>
              <c:pt idx="4">
                <c:v>2.7</c:v>
              </c:pt>
              <c:pt idx="5">
                <c:v>2.7</c:v>
              </c:pt>
              <c:pt idx="6">
                <c:v>2.7</c:v>
              </c:pt>
              <c:pt idx="7">
                <c:v>3.5</c:v>
              </c:pt>
              <c:pt idx="8">
                <c:v>3.7</c:v>
              </c:pt>
              <c:pt idx="9">
                <c:v>3.7</c:v>
              </c:pt>
              <c:pt idx="10">
                <c:v>3.7</c:v>
              </c:pt>
              <c:pt idx="11">
                <c:v>3.7</c:v>
              </c:pt>
              <c:pt idx="12">
                <c:v>3.7</c:v>
              </c:pt>
              <c:pt idx="13">
                <c:v>3.7</c:v>
              </c:pt>
              <c:pt idx="14">
                <c:v>3.7</c:v>
              </c:pt>
              <c:pt idx="15">
                <c:v>3.7</c:v>
              </c:pt>
              <c:pt idx="16">
                <c:v>3.7</c:v>
              </c:pt>
              <c:pt idx="17">
                <c:v>3.7</c:v>
              </c:pt>
              <c:pt idx="18">
                <c:v>3.7</c:v>
              </c:pt>
              <c:pt idx="19">
                <c:v>4.5</c:v>
              </c:pt>
              <c:pt idx="20">
                <c:v>4.7</c:v>
              </c:pt>
              <c:pt idx="21">
                <c:v>4.7</c:v>
              </c:pt>
              <c:pt idx="22">
                <c:v>4.7</c:v>
              </c:pt>
              <c:pt idx="23">
                <c:v>4.7</c:v>
              </c:pt>
              <c:pt idx="24">
                <c:v>4.7</c:v>
              </c:pt>
              <c:pt idx="25">
                <c:v>4.7</c:v>
              </c:pt>
              <c:pt idx="26">
                <c:v>4.7</c:v>
              </c:pt>
              <c:pt idx="27">
                <c:v>4.7</c:v>
              </c:pt>
              <c:pt idx="28">
                <c:v>4.7</c:v>
              </c:pt>
              <c:pt idx="29">
                <c:v>4.7</c:v>
              </c:pt>
              <c:pt idx="30">
                <c:v>4.7</c:v>
              </c:pt>
              <c:pt idx="31">
                <c:v>4.7</c:v>
              </c:pt>
              <c:pt idx="32">
                <c:v>4.7</c:v>
              </c:pt>
              <c:pt idx="33">
                <c:v>5.5</c:v>
              </c:pt>
              <c:pt idx="34">
                <c:v>5.7</c:v>
              </c:pt>
              <c:pt idx="35">
                <c:v>5.7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WorkSchedule!$D$12:$D$47</c15:f>
                <c15:dlblRangeCache>
                  <c:ptCount val="36"/>
                  <c:pt idx="0">
                    <c:v>Overall Project</c:v>
                  </c:pt>
                  <c:pt idx="1">
                    <c:v>Project Setup</c:v>
                  </c:pt>
                  <c:pt idx="2">
                    <c:v>Project Charter</c:v>
                  </c:pt>
                  <c:pt idx="3">
                    <c:v>Q &amp; R</c:v>
                  </c:pt>
                  <c:pt idx="4">
                    <c:v>Initial Analysis</c:v>
                  </c:pt>
                  <c:pt idx="5">
                    <c:v>Ease of Implementation</c:v>
                  </c:pt>
                  <c:pt idx="6">
                    <c:v>Project Approval</c:v>
                  </c:pt>
                  <c:pt idx="7">
                    <c:v>Rule Optimization</c:v>
                  </c:pt>
                  <c:pt idx="8">
                    <c:v>Project Planning</c:v>
                  </c:pt>
                  <c:pt idx="9">
                    <c:v>Business Requirement</c:v>
                  </c:pt>
                  <c:pt idx="10">
                    <c:v>Process &amp; Data Understanding</c:v>
                  </c:pt>
                  <c:pt idx="11">
                    <c:v>Data Collection &amp; Preparation</c:v>
                  </c:pt>
                  <c:pt idx="12">
                    <c:v>Rule Opt. (unsecured)</c:v>
                  </c:pt>
                  <c:pt idx="13">
                    <c:v>Rule Opt. (secured)</c:v>
                  </c:pt>
                  <c:pt idx="14">
                    <c:v>Result Update (R1)</c:v>
                  </c:pt>
                  <c:pt idx="15">
                    <c:v>Model Tuning &amp; Re-Evaluation</c:v>
                  </c:pt>
                  <c:pt idx="16">
                    <c:v>Result Update (R2)</c:v>
                  </c:pt>
                  <c:pt idx="17">
                    <c:v>Final Evaluation</c:v>
                  </c:pt>
                  <c:pt idx="18">
                    <c:v>Transition</c:v>
                  </c:pt>
                  <c:pt idx="19">
                    <c:v>Anomaly Detection</c:v>
                  </c:pt>
                  <c:pt idx="20">
                    <c:v>Project Planning</c:v>
                  </c:pt>
                  <c:pt idx="21">
                    <c:v>Business Requirement</c:v>
                  </c:pt>
                  <c:pt idx="22">
                    <c:v>Process &amp; Data Understanding</c:v>
                  </c:pt>
                  <c:pt idx="23">
                    <c:v>Data Collection &amp; Preparation</c:v>
                  </c:pt>
                  <c:pt idx="24">
                    <c:v>Model Training (HL)</c:v>
                  </c:pt>
                  <c:pt idx="25">
                    <c:v>Model Training (CC, XPC)</c:v>
                  </c:pt>
                  <c:pt idx="26">
                    <c:v>Forensic Validation (R1)</c:v>
                  </c:pt>
                  <c:pt idx="27">
                    <c:v>Model Tuning &amp; Re-Evaluation</c:v>
                  </c:pt>
                  <c:pt idx="28">
                    <c:v>Forensic Validation (R2)</c:v>
                  </c:pt>
                  <c:pt idx="29">
                    <c:v>Final Evaluation</c:v>
                  </c:pt>
                  <c:pt idx="30">
                    <c:v>Deployment Planning</c:v>
                  </c:pt>
                  <c:pt idx="31">
                    <c:v>Deployment Execution</c:v>
                  </c:pt>
                  <c:pt idx="32">
                    <c:v>Monitoring &amp; Transition</c:v>
                  </c:pt>
                  <c:pt idx="33">
                    <c:v>Committee approval</c:v>
                  </c:pt>
                  <c:pt idx="34">
                    <c:v>Material Preparation</c:v>
                  </c:pt>
                  <c:pt idx="35">
                    <c:v>Project Sign-off meeting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57DC-4C98-949E-C682ADE374A2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45822</c:v>
                </c:pt>
                <c:pt idx="1">
                  <c:v>45822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57DC-4C98-949E-C682ADE37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181999"/>
        <c:axId val="892195919"/>
      </c:scatterChart>
      <c:catAx>
        <c:axId val="89220071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892187759"/>
        <c:crosses val="autoZero"/>
        <c:auto val="1"/>
        <c:lblAlgn val="ctr"/>
        <c:lblOffset val="100"/>
        <c:noMultiLvlLbl val="0"/>
      </c:catAx>
      <c:valAx>
        <c:axId val="892187759"/>
        <c:scaling>
          <c:orientation val="minMax"/>
          <c:max val="46054"/>
          <c:min val="4571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892200719"/>
        <c:crosses val="autoZero"/>
        <c:crossBetween val="between"/>
        <c:majorUnit val="61.36"/>
        <c:minorUnit val="30.68"/>
      </c:valAx>
      <c:valAx>
        <c:axId val="892195919"/>
        <c:scaling>
          <c:orientation val="maxMin"/>
          <c:max val="6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892181999"/>
        <c:crosses val="max"/>
        <c:crossBetween val="midCat"/>
      </c:valAx>
      <c:valAx>
        <c:axId val="892181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195919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3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</c:numLit>
          </c:cat>
          <c:val>
            <c:numRef>
              <c:f>WorkSchedule!$I$12:$I$47</c:f>
              <c:numCache>
                <c:formatCode>m/d/yyyy</c:formatCode>
                <c:ptCount val="36"/>
                <c:pt idx="0">
                  <c:v>45783</c:v>
                </c:pt>
                <c:pt idx="1">
                  <c:v>45783</c:v>
                </c:pt>
                <c:pt idx="2">
                  <c:v>45783</c:v>
                </c:pt>
                <c:pt idx="3">
                  <c:v>45783</c:v>
                </c:pt>
                <c:pt idx="4">
                  <c:v>45783</c:v>
                </c:pt>
                <c:pt idx="5">
                  <c:v>45803</c:v>
                </c:pt>
                <c:pt idx="6">
                  <c:v>45803</c:v>
                </c:pt>
                <c:pt idx="7">
                  <c:v>45791</c:v>
                </c:pt>
                <c:pt idx="8">
                  <c:v>45791</c:v>
                </c:pt>
                <c:pt idx="9">
                  <c:v>45805</c:v>
                </c:pt>
                <c:pt idx="10">
                  <c:v>45812</c:v>
                </c:pt>
                <c:pt idx="11">
                  <c:v>45833</c:v>
                </c:pt>
                <c:pt idx="12">
                  <c:v>45840</c:v>
                </c:pt>
                <c:pt idx="13">
                  <c:v>45840</c:v>
                </c:pt>
                <c:pt idx="14">
                  <c:v>45870</c:v>
                </c:pt>
                <c:pt idx="15">
                  <c:v>45877</c:v>
                </c:pt>
                <c:pt idx="16">
                  <c:v>45895</c:v>
                </c:pt>
                <c:pt idx="17">
                  <c:v>45902</c:v>
                </c:pt>
                <c:pt idx="18">
                  <c:v>45909</c:v>
                </c:pt>
                <c:pt idx="19">
                  <c:v>45877</c:v>
                </c:pt>
                <c:pt idx="20">
                  <c:v>45877</c:v>
                </c:pt>
                <c:pt idx="21">
                  <c:v>45877</c:v>
                </c:pt>
                <c:pt idx="22">
                  <c:v>45888</c:v>
                </c:pt>
                <c:pt idx="23">
                  <c:v>45895</c:v>
                </c:pt>
                <c:pt idx="24">
                  <c:v>45902</c:v>
                </c:pt>
                <c:pt idx="25">
                  <c:v>45902</c:v>
                </c:pt>
                <c:pt idx="26">
                  <c:v>45916</c:v>
                </c:pt>
                <c:pt idx="27">
                  <c:v>45930</c:v>
                </c:pt>
                <c:pt idx="28">
                  <c:v>45952</c:v>
                </c:pt>
                <c:pt idx="29">
                  <c:v>45974</c:v>
                </c:pt>
                <c:pt idx="30">
                  <c:v>45978</c:v>
                </c:pt>
                <c:pt idx="31">
                  <c:v>45980</c:v>
                </c:pt>
                <c:pt idx="32">
                  <c:v>45987</c:v>
                </c:pt>
                <c:pt idx="33">
                  <c:v>46010</c:v>
                </c:pt>
                <c:pt idx="34">
                  <c:v>46010</c:v>
                </c:pt>
                <c:pt idx="35">
                  <c:v>46016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F4-4935-A19D-36A2A302E2A2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WorkSchedule!$N$12:$N$47</c:f>
              <c:numCache>
                <c:formatCode>_-* #,##0_-;\-* #,##0_-;_-* "-"??_-;_-@_-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F4-4935-A19D-36A2A302E2A2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WorkSchedule!$O$12:$O$47</c:f>
              <c:numCache>
                <c:formatCode>_-* #,##0_-;\-* #,##0_-;_-* "-"??_-;_-@_-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16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F4-4935-A19D-36A2A302E2A2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WorkSchedule!$P$12:$P$47</c:f>
              <c:numCache>
                <c:formatCode>_-* #,##0_-;\-* #,##0_-;_-* "-"??_-;_-@_-</c:formatCode>
                <c:ptCount val="36"/>
                <c:pt idx="0">
                  <c:v>234</c:v>
                </c:pt>
                <c:pt idx="1">
                  <c:v>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</c:v>
                </c:pt>
                <c:pt idx="7">
                  <c:v>139</c:v>
                </c:pt>
                <c:pt idx="8">
                  <c:v>0</c:v>
                </c:pt>
                <c:pt idx="9">
                  <c:v>0</c:v>
                </c:pt>
                <c:pt idx="10">
                  <c:v>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F4-4935-A19D-36A2A302E2A2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WorkSchedule!$Q$12:$Q$47</c:f>
              <c:numCache>
                <c:formatCode>_-* #,##0_-;\-* #,##0_-;_-* "-"??_-;_-@_-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30</c:v>
                </c:pt>
                <c:pt idx="13">
                  <c:v>30</c:v>
                </c:pt>
                <c:pt idx="14">
                  <c:v>7</c:v>
                </c:pt>
                <c:pt idx="15">
                  <c:v>18</c:v>
                </c:pt>
                <c:pt idx="16">
                  <c:v>7</c:v>
                </c:pt>
                <c:pt idx="17">
                  <c:v>7</c:v>
                </c:pt>
                <c:pt idx="18">
                  <c:v>21</c:v>
                </c:pt>
                <c:pt idx="19">
                  <c:v>133</c:v>
                </c:pt>
                <c:pt idx="20">
                  <c:v>11</c:v>
                </c:pt>
                <c:pt idx="21">
                  <c:v>11</c:v>
                </c:pt>
                <c:pt idx="22">
                  <c:v>7</c:v>
                </c:pt>
                <c:pt idx="23">
                  <c:v>7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22</c:v>
                </c:pt>
                <c:pt idx="28">
                  <c:v>22</c:v>
                </c:pt>
                <c:pt idx="29">
                  <c:v>2</c:v>
                </c:pt>
                <c:pt idx="30">
                  <c:v>2</c:v>
                </c:pt>
                <c:pt idx="31">
                  <c:v>7</c:v>
                </c:pt>
                <c:pt idx="32">
                  <c:v>23</c:v>
                </c:pt>
                <c:pt idx="33">
                  <c:v>7</c:v>
                </c:pt>
                <c:pt idx="34">
                  <c:v>6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F4-4935-A19D-36A2A302E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97083791"/>
        <c:axId val="1997089071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7035A2-FFBB-4864-93BB-E44D2AB4736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F4-4935-A19D-36A2A302E2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4D7714-F86A-4F80-9093-44EF98E7FA6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F4-4935-A19D-36A2A302E2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EC3AD8-3570-4F44-BCFA-1D639F6B520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F4-4935-A19D-36A2A302E2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B73D31-99CE-4A76-AC4F-DEF318178D6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F4-4935-A19D-36A2A302E2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7B27DE-CFC9-40AE-89CA-78EC5069955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F4-4935-A19D-36A2A302E2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B559E0-5105-4576-BF20-DC2F9121FC6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F4-4935-A19D-36A2A302E2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1F8320-6925-4DB1-B910-A0379436018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F4-4935-A19D-36A2A302E2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F87D3C-8BE1-47B8-B56F-1521DFB2691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F4-4935-A19D-36A2A302E2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F1B2A8-6511-4ADD-88F9-577CBCE8EBC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F4-4935-A19D-36A2A302E2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6F3960-477D-48EB-A032-53EA9BCFD8C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F4-4935-A19D-36A2A302E2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9AC940-0C43-4AF3-84B0-82EEECFD894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F4-4935-A19D-36A2A302E2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F2F29C-2790-4402-A7C8-FED863D0C83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F4-4935-A19D-36A2A302E2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93DCBF-3595-4134-852F-CD45BEBC947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F4-4935-A19D-36A2A302E2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424EEF-05CF-4B6E-8769-3F5ACA29299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F4-4935-A19D-36A2A302E2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8B4F0B-35EB-49C9-82F2-C79FEBF7131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F4-4935-A19D-36A2A302E2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CF8C47-3205-41F1-B246-A492970E333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F4-4935-A19D-36A2A302E2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3FFAE1-54A3-4594-95F5-53A95A78FB4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F4-4935-A19D-36A2A302E2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EE1A7D-133B-418F-B019-F8E24790EE4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F4-4935-A19D-36A2A302E2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116CFF-6B32-4719-8FE4-F1398EB2B2A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F4-4935-A19D-36A2A302E2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15186A-096D-4A27-B167-DCE3EA123A1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F4-4935-A19D-36A2A302E2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4FA7AF-A48B-47C4-88DC-F5FBFF3830C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F4-4935-A19D-36A2A302E2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D8C94A-4195-4009-B3EE-CA09D9A0D00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F4-4935-A19D-36A2A302E2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8886AF-A664-4B57-BE96-3CA6A858041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F4-4935-A19D-36A2A302E2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893D78-D644-4FC2-AE10-945C0E11245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F4-4935-A19D-36A2A302E2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E2FC03-63FD-4BB3-97B8-E3AA6A077D8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F4-4935-A19D-36A2A302E2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3374A5-D7B1-4922-AA78-5EA41D36788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F4-4935-A19D-36A2A302E2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5B2D0C-F6D9-4ECE-BF0F-F7FC5C858C1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F4-4935-A19D-36A2A302E2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78FE40-912D-4B29-A25B-3D97CE3C11B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F4-4935-A19D-36A2A302E2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E22D6A-A847-4F10-BBB2-895D5882D54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F4-4935-A19D-36A2A302E2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CB7AB4-3DAE-41BE-812A-C81773EF544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F4-4935-A19D-36A2A302E2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CC7830-6DDB-48FC-9B88-B2BB0B6D018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F4-4935-A19D-36A2A302E2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6F58BD-0FD7-4452-84B9-2816595C10B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F4-4935-A19D-36A2A302E2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CBF59F-495D-4BB7-AF84-B86B45ACA23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F4-4935-A19D-36A2A302E2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917A72-9F2B-4CE3-8119-6B428A767B6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F4-4935-A19D-36A2A302E2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A883FC-993C-4783-9224-F64B1D70BBF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F4-4935-A19D-36A2A302E2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429479-634F-4CCF-8B44-3726F648F7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F4-4935-A19D-36A2A302E2A2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808080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36"/>
              <c:pt idx="0">
                <c:v>46017</c:v>
              </c:pt>
              <c:pt idx="1">
                <c:v>45825</c:v>
              </c:pt>
              <c:pt idx="2">
                <c:v>45800</c:v>
              </c:pt>
              <c:pt idx="3">
                <c:v>45800</c:v>
              </c:pt>
              <c:pt idx="4">
                <c:v>45800</c:v>
              </c:pt>
              <c:pt idx="5">
                <c:v>45819</c:v>
              </c:pt>
              <c:pt idx="6">
                <c:v>45825</c:v>
              </c:pt>
              <c:pt idx="7">
                <c:v>45930</c:v>
              </c:pt>
              <c:pt idx="8">
                <c:v>45805</c:v>
              </c:pt>
              <c:pt idx="9">
                <c:v>45821</c:v>
              </c:pt>
              <c:pt idx="10">
                <c:v>45833</c:v>
              </c:pt>
              <c:pt idx="11">
                <c:v>45840</c:v>
              </c:pt>
              <c:pt idx="12">
                <c:v>45870</c:v>
              </c:pt>
              <c:pt idx="13">
                <c:v>45870</c:v>
              </c:pt>
              <c:pt idx="14">
                <c:v>45877</c:v>
              </c:pt>
              <c:pt idx="15">
                <c:v>45895</c:v>
              </c:pt>
              <c:pt idx="16">
                <c:v>45902</c:v>
              </c:pt>
              <c:pt idx="17">
                <c:v>45909</c:v>
              </c:pt>
              <c:pt idx="18">
                <c:v>45930</c:v>
              </c:pt>
              <c:pt idx="19">
                <c:v>46010</c:v>
              </c:pt>
              <c:pt idx="20">
                <c:v>45888</c:v>
              </c:pt>
              <c:pt idx="21">
                <c:v>45888</c:v>
              </c:pt>
              <c:pt idx="22">
                <c:v>45895</c:v>
              </c:pt>
              <c:pt idx="23">
                <c:v>45902</c:v>
              </c:pt>
              <c:pt idx="24">
                <c:v>45916</c:v>
              </c:pt>
              <c:pt idx="25">
                <c:v>45916</c:v>
              </c:pt>
              <c:pt idx="26">
                <c:v>45930</c:v>
              </c:pt>
              <c:pt idx="27">
                <c:v>45952</c:v>
              </c:pt>
              <c:pt idx="28">
                <c:v>45974</c:v>
              </c:pt>
              <c:pt idx="29">
                <c:v>45976</c:v>
              </c:pt>
              <c:pt idx="30">
                <c:v>45980</c:v>
              </c:pt>
              <c:pt idx="31">
                <c:v>45987</c:v>
              </c:pt>
              <c:pt idx="32">
                <c:v>46010</c:v>
              </c:pt>
              <c:pt idx="33">
                <c:v>46017</c:v>
              </c:pt>
              <c:pt idx="34">
                <c:v>46016</c:v>
              </c:pt>
              <c:pt idx="35">
                <c:v>46017</c:v>
              </c:pt>
            </c:numLit>
          </c:xVal>
          <c:yVal>
            <c:numLit>
              <c:formatCode>General</c:formatCode>
              <c:ptCount val="36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WorkSchedule!$R$12:$R$47</c15:f>
                <c15:dlblRangeCache>
                  <c:ptCount val="36"/>
                  <c:pt idx="0">
                    <c:v>27% (27%)</c:v>
                  </c:pt>
                  <c:pt idx="1">
                    <c:v>98% (98%)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93% (93%)</c:v>
                  </c:pt>
                  <c:pt idx="7">
                    <c:v>23% (23%)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53% (53%)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  <c:pt idx="30">
                    <c:v>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81F4-4935-A19D-36A2A302E2A2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81F4-4935-A19D-36A2A302E2A2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81F4-4935-A19D-36A2A302E2A2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81F4-4935-A19D-36A2A302E2A2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81F4-4935-A19D-36A2A302E2A2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81F4-4935-A19D-36A2A302E2A2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81F4-4935-A19D-36A2A302E2A2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81F4-4935-A19D-36A2A302E2A2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81F4-4935-A19D-36A2A302E2A2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81F4-4935-A19D-36A2A302E2A2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81F4-4935-A19D-36A2A302E2A2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81F4-4935-A19D-36A2A302E2A2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81F4-4935-A19D-36A2A302E2A2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D-81F4-4935-A19D-36A2A302E2A2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E-81F4-4935-A19D-36A2A302E2A2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F-81F4-4935-A19D-36A2A302E2A2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81F4-4935-A19D-36A2A302E2A2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81F4-4935-A19D-36A2A302E2A2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2-81F4-4935-A19D-36A2A302E2A2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81F4-4935-A19D-36A2A302E2A2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81F4-4935-A19D-36A2A302E2A2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81F4-4935-A19D-36A2A302E2A2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6-81F4-4935-A19D-36A2A302E2A2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81F4-4935-A19D-36A2A302E2A2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81F4-4935-A19D-36A2A302E2A2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81F4-4935-A19D-36A2A302E2A2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81F4-4935-A19D-36A2A302E2A2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B-81F4-4935-A19D-36A2A302E2A2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C-81F4-4935-A19D-36A2A302E2A2}"/>
              </c:ext>
            </c:extLst>
          </c:dPt>
          <c:dPt>
            <c:idx val="2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D-81F4-4935-A19D-36A2A302E2A2}"/>
              </c:ext>
            </c:extLst>
          </c:dPt>
          <c:dPt>
            <c:idx val="2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E-81F4-4935-A19D-36A2A302E2A2}"/>
              </c:ext>
            </c:extLst>
          </c:dPt>
          <c:dPt>
            <c:idx val="3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F-81F4-4935-A19D-36A2A302E2A2}"/>
              </c:ext>
            </c:extLst>
          </c:dPt>
          <c:dPt>
            <c:idx val="3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0-81F4-4935-A19D-36A2A302E2A2}"/>
              </c:ext>
            </c:extLst>
          </c:dPt>
          <c:dPt>
            <c:idx val="3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81F4-4935-A19D-36A2A302E2A2}"/>
              </c:ext>
            </c:extLst>
          </c:dPt>
          <c:dPt>
            <c:idx val="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81F4-4935-A19D-36A2A302E2A2}"/>
              </c:ext>
            </c:extLst>
          </c:dPt>
          <c:dPt>
            <c:idx val="3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3-81F4-4935-A19D-36A2A302E2A2}"/>
              </c:ext>
            </c:extLst>
          </c:dPt>
          <c:dPt>
            <c:idx val="3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4-81F4-4935-A19D-36A2A302E2A2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79080CF-44B4-496A-AA04-37151864F18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81F4-4935-A19D-36A2A302E2A2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D426979-A51F-4A11-B5A6-9CDC5C7B038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81F4-4935-A19D-36A2A302E2A2}"/>
                </c:ext>
              </c:extLst>
            </c:dLbl>
            <c:dLbl>
              <c:idx val="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5359613-9CED-4F7E-99AA-D6D8C46F871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81F4-4935-A19D-36A2A302E2A2}"/>
                </c:ext>
              </c:extLst>
            </c:dLbl>
            <c:dLbl>
              <c:idx val="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D079E17-C2F9-443C-BAB8-323C0FF622D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81F4-4935-A19D-36A2A302E2A2}"/>
                </c:ext>
              </c:extLst>
            </c:dLbl>
            <c:dLbl>
              <c:idx val="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01CA921-CDAC-4068-8477-3EC2E91DD65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81F4-4935-A19D-36A2A302E2A2}"/>
                </c:ext>
              </c:extLst>
            </c:dLbl>
            <c:dLbl>
              <c:idx val="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CE39E82-9295-475B-980A-9466EF2460A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81F4-4935-A19D-36A2A302E2A2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75A180A-CBA1-406B-9A6A-E51486E11F2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81F4-4935-A19D-36A2A302E2A2}"/>
                </c:ext>
              </c:extLst>
            </c:dLbl>
            <c:dLbl>
              <c:idx val="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29B9ED4-BB31-4A8A-A778-B3D10360185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81F4-4935-A19D-36A2A302E2A2}"/>
                </c:ext>
              </c:extLst>
            </c:dLbl>
            <c:dLbl>
              <c:idx val="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8F541C5-F60A-47FF-BB0B-F44E16C688C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81F4-4935-A19D-36A2A302E2A2}"/>
                </c:ext>
              </c:extLst>
            </c:dLbl>
            <c:dLbl>
              <c:idx val="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E98DDC3-745D-413F-B8DC-F3E78B35216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81F4-4935-A19D-36A2A302E2A2}"/>
                </c:ext>
              </c:extLst>
            </c:dLbl>
            <c:dLbl>
              <c:idx val="1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FEA271E-DABE-466C-A873-6A1FD10CA0D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81F4-4935-A19D-36A2A302E2A2}"/>
                </c:ext>
              </c:extLst>
            </c:dLbl>
            <c:dLbl>
              <c:idx val="1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C61D775-116F-48EF-8A9C-C2BA99892D8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81F4-4935-A19D-36A2A302E2A2}"/>
                </c:ext>
              </c:extLst>
            </c:dLbl>
            <c:dLbl>
              <c:idx val="1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D6C65CB-091F-46E4-A0EA-383081D4745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81F4-4935-A19D-36A2A302E2A2}"/>
                </c:ext>
              </c:extLst>
            </c:dLbl>
            <c:dLbl>
              <c:idx val="1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F281932-9185-4CFD-AC94-AA42FD592BE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81F4-4935-A19D-36A2A302E2A2}"/>
                </c:ext>
              </c:extLst>
            </c:dLbl>
            <c:dLbl>
              <c:idx val="1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F9D105C-130D-47F7-AC98-92E8E0D85FF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81F4-4935-A19D-36A2A302E2A2}"/>
                </c:ext>
              </c:extLst>
            </c:dLbl>
            <c:dLbl>
              <c:idx val="1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89C55DD-324F-4260-B686-BFE6E5E0EE0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81F4-4935-A19D-36A2A302E2A2}"/>
                </c:ext>
              </c:extLst>
            </c:dLbl>
            <c:dLbl>
              <c:idx val="1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A018E74-62A0-4D47-95FA-A6194F438BB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81F4-4935-A19D-36A2A302E2A2}"/>
                </c:ext>
              </c:extLst>
            </c:dLbl>
            <c:dLbl>
              <c:idx val="1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CA8AF11-0126-487B-8DFE-FB981714F4B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81F4-4935-A19D-36A2A302E2A2}"/>
                </c:ext>
              </c:extLst>
            </c:dLbl>
            <c:dLbl>
              <c:idx val="1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324FC3A-B861-4A54-9A2C-D05060B7EF1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81F4-4935-A19D-36A2A302E2A2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2839496-F1C4-4F7A-903C-DD8C52934C0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81F4-4935-A19D-36A2A302E2A2}"/>
                </c:ext>
              </c:extLst>
            </c:dLbl>
            <c:dLbl>
              <c:idx val="2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4ADCE99-8504-48FD-9FF4-6F76EB0090A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81F4-4935-A19D-36A2A302E2A2}"/>
                </c:ext>
              </c:extLst>
            </c:dLbl>
            <c:dLbl>
              <c:idx val="2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7F0FD12-47EF-47CD-8F88-B0838A68E1C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81F4-4935-A19D-36A2A302E2A2}"/>
                </c:ext>
              </c:extLst>
            </c:dLbl>
            <c:dLbl>
              <c:idx val="2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007709E-551C-451B-A520-4919A4161AA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81F4-4935-A19D-36A2A302E2A2}"/>
                </c:ext>
              </c:extLst>
            </c:dLbl>
            <c:dLbl>
              <c:idx val="2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E24F327-386F-493F-8E34-31C5C6120E9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81F4-4935-A19D-36A2A302E2A2}"/>
                </c:ext>
              </c:extLst>
            </c:dLbl>
            <c:dLbl>
              <c:idx val="2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A6341A6-1320-496F-B146-5A92AB57DCD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81F4-4935-A19D-36A2A302E2A2}"/>
                </c:ext>
              </c:extLst>
            </c:dLbl>
            <c:dLbl>
              <c:idx val="2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767AB55-DD3F-40FA-B59C-518D3FB78EE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81F4-4935-A19D-36A2A302E2A2}"/>
                </c:ext>
              </c:extLst>
            </c:dLbl>
            <c:dLbl>
              <c:idx val="2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9C58290-6F80-42AB-B7A5-EEC6CE87DA0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81F4-4935-A19D-36A2A302E2A2}"/>
                </c:ext>
              </c:extLst>
            </c:dLbl>
            <c:dLbl>
              <c:idx val="2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3850D15-7185-4761-BF92-53F5A606123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81F4-4935-A19D-36A2A302E2A2}"/>
                </c:ext>
              </c:extLst>
            </c:dLbl>
            <c:dLbl>
              <c:idx val="2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B2B0668-39E1-467D-BD65-3176B4E114B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81F4-4935-A19D-36A2A302E2A2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CF0E276-BC82-4FE0-8A29-8D772AE5689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81F4-4935-A19D-36A2A302E2A2}"/>
                </c:ext>
              </c:extLst>
            </c:dLbl>
            <c:dLbl>
              <c:idx val="3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A896412-047E-42F4-9394-E51EB339159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81F4-4935-A19D-36A2A302E2A2}"/>
                </c:ext>
              </c:extLst>
            </c:dLbl>
            <c:dLbl>
              <c:idx val="3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826CDB3-6941-4C49-8F09-17768716126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81F4-4935-A19D-36A2A302E2A2}"/>
                </c:ext>
              </c:extLst>
            </c:dLbl>
            <c:dLbl>
              <c:idx val="3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B5A6230-A931-439C-8442-34127B53AE9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1F4-4935-A19D-36A2A302E2A2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7D85F84-2CCB-4742-A7FB-924E5BC81A7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81F4-4935-A19D-36A2A302E2A2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C01B392-B7E9-4280-8D0E-9C4155A5212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81F4-4935-A19D-36A2A302E2A2}"/>
                </c:ext>
              </c:extLst>
            </c:dLbl>
            <c:dLbl>
              <c:idx val="3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3C59AE8-E7CE-4777-B51B-913990E49F0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81F4-4935-A19D-36A2A302E2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36"/>
              <c:pt idx="0">
                <c:v>45783</c:v>
              </c:pt>
              <c:pt idx="1">
                <c:v>45783</c:v>
              </c:pt>
              <c:pt idx="2">
                <c:v>45783</c:v>
              </c:pt>
              <c:pt idx="3">
                <c:v>45783</c:v>
              </c:pt>
              <c:pt idx="4">
                <c:v>45783</c:v>
              </c:pt>
              <c:pt idx="5">
                <c:v>45803</c:v>
              </c:pt>
              <c:pt idx="6">
                <c:v>45803</c:v>
              </c:pt>
              <c:pt idx="7">
                <c:v>45791</c:v>
              </c:pt>
              <c:pt idx="8">
                <c:v>45791</c:v>
              </c:pt>
              <c:pt idx="9">
                <c:v>45805</c:v>
              </c:pt>
              <c:pt idx="10">
                <c:v>45812</c:v>
              </c:pt>
              <c:pt idx="11">
                <c:v>45833</c:v>
              </c:pt>
              <c:pt idx="12">
                <c:v>45840</c:v>
              </c:pt>
              <c:pt idx="13">
                <c:v>45840</c:v>
              </c:pt>
              <c:pt idx="14">
                <c:v>45870</c:v>
              </c:pt>
              <c:pt idx="15">
                <c:v>45877</c:v>
              </c:pt>
              <c:pt idx="16">
                <c:v>45895</c:v>
              </c:pt>
              <c:pt idx="17">
                <c:v>45902</c:v>
              </c:pt>
              <c:pt idx="18">
                <c:v>45909</c:v>
              </c:pt>
              <c:pt idx="19">
                <c:v>45877</c:v>
              </c:pt>
              <c:pt idx="20">
                <c:v>45877</c:v>
              </c:pt>
              <c:pt idx="21">
                <c:v>45877</c:v>
              </c:pt>
              <c:pt idx="22">
                <c:v>45888</c:v>
              </c:pt>
              <c:pt idx="23">
                <c:v>45895</c:v>
              </c:pt>
              <c:pt idx="24">
                <c:v>45902</c:v>
              </c:pt>
              <c:pt idx="25">
                <c:v>45902</c:v>
              </c:pt>
              <c:pt idx="26">
                <c:v>45916</c:v>
              </c:pt>
              <c:pt idx="27">
                <c:v>45930</c:v>
              </c:pt>
              <c:pt idx="28">
                <c:v>45952</c:v>
              </c:pt>
              <c:pt idx="29">
                <c:v>45974</c:v>
              </c:pt>
              <c:pt idx="30">
                <c:v>45978</c:v>
              </c:pt>
              <c:pt idx="31">
                <c:v>45980</c:v>
              </c:pt>
              <c:pt idx="32">
                <c:v>45987</c:v>
              </c:pt>
              <c:pt idx="33">
                <c:v>46010</c:v>
              </c:pt>
              <c:pt idx="34">
                <c:v>46010</c:v>
              </c:pt>
              <c:pt idx="35">
                <c:v>46016</c:v>
              </c:pt>
            </c:numLit>
          </c:xVal>
          <c:yVal>
            <c:numLit>
              <c:formatCode>General</c:formatCode>
              <c:ptCount val="36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WorkSchedule!$D$12:$D$47</c15:f>
                <c15:dlblRangeCache>
                  <c:ptCount val="36"/>
                  <c:pt idx="0">
                    <c:v>Overall Project</c:v>
                  </c:pt>
                  <c:pt idx="1">
                    <c:v>Project Setup</c:v>
                  </c:pt>
                  <c:pt idx="2">
                    <c:v>Project Charter</c:v>
                  </c:pt>
                  <c:pt idx="3">
                    <c:v>Q &amp; R</c:v>
                  </c:pt>
                  <c:pt idx="4">
                    <c:v>Initial Analysis</c:v>
                  </c:pt>
                  <c:pt idx="5">
                    <c:v>Ease of Implementation</c:v>
                  </c:pt>
                  <c:pt idx="6">
                    <c:v>Project Approval</c:v>
                  </c:pt>
                  <c:pt idx="7">
                    <c:v>Rule Optimization</c:v>
                  </c:pt>
                  <c:pt idx="8">
                    <c:v>Project Planning</c:v>
                  </c:pt>
                  <c:pt idx="9">
                    <c:v>Business Requirement</c:v>
                  </c:pt>
                  <c:pt idx="10">
                    <c:v>Process &amp; Data Understanding</c:v>
                  </c:pt>
                  <c:pt idx="11">
                    <c:v>Data Collection &amp; Preparation</c:v>
                  </c:pt>
                  <c:pt idx="12">
                    <c:v>Rule Opt. (unsecured)</c:v>
                  </c:pt>
                  <c:pt idx="13">
                    <c:v>Rule Opt. (secured)</c:v>
                  </c:pt>
                  <c:pt idx="14">
                    <c:v>Result Update (R1)</c:v>
                  </c:pt>
                  <c:pt idx="15">
                    <c:v>Model Tuning &amp; Re-Evaluation</c:v>
                  </c:pt>
                  <c:pt idx="16">
                    <c:v>Result Update (R2)</c:v>
                  </c:pt>
                  <c:pt idx="17">
                    <c:v>Final Evaluation</c:v>
                  </c:pt>
                  <c:pt idx="18">
                    <c:v>Transition</c:v>
                  </c:pt>
                  <c:pt idx="19">
                    <c:v>Anomaly Detection</c:v>
                  </c:pt>
                  <c:pt idx="20">
                    <c:v>Project Planning</c:v>
                  </c:pt>
                  <c:pt idx="21">
                    <c:v>Business Requirement</c:v>
                  </c:pt>
                  <c:pt idx="22">
                    <c:v>Process &amp; Data Understanding</c:v>
                  </c:pt>
                  <c:pt idx="23">
                    <c:v>Data Collection &amp; Preparation</c:v>
                  </c:pt>
                  <c:pt idx="24">
                    <c:v>Model Training (HL)</c:v>
                  </c:pt>
                  <c:pt idx="25">
                    <c:v>Model Training (CC, XPC)</c:v>
                  </c:pt>
                  <c:pt idx="26">
                    <c:v>Forensic Validation (R1)</c:v>
                  </c:pt>
                  <c:pt idx="27">
                    <c:v>Model Tuning &amp; Re-Evaluation</c:v>
                  </c:pt>
                  <c:pt idx="28">
                    <c:v>Forensic Validation (R2)</c:v>
                  </c:pt>
                  <c:pt idx="29">
                    <c:v>Final Evaluation</c:v>
                  </c:pt>
                  <c:pt idx="30">
                    <c:v>Deployment Planning</c:v>
                  </c:pt>
                  <c:pt idx="31">
                    <c:v>Deployment Execution</c:v>
                  </c:pt>
                  <c:pt idx="32">
                    <c:v>Monitoring &amp; Transition</c:v>
                  </c:pt>
                  <c:pt idx="33">
                    <c:v>Committee approval</c:v>
                  </c:pt>
                  <c:pt idx="34">
                    <c:v>Material Preparation</c:v>
                  </c:pt>
                  <c:pt idx="35">
                    <c:v>Project Sign-off meeting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81F4-4935-A19D-36A2A302E2A2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45822</c:v>
                </c:pt>
                <c:pt idx="1">
                  <c:v>45822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81F4-4935-A19D-36A2A302E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094351"/>
        <c:axId val="1997078511"/>
      </c:scatterChart>
      <c:catAx>
        <c:axId val="199708379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997089071"/>
        <c:crosses val="autoZero"/>
        <c:auto val="1"/>
        <c:lblAlgn val="ctr"/>
        <c:lblOffset val="100"/>
        <c:noMultiLvlLbl val="0"/>
      </c:catAx>
      <c:valAx>
        <c:axId val="1997089071"/>
        <c:scaling>
          <c:orientation val="minMax"/>
          <c:max val="46054"/>
          <c:min val="4571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997083791"/>
        <c:crosses val="autoZero"/>
        <c:crossBetween val="between"/>
        <c:majorUnit val="61.36"/>
        <c:minorUnit val="30.68"/>
      </c:valAx>
      <c:valAx>
        <c:axId val="1997078511"/>
        <c:scaling>
          <c:orientation val="maxMin"/>
          <c:max val="37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1997094351"/>
        <c:crosses val="max"/>
        <c:crossBetween val="midCat"/>
      </c:valAx>
      <c:valAx>
        <c:axId val="1997094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7078511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6E4C634-337B-40BE-8E25-667F3D276705}">
  <sheetPr codeName="Chart83"/>
  <sheetViews>
    <sheetView tabSelected="1" zoomScale="16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2906" cy="6044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C98925-489C-BF99-4852-575A7547FF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165100</xdr:rowOff>
        </xdr:from>
        <xdr:to>
          <xdr:col>3</xdr:col>
          <xdr:colOff>1536700</xdr:colOff>
          <xdr:row>3</xdr:row>
          <xdr:rowOff>146050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2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Create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</xdr:row>
          <xdr:rowOff>19050</xdr:rowOff>
        </xdr:from>
        <xdr:to>
          <xdr:col>3</xdr:col>
          <xdr:colOff>1536700</xdr:colOff>
          <xdr:row>6</xdr:row>
          <xdr:rowOff>0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2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8</xdr:row>
      <xdr:rowOff>0</xdr:rowOff>
    </xdr:from>
    <xdr:to>
      <xdr:col>43</xdr:col>
      <xdr:colOff>304800</xdr:colOff>
      <xdr:row>47</xdr:row>
      <xdr:rowOff>0</xdr:rowOff>
    </xdr:to>
    <xdr:graphicFrame macro="">
      <xdr:nvGraphicFramePr>
        <xdr:cNvPr id="25626" name="GanttChart">
          <a:extLst>
            <a:ext uri="{FF2B5EF4-FFF2-40B4-BE49-F238E27FC236}">
              <a16:creationId xmlns:a16="http://schemas.microsoft.com/office/drawing/2014/main" id="{96599B1D-6C4E-15A5-5FFF-37C4E92E1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53" zoomScaleNormal="100" workbookViewId="0">
      <selection activeCell="B70" sqref="B70:B71"/>
    </sheetView>
  </sheetViews>
  <sheetFormatPr defaultColWidth="8" defaultRowHeight="14" x14ac:dyDescent="0.3"/>
  <cols>
    <col min="1" max="1" width="49" style="2" customWidth="1"/>
    <col min="2" max="2" width="12.08203125" style="2" customWidth="1"/>
    <col min="3" max="16384" width="8" style="2"/>
  </cols>
  <sheetData>
    <row r="1" spans="1:2" ht="20.25" customHeight="1" x14ac:dyDescent="0.3">
      <c r="A1" s="1" t="s">
        <v>0</v>
      </c>
      <c r="B1" s="1" t="s">
        <v>1</v>
      </c>
    </row>
    <row r="2" spans="1:2" ht="15" customHeight="1" x14ac:dyDescent="0.3">
      <c r="A2" s="3" t="s">
        <v>2</v>
      </c>
      <c r="B2" s="4">
        <v>44564</v>
      </c>
    </row>
    <row r="3" spans="1:2" ht="15" customHeight="1" x14ac:dyDescent="0.3">
      <c r="A3" s="3" t="s">
        <v>3</v>
      </c>
      <c r="B3" s="5">
        <v>44608</v>
      </c>
    </row>
    <row r="4" spans="1:2" ht="15" customHeight="1" x14ac:dyDescent="0.3">
      <c r="A4" s="3" t="s">
        <v>4</v>
      </c>
      <c r="B4" s="4">
        <v>44657</v>
      </c>
    </row>
    <row r="5" spans="1:2" ht="15" customHeight="1" x14ac:dyDescent="0.3">
      <c r="A5" s="3" t="s">
        <v>5</v>
      </c>
      <c r="B5" s="5">
        <v>44664</v>
      </c>
    </row>
    <row r="6" spans="1:2" ht="15" customHeight="1" x14ac:dyDescent="0.3">
      <c r="A6" s="3" t="s">
        <v>5</v>
      </c>
      <c r="B6" s="4">
        <v>44665</v>
      </c>
    </row>
    <row r="7" spans="1:2" ht="15" customHeight="1" x14ac:dyDescent="0.3">
      <c r="A7" s="6" t="s">
        <v>5</v>
      </c>
      <c r="B7" s="5">
        <v>44666</v>
      </c>
    </row>
    <row r="8" spans="1:2" ht="15" customHeight="1" x14ac:dyDescent="0.3">
      <c r="A8" s="7" t="s">
        <v>6</v>
      </c>
      <c r="B8" s="4">
        <v>44683</v>
      </c>
    </row>
    <row r="9" spans="1:2" ht="15" customHeight="1" x14ac:dyDescent="0.3">
      <c r="A9" s="3" t="s">
        <v>7</v>
      </c>
      <c r="B9" s="5">
        <v>44685</v>
      </c>
    </row>
    <row r="10" spans="1:2" ht="15" customHeight="1" x14ac:dyDescent="0.3">
      <c r="A10" s="3" t="s">
        <v>8</v>
      </c>
      <c r="B10" s="4">
        <v>44697</v>
      </c>
    </row>
    <row r="11" spans="1:2" ht="15" customHeight="1" x14ac:dyDescent="0.3">
      <c r="A11" s="3" t="s">
        <v>9</v>
      </c>
      <c r="B11" s="5">
        <v>44715</v>
      </c>
    </row>
    <row r="12" spans="1:2" ht="15" customHeight="1" x14ac:dyDescent="0.3">
      <c r="A12" s="3" t="s">
        <v>10</v>
      </c>
      <c r="B12" s="4">
        <v>44755</v>
      </c>
    </row>
    <row r="13" spans="1:2" ht="15" customHeight="1" x14ac:dyDescent="0.3">
      <c r="A13" s="3" t="s">
        <v>11</v>
      </c>
      <c r="B13" s="5">
        <v>44770</v>
      </c>
    </row>
    <row r="14" spans="1:2" ht="15" customHeight="1" x14ac:dyDescent="0.3">
      <c r="A14" s="3" t="s">
        <v>12</v>
      </c>
      <c r="B14" s="4">
        <v>44771</v>
      </c>
    </row>
    <row r="15" spans="1:2" ht="15" customHeight="1" x14ac:dyDescent="0.3">
      <c r="A15" s="3" t="s">
        <v>13</v>
      </c>
      <c r="B15" s="5">
        <v>44785</v>
      </c>
    </row>
    <row r="16" spans="1:2" ht="15" customHeight="1" x14ac:dyDescent="0.3">
      <c r="A16" s="3" t="s">
        <v>14</v>
      </c>
      <c r="B16" s="4">
        <v>44841</v>
      </c>
    </row>
    <row r="17" spans="1:2" ht="15" customHeight="1" x14ac:dyDescent="0.3">
      <c r="A17" s="3" t="s">
        <v>15</v>
      </c>
      <c r="B17" s="4">
        <v>44847</v>
      </c>
    </row>
    <row r="18" spans="1:2" ht="15" customHeight="1" x14ac:dyDescent="0.3">
      <c r="A18" s="3" t="s">
        <v>16</v>
      </c>
      <c r="B18" s="5">
        <v>44848</v>
      </c>
    </row>
    <row r="19" spans="1:2" ht="15" customHeight="1" x14ac:dyDescent="0.3">
      <c r="A19" s="3" t="s">
        <v>17</v>
      </c>
      <c r="B19" s="4">
        <v>44858</v>
      </c>
    </row>
    <row r="20" spans="1:2" ht="15" customHeight="1" x14ac:dyDescent="0.3">
      <c r="A20" s="3" t="s">
        <v>18</v>
      </c>
      <c r="B20" s="5">
        <v>44900</v>
      </c>
    </row>
    <row r="21" spans="1:2" ht="15" customHeight="1" x14ac:dyDescent="0.3">
      <c r="A21" s="3" t="s">
        <v>19</v>
      </c>
      <c r="B21" s="4">
        <v>44907</v>
      </c>
    </row>
    <row r="22" spans="1:2" ht="15" customHeight="1" x14ac:dyDescent="0.3">
      <c r="A22" s="3" t="s">
        <v>20</v>
      </c>
      <c r="B22" s="5">
        <v>44928</v>
      </c>
    </row>
    <row r="23" spans="1:2" ht="15" customHeight="1" x14ac:dyDescent="0.3">
      <c r="A23" s="3" t="s">
        <v>21</v>
      </c>
      <c r="B23" s="5">
        <v>44991</v>
      </c>
    </row>
    <row r="24" spans="1:2" ht="15" customHeight="1" x14ac:dyDescent="0.3">
      <c r="A24" s="3" t="s">
        <v>4</v>
      </c>
      <c r="B24" s="5">
        <v>45022</v>
      </c>
    </row>
    <row r="25" spans="1:2" ht="15" customHeight="1" x14ac:dyDescent="0.3">
      <c r="A25" s="3" t="s">
        <v>5</v>
      </c>
      <c r="B25" s="5">
        <v>45029</v>
      </c>
    </row>
    <row r="26" spans="1:2" ht="15" customHeight="1" x14ac:dyDescent="0.3">
      <c r="A26" s="3" t="s">
        <v>5</v>
      </c>
      <c r="B26" s="5">
        <v>45030</v>
      </c>
    </row>
    <row r="27" spans="1:2" ht="15" customHeight="1" x14ac:dyDescent="0.3">
      <c r="A27" s="3" t="s">
        <v>22</v>
      </c>
      <c r="B27" s="5">
        <v>45047</v>
      </c>
    </row>
    <row r="28" spans="1:2" ht="15" customHeight="1" x14ac:dyDescent="0.3">
      <c r="A28" s="3" t="s">
        <v>23</v>
      </c>
      <c r="B28" s="5">
        <v>45050</v>
      </c>
    </row>
    <row r="29" spans="1:2" ht="15" customHeight="1" x14ac:dyDescent="0.3">
      <c r="A29" s="3" t="s">
        <v>24</v>
      </c>
      <c r="B29" s="5">
        <v>45082</v>
      </c>
    </row>
    <row r="30" spans="1:2" ht="15" customHeight="1" x14ac:dyDescent="0.3">
      <c r="A30" s="3" t="s">
        <v>11</v>
      </c>
      <c r="B30" s="5">
        <v>45135</v>
      </c>
    </row>
    <row r="31" spans="1:2" ht="15" customHeight="1" x14ac:dyDescent="0.3">
      <c r="A31" s="3" t="s">
        <v>25</v>
      </c>
      <c r="B31" s="5">
        <v>45139</v>
      </c>
    </row>
    <row r="32" spans="1:2" ht="15" customHeight="1" x14ac:dyDescent="0.3">
      <c r="A32" s="3" t="s">
        <v>26</v>
      </c>
      <c r="B32" s="5">
        <v>45152</v>
      </c>
    </row>
    <row r="33" spans="1:2" ht="15" customHeight="1" x14ac:dyDescent="0.3">
      <c r="A33" s="3" t="s">
        <v>15</v>
      </c>
      <c r="B33" s="4">
        <v>45212</v>
      </c>
    </row>
    <row r="34" spans="1:2" ht="15" customHeight="1" x14ac:dyDescent="0.3">
      <c r="A34" s="3" t="s">
        <v>27</v>
      </c>
      <c r="B34" s="5">
        <v>45222</v>
      </c>
    </row>
    <row r="35" spans="1:2" ht="15" customHeight="1" x14ac:dyDescent="0.3">
      <c r="A35" s="3" t="s">
        <v>18</v>
      </c>
      <c r="B35" s="5">
        <v>45265</v>
      </c>
    </row>
    <row r="36" spans="1:2" ht="15" customHeight="1" x14ac:dyDescent="0.3">
      <c r="A36" s="3" t="s">
        <v>19</v>
      </c>
      <c r="B36" s="5">
        <v>45271</v>
      </c>
    </row>
    <row r="37" spans="1:2" ht="15" customHeight="1" x14ac:dyDescent="0.3">
      <c r="A37" s="3" t="s">
        <v>20</v>
      </c>
      <c r="B37" s="5">
        <v>45289</v>
      </c>
    </row>
    <row r="38" spans="1:2" ht="15" customHeight="1" x14ac:dyDescent="0.3">
      <c r="A38" s="3" t="s">
        <v>20</v>
      </c>
      <c r="B38" s="5">
        <v>45292</v>
      </c>
    </row>
    <row r="39" spans="1:2" ht="15" customHeight="1" x14ac:dyDescent="0.3">
      <c r="A39" s="3" t="s">
        <v>21</v>
      </c>
      <c r="B39" s="5">
        <v>45348</v>
      </c>
    </row>
    <row r="40" spans="1:2" ht="15" customHeight="1" x14ac:dyDescent="0.3">
      <c r="A40" s="3" t="s">
        <v>4</v>
      </c>
      <c r="B40" s="5">
        <v>45390</v>
      </c>
    </row>
    <row r="41" spans="1:2" ht="15" customHeight="1" x14ac:dyDescent="0.3">
      <c r="A41" s="3" t="s">
        <v>5</v>
      </c>
      <c r="B41" s="5">
        <v>45394</v>
      </c>
    </row>
    <row r="42" spans="1:2" ht="15" customHeight="1" x14ac:dyDescent="0.3">
      <c r="A42" s="3" t="s">
        <v>5</v>
      </c>
      <c r="B42" s="5">
        <v>45397</v>
      </c>
    </row>
    <row r="43" spans="1:2" ht="15" customHeight="1" x14ac:dyDescent="0.3">
      <c r="A43" s="3" t="s">
        <v>22</v>
      </c>
      <c r="B43" s="5">
        <v>45413</v>
      </c>
    </row>
    <row r="44" spans="1:2" ht="15" customHeight="1" x14ac:dyDescent="0.3">
      <c r="A44" s="3" t="s">
        <v>23</v>
      </c>
      <c r="B44" s="5">
        <v>45418</v>
      </c>
    </row>
    <row r="45" spans="1:2" ht="15" customHeight="1" x14ac:dyDescent="0.3">
      <c r="A45" s="3" t="s">
        <v>24</v>
      </c>
      <c r="B45" s="5">
        <v>45434</v>
      </c>
    </row>
    <row r="46" spans="1:2" ht="15" customHeight="1" x14ac:dyDescent="0.3">
      <c r="A46" s="3" t="s">
        <v>9</v>
      </c>
      <c r="B46" s="5">
        <v>45446</v>
      </c>
    </row>
    <row r="47" spans="1:2" ht="15" customHeight="1" x14ac:dyDescent="0.3">
      <c r="A47" s="3" t="s">
        <v>25</v>
      </c>
      <c r="B47" s="5">
        <v>45495</v>
      </c>
    </row>
    <row r="48" spans="1:2" ht="15" customHeight="1" x14ac:dyDescent="0.3">
      <c r="A48" s="3" t="s">
        <v>11</v>
      </c>
      <c r="B48" s="5">
        <v>45502</v>
      </c>
    </row>
    <row r="49" spans="1:2" ht="15" customHeight="1" x14ac:dyDescent="0.3">
      <c r="A49" s="3" t="s">
        <v>26</v>
      </c>
      <c r="B49" s="5">
        <v>45516</v>
      </c>
    </row>
    <row r="50" spans="1:2" ht="15" customHeight="1" x14ac:dyDescent="0.3">
      <c r="A50" s="3" t="s">
        <v>15</v>
      </c>
      <c r="B50" s="5">
        <v>45579</v>
      </c>
    </row>
    <row r="51" spans="1:2" ht="15" customHeight="1" x14ac:dyDescent="0.3">
      <c r="A51" s="3" t="s">
        <v>27</v>
      </c>
      <c r="B51" s="5">
        <v>45588</v>
      </c>
    </row>
    <row r="52" spans="1:2" ht="15" customHeight="1" x14ac:dyDescent="0.3">
      <c r="A52" s="3" t="s">
        <v>28</v>
      </c>
      <c r="B52" s="5">
        <v>45590</v>
      </c>
    </row>
    <row r="53" spans="1:2" ht="15" customHeight="1" x14ac:dyDescent="0.3">
      <c r="A53" s="3" t="s">
        <v>18</v>
      </c>
      <c r="B53" s="5">
        <v>45631</v>
      </c>
    </row>
    <row r="54" spans="1:2" ht="15" customHeight="1" x14ac:dyDescent="0.3">
      <c r="A54" s="3" t="s">
        <v>19</v>
      </c>
      <c r="B54" s="5">
        <v>45636</v>
      </c>
    </row>
    <row r="55" spans="1:2" ht="15" customHeight="1" x14ac:dyDescent="0.3">
      <c r="A55" s="3" t="s">
        <v>20</v>
      </c>
      <c r="B55" s="5">
        <v>45657</v>
      </c>
    </row>
    <row r="56" spans="1:2" ht="15" customHeight="1" x14ac:dyDescent="0.3">
      <c r="A56" s="3" t="s">
        <v>29</v>
      </c>
      <c r="B56" s="5">
        <v>45658</v>
      </c>
    </row>
    <row r="57" spans="1:2" ht="15" customHeight="1" x14ac:dyDescent="0.3">
      <c r="A57" s="3" t="s">
        <v>21</v>
      </c>
      <c r="B57" s="5">
        <v>45700</v>
      </c>
    </row>
    <row r="58" spans="1:2" ht="15" customHeight="1" x14ac:dyDescent="0.3">
      <c r="A58" s="3" t="s">
        <v>30</v>
      </c>
      <c r="B58" s="5">
        <v>45754</v>
      </c>
    </row>
    <row r="59" spans="1:2" ht="15" customHeight="1" x14ac:dyDescent="0.3">
      <c r="A59" s="3" t="s">
        <v>5</v>
      </c>
      <c r="B59" s="5">
        <v>45761</v>
      </c>
    </row>
    <row r="60" spans="1:2" ht="15" customHeight="1" x14ac:dyDescent="0.3">
      <c r="A60" s="3" t="s">
        <v>5</v>
      </c>
      <c r="B60" s="5">
        <v>45762</v>
      </c>
    </row>
    <row r="61" spans="1:2" ht="15" customHeight="1" x14ac:dyDescent="0.3">
      <c r="A61" s="3" t="s">
        <v>22</v>
      </c>
      <c r="B61" s="5">
        <v>45778</v>
      </c>
    </row>
    <row r="62" spans="1:2" ht="15" customHeight="1" x14ac:dyDescent="0.3">
      <c r="A62" s="3" t="s">
        <v>31</v>
      </c>
      <c r="B62" s="5">
        <v>45782</v>
      </c>
    </row>
    <row r="63" spans="1:2" ht="15" customHeight="1" x14ac:dyDescent="0.3">
      <c r="A63" s="3" t="s">
        <v>32</v>
      </c>
      <c r="B63" s="5">
        <v>45789</v>
      </c>
    </row>
    <row r="64" spans="1:2" ht="15" customHeight="1" x14ac:dyDescent="0.3">
      <c r="A64" s="3" t="s">
        <v>33</v>
      </c>
      <c r="B64" s="5">
        <v>45810</v>
      </c>
    </row>
    <row r="65" spans="1:2" ht="15" customHeight="1" x14ac:dyDescent="0.3">
      <c r="A65" s="3" t="s">
        <v>9</v>
      </c>
      <c r="B65" s="5">
        <v>45811</v>
      </c>
    </row>
    <row r="66" spans="1:2" ht="15" customHeight="1" x14ac:dyDescent="0.3">
      <c r="A66" s="3" t="s">
        <v>25</v>
      </c>
      <c r="B66" s="5">
        <v>45848</v>
      </c>
    </row>
    <row r="67" spans="1:2" ht="15" customHeight="1" x14ac:dyDescent="0.3">
      <c r="A67" s="3" t="s">
        <v>11</v>
      </c>
      <c r="B67" s="5">
        <v>45866</v>
      </c>
    </row>
    <row r="68" spans="1:2" ht="15" customHeight="1" x14ac:dyDescent="0.3">
      <c r="A68" s="3" t="s">
        <v>33</v>
      </c>
      <c r="B68" s="5">
        <v>45880</v>
      </c>
    </row>
    <row r="69" spans="1:2" ht="15" customHeight="1" x14ac:dyDescent="0.3">
      <c r="A69" s="3" t="s">
        <v>26</v>
      </c>
      <c r="B69" s="5">
        <v>45881</v>
      </c>
    </row>
    <row r="70" spans="1:2" ht="15" customHeight="1" x14ac:dyDescent="0.3">
      <c r="A70" s="3" t="s">
        <v>15</v>
      </c>
      <c r="B70" s="5">
        <v>45943</v>
      </c>
    </row>
    <row r="71" spans="1:2" ht="15" customHeight="1" x14ac:dyDescent="0.3">
      <c r="A71" s="3" t="s">
        <v>27</v>
      </c>
      <c r="B71" s="5">
        <v>45953</v>
      </c>
    </row>
    <row r="72" spans="1:2" ht="15" customHeight="1" x14ac:dyDescent="0.3">
      <c r="A72" s="3" t="s">
        <v>18</v>
      </c>
      <c r="B72" s="5">
        <v>45996</v>
      </c>
    </row>
    <row r="73" spans="1:2" ht="15" customHeight="1" x14ac:dyDescent="0.3">
      <c r="A73" s="3" t="s">
        <v>34</v>
      </c>
      <c r="B73" s="5">
        <v>46001</v>
      </c>
    </row>
    <row r="74" spans="1:2" ht="15" customHeight="1" x14ac:dyDescent="0.3">
      <c r="A74" s="3" t="s">
        <v>35</v>
      </c>
      <c r="B74" s="5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A1:AE47"/>
  <sheetViews>
    <sheetView showGridLines="0" topLeftCell="B1" zoomScaleNormal="100" workbookViewId="0">
      <selection activeCell="R56" sqref="R56"/>
    </sheetView>
  </sheetViews>
  <sheetFormatPr defaultColWidth="8" defaultRowHeight="13" outlineLevelCol="1" x14ac:dyDescent="0.3"/>
  <cols>
    <col min="1" max="1" width="3.58203125" style="8" customWidth="1"/>
    <col min="2" max="2" width="6.58203125" style="8" customWidth="1"/>
    <col min="3" max="3" width="30.58203125" style="8" customWidth="1"/>
    <col min="4" max="4" width="20.58203125" style="8" customWidth="1"/>
    <col min="5" max="5" width="27.5" style="8" hidden="1" customWidth="1" outlineLevel="1"/>
    <col min="6" max="6" width="10.58203125" style="8" customWidth="1" collapsed="1"/>
    <col min="7" max="8" width="7.58203125" style="8" customWidth="1"/>
    <col min="9" max="10" width="10.58203125" style="8" customWidth="1"/>
    <col min="11" max="13" width="7.58203125" style="8" customWidth="1"/>
    <col min="14" max="18" width="7.58203125" style="8" customWidth="1" outlineLevel="1"/>
    <col min="19" max="20" width="7.58203125" style="8" customWidth="1"/>
    <col min="21" max="30" width="7.58203125" style="8" hidden="1" customWidth="1" outlineLevel="1"/>
    <col min="31" max="31" width="2.58203125" style="8" customWidth="1" collapsed="1"/>
    <col min="32" max="16384" width="8" style="8"/>
  </cols>
  <sheetData>
    <row r="1" spans="1:30" ht="14" customHeight="1" x14ac:dyDescent="0.3">
      <c r="B1" s="8" t="s">
        <v>112</v>
      </c>
    </row>
    <row r="2" spans="1:30" ht="15" customHeight="1" x14ac:dyDescent="0.3">
      <c r="B2" s="32" t="s">
        <v>50</v>
      </c>
    </row>
    <row r="3" spans="1:30" ht="15" customHeight="1" x14ac:dyDescent="0.3">
      <c r="B3" s="127" t="s">
        <v>51</v>
      </c>
      <c r="C3" s="41" t="s">
        <v>150</v>
      </c>
    </row>
    <row r="4" spans="1:30" ht="15" customHeight="1" x14ac:dyDescent="0.3">
      <c r="B4" s="128" t="s">
        <v>52</v>
      </c>
      <c r="C4" s="43" t="s">
        <v>149</v>
      </c>
    </row>
    <row r="5" spans="1:30" ht="15" customHeight="1" x14ac:dyDescent="0.3">
      <c r="B5" s="129" t="s">
        <v>53</v>
      </c>
      <c r="C5" s="42">
        <f ca="1">TODAY()</f>
        <v>45822</v>
      </c>
      <c r="W5" s="55"/>
    </row>
    <row r="6" spans="1:30" ht="15" customHeight="1" x14ac:dyDescent="0.3">
      <c r="B6" s="129" t="s">
        <v>39</v>
      </c>
      <c r="C6" s="42">
        <f>MIN(I12:J47)</f>
        <v>45783</v>
      </c>
    </row>
    <row r="7" spans="1:30" ht="15" customHeight="1" x14ac:dyDescent="0.3">
      <c r="B7" s="129" t="s">
        <v>49</v>
      </c>
      <c r="C7" s="42">
        <f>MAX(I12:J47)</f>
        <v>46017</v>
      </c>
    </row>
    <row r="8" spans="1:30" ht="15" customHeight="1" x14ac:dyDescent="0.3">
      <c r="B8" s="130" t="s">
        <v>42</v>
      </c>
      <c r="C8" s="54" t="str">
        <f>TEXT(C7-C6,"#,##0") &amp; " days"</f>
        <v>234 days</v>
      </c>
    </row>
    <row r="9" spans="1:30" ht="15" customHeight="1" x14ac:dyDescent="0.3"/>
    <row r="10" spans="1:30" ht="15" customHeight="1" x14ac:dyDescent="0.3">
      <c r="A10" s="56"/>
      <c r="B10" s="165" t="s">
        <v>45</v>
      </c>
      <c r="C10" s="161" t="s">
        <v>37</v>
      </c>
      <c r="D10" s="161" t="s">
        <v>48</v>
      </c>
      <c r="E10" s="161" t="s">
        <v>55</v>
      </c>
      <c r="F10" s="161" t="s">
        <v>36</v>
      </c>
      <c r="G10" s="161" t="s">
        <v>42</v>
      </c>
      <c r="H10" s="161" t="s">
        <v>54</v>
      </c>
      <c r="I10" s="167" t="s">
        <v>39</v>
      </c>
      <c r="J10" s="167" t="s">
        <v>49</v>
      </c>
      <c r="K10" s="169" t="s">
        <v>56</v>
      </c>
      <c r="L10" s="167" t="s">
        <v>40</v>
      </c>
      <c r="M10" s="161" t="s">
        <v>41</v>
      </c>
      <c r="N10" s="162" t="s">
        <v>38</v>
      </c>
      <c r="O10" s="163"/>
      <c r="P10" s="163"/>
      <c r="Q10" s="163"/>
      <c r="R10" s="164"/>
      <c r="S10" s="161" t="s">
        <v>115</v>
      </c>
      <c r="T10" s="157" t="s">
        <v>159</v>
      </c>
      <c r="U10" s="159" t="s">
        <v>116</v>
      </c>
      <c r="V10" s="159"/>
      <c r="W10" s="159"/>
      <c r="X10" s="159"/>
      <c r="Y10" s="159"/>
      <c r="Z10" s="159"/>
      <c r="AA10" s="159"/>
      <c r="AB10" s="159"/>
      <c r="AC10" s="159"/>
      <c r="AD10" s="160"/>
    </row>
    <row r="11" spans="1:30" ht="15" customHeight="1" x14ac:dyDescent="0.3">
      <c r="A11" s="56"/>
      <c r="B11" s="166"/>
      <c r="C11" s="158"/>
      <c r="D11" s="158"/>
      <c r="E11" s="158"/>
      <c r="F11" s="158"/>
      <c r="G11" s="158"/>
      <c r="H11" s="158"/>
      <c r="I11" s="168"/>
      <c r="J11" s="168"/>
      <c r="K11" s="168"/>
      <c r="L11" s="168"/>
      <c r="M11" s="158"/>
      <c r="N11" s="44" t="s">
        <v>43</v>
      </c>
      <c r="O11" s="44" t="s">
        <v>44</v>
      </c>
      <c r="P11" s="45" t="s">
        <v>47</v>
      </c>
      <c r="Q11" s="45" t="s">
        <v>46</v>
      </c>
      <c r="R11" s="44" t="s">
        <v>182</v>
      </c>
      <c r="S11" s="158" t="s">
        <v>114</v>
      </c>
      <c r="T11" s="158" t="s">
        <v>114</v>
      </c>
      <c r="U11" s="131" t="s">
        <v>111</v>
      </c>
      <c r="V11" s="57" t="s">
        <v>117</v>
      </c>
      <c r="W11" s="57" t="s">
        <v>118</v>
      </c>
      <c r="X11" s="57" t="s">
        <v>181</v>
      </c>
      <c r="Y11" s="57" t="s">
        <v>141</v>
      </c>
      <c r="Z11" s="57" t="s">
        <v>57</v>
      </c>
      <c r="AA11" s="57" t="s">
        <v>58</v>
      </c>
      <c r="AB11" s="57" t="s">
        <v>59</v>
      </c>
      <c r="AC11" s="57" t="s">
        <v>60</v>
      </c>
      <c r="AD11" s="99" t="s">
        <v>61</v>
      </c>
    </row>
    <row r="12" spans="1:30" ht="12" customHeight="1" x14ac:dyDescent="0.3">
      <c r="A12" s="56"/>
      <c r="B12" s="58">
        <v>1</v>
      </c>
      <c r="C12" s="47" t="s">
        <v>62</v>
      </c>
      <c r="D12" s="47" t="s">
        <v>184</v>
      </c>
      <c r="E12" s="59" t="s">
        <v>63</v>
      </c>
      <c r="F12" s="48">
        <f>I12</f>
        <v>45783</v>
      </c>
      <c r="G12" s="60">
        <f>NETWORKDAYS(I12,J12-1,holidays)</f>
        <v>157</v>
      </c>
      <c r="H12" s="49">
        <f>B12</f>
        <v>1</v>
      </c>
      <c r="I12" s="48">
        <f>MIN(I13:I47)</f>
        <v>45783</v>
      </c>
      <c r="J12" s="48">
        <f>MAX(J13:J47)</f>
        <v>46017</v>
      </c>
      <c r="K12" s="61">
        <f>J12-I12</f>
        <v>234</v>
      </c>
      <c r="L12" s="51" cm="1">
        <f t="array" aca="1" ref="L12" ca="1">WeightedProgress(L13:L47,G13:G47)</f>
        <v>0.26888667992047716</v>
      </c>
      <c r="M12" s="52" cm="1">
        <f t="array" aca="1" ref="M12" ca="1">WeightedProgress(M13:M47,G13:G47)</f>
        <v>0.26888667992047716</v>
      </c>
      <c r="N12" s="50">
        <f t="shared" ref="N12:N47" ca="1" si="0">IF(M12&lt;L12,K12,0)</f>
        <v>0</v>
      </c>
      <c r="O12" s="50">
        <f t="shared" ref="O12:O47" ca="1" si="1">IF(M12=1,K12,0)</f>
        <v>0</v>
      </c>
      <c r="P12" s="50">
        <f t="shared" ref="P12:P47" ca="1" si="2">IF(AND(M12&gt;=L12,M12&gt;0,M12&lt;1),K12,0)</f>
        <v>234</v>
      </c>
      <c r="Q12" s="50">
        <f t="shared" ref="Q12:Q47" ca="1" si="3">K12-SUM(N12:P12)</f>
        <v>0</v>
      </c>
      <c r="R12" s="53" t="str">
        <f t="shared" ref="R12:R47" ca="1" si="4">IF(G12&gt;0,IF(AND(M12&gt;0,M12&lt;1),ROUND(M12*100,0)&amp;"% ("&amp;ROUND(L12*100,0)&amp;"%)",ROUND(M12*100,0)&amp;"%"),"")</f>
        <v>27% (27%)</v>
      </c>
      <c r="S12" s="110" t="b">
        <v>1</v>
      </c>
      <c r="T12" s="110" t="s">
        <v>161</v>
      </c>
      <c r="U12" s="132">
        <v>0</v>
      </c>
      <c r="V12" s="52">
        <v>0</v>
      </c>
      <c r="W12" s="52">
        <v>0</v>
      </c>
      <c r="X12" s="52">
        <v>0</v>
      </c>
      <c r="Y12" s="52"/>
      <c r="Z12" s="52"/>
      <c r="AA12" s="52"/>
      <c r="AB12" s="52"/>
      <c r="AC12" s="52"/>
      <c r="AD12" s="100"/>
    </row>
    <row r="13" spans="1:30" ht="12" customHeight="1" x14ac:dyDescent="0.3">
      <c r="A13" s="56"/>
      <c r="B13" s="33">
        <f t="shared" ref="B13:B47" si="5">B12+1</f>
        <v>2</v>
      </c>
      <c r="C13" s="34" t="s">
        <v>64</v>
      </c>
      <c r="D13" s="34" t="s">
        <v>64</v>
      </c>
      <c r="E13" s="62" t="s">
        <v>137</v>
      </c>
      <c r="F13" s="35">
        <f>I13</f>
        <v>45783</v>
      </c>
      <c r="G13" s="63">
        <f>NETWORKDAYS(I13,J13-1,holidays)</f>
        <v>27</v>
      </c>
      <c r="H13" s="36">
        <f>B13</f>
        <v>2</v>
      </c>
      <c r="I13" s="35">
        <f>MIN(I14:I18)</f>
        <v>45783</v>
      </c>
      <c r="J13" s="35">
        <f>MAX(J14:J18)</f>
        <v>45825</v>
      </c>
      <c r="K13" s="64">
        <f>J13-I13</f>
        <v>42</v>
      </c>
      <c r="L13" s="38" cm="1">
        <f t="array" aca="1" ref="L13" ca="1">WeightedProgress(L14:L18,G14:G18)</f>
        <v>0.98333333333333328</v>
      </c>
      <c r="M13" s="39" cm="1">
        <f t="array" aca="1" ref="M13" ca="1">WeightedProgress(M14:M18,G14:G18)</f>
        <v>0.98333333333333328</v>
      </c>
      <c r="N13" s="37">
        <f t="shared" ca="1" si="0"/>
        <v>0</v>
      </c>
      <c r="O13" s="37">
        <f t="shared" ca="1" si="1"/>
        <v>0</v>
      </c>
      <c r="P13" s="37">
        <f t="shared" ca="1" si="2"/>
        <v>42</v>
      </c>
      <c r="Q13" s="37">
        <f t="shared" ca="1" si="3"/>
        <v>0</v>
      </c>
      <c r="R13" s="40" t="str">
        <f t="shared" ca="1" si="4"/>
        <v>98% (98%)</v>
      </c>
      <c r="S13" s="111" t="b">
        <v>1</v>
      </c>
      <c r="T13" s="111" t="s">
        <v>160</v>
      </c>
      <c r="U13" s="133">
        <v>0</v>
      </c>
      <c r="V13" s="39">
        <v>0</v>
      </c>
      <c r="W13" s="39">
        <v>0</v>
      </c>
      <c r="X13" s="39">
        <v>0</v>
      </c>
      <c r="Y13" s="39"/>
      <c r="Z13" s="39"/>
      <c r="AA13" s="39"/>
      <c r="AB13" s="39"/>
      <c r="AC13" s="39"/>
      <c r="AD13" s="101"/>
    </row>
    <row r="14" spans="1:30" ht="12" customHeight="1" x14ac:dyDescent="0.3">
      <c r="A14" s="56"/>
      <c r="B14" s="9">
        <f t="shared" si="5"/>
        <v>3</v>
      </c>
      <c r="C14" s="29" t="s">
        <v>65</v>
      </c>
      <c r="D14" s="29" t="s">
        <v>66</v>
      </c>
      <c r="E14" s="29" t="s">
        <v>67</v>
      </c>
      <c r="F14" s="10">
        <v>45782</v>
      </c>
      <c r="G14" s="65">
        <v>12</v>
      </c>
      <c r="H14" s="11">
        <f>H13</f>
        <v>2</v>
      </c>
      <c r="I14" s="12">
        <f>IFERROR(WORKDAY(F14-1,1,holidays),0)</f>
        <v>45783</v>
      </c>
      <c r="J14" s="12" cm="1">
        <f t="array" ref="J14">FinishDate(I14,G14,holidays)</f>
        <v>45800</v>
      </c>
      <c r="K14" s="66">
        <f>J14-I14</f>
        <v>17</v>
      </c>
      <c r="L14" s="24" cm="1">
        <f t="array" aca="1" ref="L14" ca="1">AutoProgress(I14,J14,holidays,$C$5)</f>
        <v>1</v>
      </c>
      <c r="M14" s="25">
        <f ca="1">L14</f>
        <v>1</v>
      </c>
      <c r="N14" s="13">
        <f t="shared" ca="1" si="0"/>
        <v>0</v>
      </c>
      <c r="O14" s="13">
        <f t="shared" ca="1" si="1"/>
        <v>17</v>
      </c>
      <c r="P14" s="13">
        <f t="shared" ca="1" si="2"/>
        <v>0</v>
      </c>
      <c r="Q14" s="13">
        <f t="shared" ca="1" si="3"/>
        <v>0</v>
      </c>
      <c r="R14" s="14" t="str">
        <f t="shared" ca="1" si="4"/>
        <v>100%</v>
      </c>
      <c r="S14" s="112" t="s">
        <v>183</v>
      </c>
      <c r="T14" s="112" t="s">
        <v>160</v>
      </c>
      <c r="U14" s="134">
        <f>1/G14</f>
        <v>8.3333333333333329E-2</v>
      </c>
      <c r="V14" s="25">
        <f>U14</f>
        <v>8.3333333333333329E-2</v>
      </c>
      <c r="W14" s="25">
        <v>0</v>
      </c>
      <c r="X14" s="25">
        <v>0</v>
      </c>
      <c r="Y14" s="25"/>
      <c r="Z14" s="25"/>
      <c r="AA14" s="25"/>
      <c r="AB14" s="25"/>
      <c r="AC14" s="25"/>
      <c r="AD14" s="102"/>
    </row>
    <row r="15" spans="1:30" ht="12" customHeight="1" x14ac:dyDescent="0.3">
      <c r="A15" s="56"/>
      <c r="B15" s="9">
        <f t="shared" si="5"/>
        <v>4</v>
      </c>
      <c r="C15" s="29" t="s">
        <v>68</v>
      </c>
      <c r="D15" s="29" t="s">
        <v>69</v>
      </c>
      <c r="E15" s="29" t="s">
        <v>70</v>
      </c>
      <c r="F15" s="10">
        <f>F14</f>
        <v>45782</v>
      </c>
      <c r="G15" s="65">
        <f>G14</f>
        <v>12</v>
      </c>
      <c r="H15" s="11">
        <f>H14</f>
        <v>2</v>
      </c>
      <c r="I15" s="12">
        <f>IFERROR(WORKDAY(F15-1,1,holidays),0)</f>
        <v>45783</v>
      </c>
      <c r="J15" s="12" cm="1">
        <f t="array" ref="J15">FinishDate(I15,G15,holidays)</f>
        <v>45800</v>
      </c>
      <c r="K15" s="66">
        <f t="shared" ref="K15:K30" si="6">J15-I15</f>
        <v>17</v>
      </c>
      <c r="L15" s="24" cm="1">
        <f t="array" aca="1" ref="L15" ca="1">AutoProgress(I15,J15,holidays,$C$5)</f>
        <v>1</v>
      </c>
      <c r="M15" s="25">
        <f ca="1">L15</f>
        <v>1</v>
      </c>
      <c r="N15" s="13">
        <f t="shared" ca="1" si="0"/>
        <v>0</v>
      </c>
      <c r="O15" s="13">
        <f t="shared" ca="1" si="1"/>
        <v>17</v>
      </c>
      <c r="P15" s="13">
        <f t="shared" ca="1" si="2"/>
        <v>0</v>
      </c>
      <c r="Q15" s="13">
        <f t="shared" ca="1" si="3"/>
        <v>0</v>
      </c>
      <c r="R15" s="14" t="str">
        <f t="shared" ca="1" si="4"/>
        <v>100%</v>
      </c>
      <c r="S15" s="113" t="b">
        <v>0</v>
      </c>
      <c r="T15" s="113" t="s">
        <v>160</v>
      </c>
      <c r="U15" s="134">
        <f>1/G15</f>
        <v>8.3333333333333329E-2</v>
      </c>
      <c r="V15" s="25">
        <f>U15</f>
        <v>8.3333333333333329E-2</v>
      </c>
      <c r="W15" s="25">
        <v>0</v>
      </c>
      <c r="X15" s="25">
        <v>0</v>
      </c>
      <c r="Y15" s="25"/>
      <c r="Z15" s="25"/>
      <c r="AA15" s="25"/>
      <c r="AB15" s="25"/>
      <c r="AC15" s="25"/>
      <c r="AD15" s="102"/>
    </row>
    <row r="16" spans="1:30" ht="12" customHeight="1" x14ac:dyDescent="0.3">
      <c r="A16" s="56"/>
      <c r="B16" s="9">
        <f t="shared" si="5"/>
        <v>5</v>
      </c>
      <c r="C16" s="29" t="s">
        <v>71</v>
      </c>
      <c r="D16" s="29" t="s">
        <v>72</v>
      </c>
      <c r="E16" s="29" t="s">
        <v>73</v>
      </c>
      <c r="F16" s="10">
        <f>F15</f>
        <v>45782</v>
      </c>
      <c r="G16" s="65">
        <f>G15</f>
        <v>12</v>
      </c>
      <c r="H16" s="11">
        <f>H15</f>
        <v>2</v>
      </c>
      <c r="I16" s="12">
        <f>IFERROR(WORKDAY(F16-1,1,holidays),0)</f>
        <v>45783</v>
      </c>
      <c r="J16" s="12" cm="1">
        <f t="array" ref="J16">FinishDate(I16,G16,holidays)</f>
        <v>45800</v>
      </c>
      <c r="K16" s="66">
        <f t="shared" si="6"/>
        <v>17</v>
      </c>
      <c r="L16" s="24" cm="1">
        <f t="array" aca="1" ref="L16" ca="1">AutoProgress(I16,J16,holidays,$C$5)</f>
        <v>1</v>
      </c>
      <c r="M16" s="25">
        <f ca="1">L16</f>
        <v>1</v>
      </c>
      <c r="N16" s="13">
        <f t="shared" ca="1" si="0"/>
        <v>0</v>
      </c>
      <c r="O16" s="13">
        <f t="shared" ca="1" si="1"/>
        <v>17</v>
      </c>
      <c r="P16" s="13">
        <f t="shared" ca="1" si="2"/>
        <v>0</v>
      </c>
      <c r="Q16" s="13">
        <f t="shared" ca="1" si="3"/>
        <v>0</v>
      </c>
      <c r="R16" s="14" t="str">
        <f t="shared" ca="1" si="4"/>
        <v>100%</v>
      </c>
      <c r="S16" s="112" t="b">
        <v>0</v>
      </c>
      <c r="T16" s="112" t="s">
        <v>160</v>
      </c>
      <c r="U16" s="134">
        <f>2/G16</f>
        <v>0.16666666666666666</v>
      </c>
      <c r="V16" s="25">
        <f>U16</f>
        <v>0.16666666666666666</v>
      </c>
      <c r="W16" s="25">
        <v>0</v>
      </c>
      <c r="X16" s="25">
        <v>0</v>
      </c>
      <c r="Y16" s="25"/>
      <c r="Z16" s="25"/>
      <c r="AA16" s="25"/>
      <c r="AB16" s="25"/>
      <c r="AC16" s="25"/>
      <c r="AD16" s="102"/>
    </row>
    <row r="17" spans="1:30" ht="12" customHeight="1" x14ac:dyDescent="0.3">
      <c r="A17" s="56"/>
      <c r="B17" s="9">
        <f t="shared" si="5"/>
        <v>6</v>
      </c>
      <c r="C17" s="29" t="s">
        <v>74</v>
      </c>
      <c r="D17" s="29" t="s">
        <v>75</v>
      </c>
      <c r="E17" s="29" t="s">
        <v>76</v>
      </c>
      <c r="F17" s="10">
        <f>J16+3</f>
        <v>45803</v>
      </c>
      <c r="G17" s="65">
        <v>10</v>
      </c>
      <c r="H17" s="11">
        <f>H16</f>
        <v>2</v>
      </c>
      <c r="I17" s="12">
        <f>IFERROR(WORKDAY(F17-1,1,holidays),0)</f>
        <v>45803</v>
      </c>
      <c r="J17" s="12" cm="1">
        <f t="array" ref="J17">FinishDate(I17,G17,holidays)</f>
        <v>45819</v>
      </c>
      <c r="K17" s="66">
        <f t="shared" si="6"/>
        <v>16</v>
      </c>
      <c r="L17" s="24" cm="1">
        <f t="array" aca="1" ref="L17" ca="1">AutoProgress(I17,J17,holidays,$C$5)</f>
        <v>1</v>
      </c>
      <c r="M17" s="25">
        <f ca="1">L17</f>
        <v>1</v>
      </c>
      <c r="N17" s="13">
        <f t="shared" ca="1" si="0"/>
        <v>0</v>
      </c>
      <c r="O17" s="13">
        <f t="shared" ca="1" si="1"/>
        <v>16</v>
      </c>
      <c r="P17" s="13">
        <f t="shared" ca="1" si="2"/>
        <v>0</v>
      </c>
      <c r="Q17" s="13">
        <f t="shared" ca="1" si="3"/>
        <v>0</v>
      </c>
      <c r="R17" s="14" t="str">
        <f t="shared" ca="1" si="4"/>
        <v>100%</v>
      </c>
      <c r="S17" s="113" t="b">
        <v>1</v>
      </c>
      <c r="T17" s="113" t="s">
        <v>160</v>
      </c>
      <c r="U17" s="134">
        <f>2/G17</f>
        <v>0.2</v>
      </c>
      <c r="V17" s="25">
        <f>U17</f>
        <v>0.2</v>
      </c>
      <c r="W17" s="25">
        <v>0</v>
      </c>
      <c r="X17" s="25">
        <v>0</v>
      </c>
      <c r="Y17" s="25"/>
      <c r="Z17" s="25"/>
      <c r="AA17" s="25"/>
      <c r="AB17" s="25"/>
      <c r="AC17" s="25"/>
      <c r="AD17" s="102"/>
    </row>
    <row r="18" spans="1:30" ht="12" customHeight="1" x14ac:dyDescent="0.3">
      <c r="A18" s="56"/>
      <c r="B18" s="15">
        <f t="shared" si="5"/>
        <v>7</v>
      </c>
      <c r="C18" s="30" t="s">
        <v>77</v>
      </c>
      <c r="D18" s="30" t="s">
        <v>78</v>
      </c>
      <c r="E18" s="30" t="s">
        <v>79</v>
      </c>
      <c r="F18" s="16">
        <f>F17</f>
        <v>45803</v>
      </c>
      <c r="G18" s="67">
        <v>14</v>
      </c>
      <c r="H18" s="17">
        <f>H17</f>
        <v>2</v>
      </c>
      <c r="I18" s="18">
        <f>IFERROR(WORKDAY(F18-1,1,holidays),0)</f>
        <v>45803</v>
      </c>
      <c r="J18" s="18" cm="1">
        <f t="array" ref="J18">FinishDate(I18,G18,holidays)</f>
        <v>45825</v>
      </c>
      <c r="K18" s="68">
        <f t="shared" si="6"/>
        <v>22</v>
      </c>
      <c r="L18" s="26" cm="1">
        <f t="array" aca="1" ref="L18" ca="1">AutoProgress(I18,J18,holidays,$C$5)</f>
        <v>0.9285714285714286</v>
      </c>
      <c r="M18" s="27">
        <f ca="1">L18</f>
        <v>0.9285714285714286</v>
      </c>
      <c r="N18" s="19">
        <f t="shared" ca="1" si="0"/>
        <v>0</v>
      </c>
      <c r="O18" s="19">
        <f t="shared" ca="1" si="1"/>
        <v>0</v>
      </c>
      <c r="P18" s="19">
        <f t="shared" ca="1" si="2"/>
        <v>22</v>
      </c>
      <c r="Q18" s="19">
        <f t="shared" ca="1" si="3"/>
        <v>0</v>
      </c>
      <c r="R18" s="20" t="str">
        <f t="shared" ca="1" si="4"/>
        <v>93% (93%)</v>
      </c>
      <c r="S18" s="114" t="b">
        <v>1</v>
      </c>
      <c r="T18" s="114" t="s">
        <v>160</v>
      </c>
      <c r="U18" s="135">
        <f>1/G18</f>
        <v>7.1428571428571425E-2</v>
      </c>
      <c r="V18" s="27">
        <f>U18</f>
        <v>7.1428571428571425E-2</v>
      </c>
      <c r="W18" s="27">
        <v>0</v>
      </c>
      <c r="X18" s="27">
        <v>0</v>
      </c>
      <c r="Y18" s="27"/>
      <c r="Z18" s="27"/>
      <c r="AA18" s="27"/>
      <c r="AB18" s="27"/>
      <c r="AC18" s="27"/>
      <c r="AD18" s="69"/>
    </row>
    <row r="19" spans="1:30" ht="12" customHeight="1" x14ac:dyDescent="0.3">
      <c r="A19" s="56"/>
      <c r="B19" s="70">
        <f t="shared" si="5"/>
        <v>8</v>
      </c>
      <c r="C19" s="71" t="s">
        <v>124</v>
      </c>
      <c r="D19" s="71" t="s">
        <v>178</v>
      </c>
      <c r="E19" s="71" t="s">
        <v>132</v>
      </c>
      <c r="F19" s="72">
        <f>I19</f>
        <v>45791</v>
      </c>
      <c r="G19" s="73">
        <f>NETWORKDAYS(I19,J19-1,holidays)</f>
        <v>93</v>
      </c>
      <c r="H19" s="74">
        <f>B19</f>
        <v>8</v>
      </c>
      <c r="I19" s="72">
        <f>MIN(I20:I30)</f>
        <v>45791</v>
      </c>
      <c r="J19" s="72">
        <f>MAX(J20:J30)</f>
        <v>45930</v>
      </c>
      <c r="K19" s="75">
        <f t="shared" si="6"/>
        <v>139</v>
      </c>
      <c r="L19" s="76" cm="1">
        <f t="array" aca="1" ref="L19" ca="1">WeightedProgress(L20:L30,G20:G30)</f>
        <v>0.23333333333333334</v>
      </c>
      <c r="M19" s="77" cm="1">
        <f t="array" aca="1" ref="M19" ca="1">WeightedProgress(M20:M30,G20:G30)</f>
        <v>0.23333333333333334</v>
      </c>
      <c r="N19" s="78">
        <f t="shared" ca="1" si="0"/>
        <v>0</v>
      </c>
      <c r="O19" s="78">
        <f t="shared" ca="1" si="1"/>
        <v>0</v>
      </c>
      <c r="P19" s="78">
        <f t="shared" ca="1" si="2"/>
        <v>139</v>
      </c>
      <c r="Q19" s="78">
        <f t="shared" ca="1" si="3"/>
        <v>0</v>
      </c>
      <c r="R19" s="79" t="str">
        <f t="shared" ca="1" si="4"/>
        <v>23% (23%)</v>
      </c>
      <c r="S19" s="115" t="b">
        <v>1</v>
      </c>
      <c r="T19" s="115" t="s">
        <v>162</v>
      </c>
      <c r="U19" s="136">
        <v>0</v>
      </c>
      <c r="V19" s="77">
        <v>0</v>
      </c>
      <c r="W19" s="77">
        <v>0</v>
      </c>
      <c r="X19" s="77">
        <v>0</v>
      </c>
      <c r="Y19" s="77"/>
      <c r="Z19" s="77"/>
      <c r="AA19" s="77"/>
      <c r="AB19" s="77"/>
      <c r="AC19" s="77"/>
      <c r="AD19" s="103"/>
    </row>
    <row r="20" spans="1:30" ht="12" customHeight="1" x14ac:dyDescent="0.3">
      <c r="A20" s="56"/>
      <c r="B20" s="9">
        <f t="shared" si="5"/>
        <v>9</v>
      </c>
      <c r="C20" s="29" t="s">
        <v>80</v>
      </c>
      <c r="D20" s="29" t="s">
        <v>125</v>
      </c>
      <c r="E20" s="29" t="s">
        <v>81</v>
      </c>
      <c r="F20" s="10">
        <v>45791</v>
      </c>
      <c r="G20" s="65">
        <v>10</v>
      </c>
      <c r="H20" s="11">
        <f>H19</f>
        <v>8</v>
      </c>
      <c r="I20" s="12">
        <f t="shared" ref="I20:I30" si="7">IFERROR(WORKDAY(F20-1,1,holidays),0)</f>
        <v>45791</v>
      </c>
      <c r="J20" s="12" cm="1">
        <f t="array" ref="J20">FinishDate(I20,G20,holidays)</f>
        <v>45805</v>
      </c>
      <c r="K20" s="66">
        <f t="shared" si="6"/>
        <v>14</v>
      </c>
      <c r="L20" s="24" cm="1">
        <f t="array" aca="1" ref="L20" ca="1">AutoProgress(I20,J20,holidays,$C$5)</f>
        <v>1</v>
      </c>
      <c r="M20" s="25">
        <f t="shared" ref="M20:M30" ca="1" si="8">L20</f>
        <v>1</v>
      </c>
      <c r="N20" s="13">
        <f t="shared" ca="1" si="0"/>
        <v>0</v>
      </c>
      <c r="O20" s="13">
        <f t="shared" ca="1" si="1"/>
        <v>14</v>
      </c>
      <c r="P20" s="13">
        <f t="shared" ca="1" si="2"/>
        <v>0</v>
      </c>
      <c r="Q20" s="13">
        <f t="shared" ca="1" si="3"/>
        <v>0</v>
      </c>
      <c r="R20" s="14" t="str">
        <f t="shared" ca="1" si="4"/>
        <v>100%</v>
      </c>
      <c r="S20" s="113" t="b">
        <v>1</v>
      </c>
      <c r="T20" s="113" t="s">
        <v>162</v>
      </c>
      <c r="U20" s="134">
        <f>2/G20</f>
        <v>0.2</v>
      </c>
      <c r="V20" s="25">
        <v>0.2</v>
      </c>
      <c r="W20" s="25">
        <v>0.2</v>
      </c>
      <c r="X20" s="25">
        <v>0.2</v>
      </c>
      <c r="Y20" s="25"/>
      <c r="Z20" s="25"/>
      <c r="AA20" s="25"/>
      <c r="AB20" s="25"/>
      <c r="AC20" s="25"/>
      <c r="AD20" s="102"/>
    </row>
    <row r="21" spans="1:30" ht="12" customHeight="1" x14ac:dyDescent="0.3">
      <c r="A21" s="56"/>
      <c r="B21" s="9">
        <f t="shared" si="5"/>
        <v>10</v>
      </c>
      <c r="C21" s="29" t="s">
        <v>82</v>
      </c>
      <c r="D21" s="29" t="s">
        <v>180</v>
      </c>
      <c r="E21" s="29" t="s">
        <v>140</v>
      </c>
      <c r="F21" s="10">
        <f>J20</f>
        <v>45805</v>
      </c>
      <c r="G21" s="65">
        <v>10</v>
      </c>
      <c r="H21" s="11">
        <f t="shared" ref="H21:H30" si="9">H20</f>
        <v>8</v>
      </c>
      <c r="I21" s="12">
        <f t="shared" si="7"/>
        <v>45805</v>
      </c>
      <c r="J21" s="12" cm="1">
        <f t="array" ref="J21">FinishDate(I21,G21,holidays)</f>
        <v>45821</v>
      </c>
      <c r="K21" s="66">
        <f t="shared" si="6"/>
        <v>16</v>
      </c>
      <c r="L21" s="24" cm="1">
        <f t="array" aca="1" ref="L21" ca="1">AutoProgress(I21,J21,holidays,$C$5)</f>
        <v>1</v>
      </c>
      <c r="M21" s="25">
        <f t="shared" ca="1" si="8"/>
        <v>1</v>
      </c>
      <c r="N21" s="13">
        <f t="shared" ca="1" si="0"/>
        <v>0</v>
      </c>
      <c r="O21" s="13">
        <f t="shared" ca="1" si="1"/>
        <v>16</v>
      </c>
      <c r="P21" s="13">
        <f t="shared" ca="1" si="2"/>
        <v>0</v>
      </c>
      <c r="Q21" s="13">
        <f t="shared" ca="1" si="3"/>
        <v>0</v>
      </c>
      <c r="R21" s="14" t="str">
        <f t="shared" ca="1" si="4"/>
        <v>100%</v>
      </c>
      <c r="S21" s="113" t="b">
        <v>1</v>
      </c>
      <c r="T21" s="113" t="s">
        <v>162</v>
      </c>
      <c r="U21" s="134">
        <f>2/G21</f>
        <v>0.2</v>
      </c>
      <c r="V21" s="25">
        <v>0.2</v>
      </c>
      <c r="W21" s="25">
        <v>0.2</v>
      </c>
      <c r="X21" s="25">
        <v>0.2</v>
      </c>
      <c r="Y21" s="25"/>
      <c r="Z21" s="25"/>
      <c r="AA21" s="25"/>
      <c r="AB21" s="25"/>
      <c r="AC21" s="25"/>
      <c r="AD21" s="102"/>
    </row>
    <row r="22" spans="1:30" ht="12" customHeight="1" x14ac:dyDescent="0.3">
      <c r="A22" s="56"/>
      <c r="B22" s="9">
        <f t="shared" si="5"/>
        <v>11</v>
      </c>
      <c r="C22" s="29" t="s">
        <v>83</v>
      </c>
      <c r="D22" s="29" t="s">
        <v>84</v>
      </c>
      <c r="E22" s="29" t="s">
        <v>131</v>
      </c>
      <c r="F22" s="10">
        <f>F21+5</f>
        <v>45810</v>
      </c>
      <c r="G22" s="65">
        <v>15</v>
      </c>
      <c r="H22" s="11">
        <f t="shared" si="9"/>
        <v>8</v>
      </c>
      <c r="I22" s="12">
        <f t="shared" si="7"/>
        <v>45812</v>
      </c>
      <c r="J22" s="12" cm="1">
        <f t="array" ref="J22">FinishDate(I22,G22,holidays)</f>
        <v>45833</v>
      </c>
      <c r="K22" s="66">
        <f t="shared" si="6"/>
        <v>21</v>
      </c>
      <c r="L22" s="24" cm="1">
        <f t="array" aca="1" ref="L22" ca="1">AutoProgress(I22,J22,holidays,$C$5)</f>
        <v>0.53333333333333333</v>
      </c>
      <c r="M22" s="25">
        <f t="shared" ca="1" si="8"/>
        <v>0.53333333333333333</v>
      </c>
      <c r="N22" s="13">
        <f t="shared" ca="1" si="0"/>
        <v>0</v>
      </c>
      <c r="O22" s="13">
        <f t="shared" ca="1" si="1"/>
        <v>0</v>
      </c>
      <c r="P22" s="13">
        <f t="shared" ca="1" si="2"/>
        <v>21</v>
      </c>
      <c r="Q22" s="13">
        <f t="shared" ca="1" si="3"/>
        <v>0</v>
      </c>
      <c r="R22" s="14" t="str">
        <f t="shared" ca="1" si="4"/>
        <v>53% (53%)</v>
      </c>
      <c r="S22" s="113" t="b">
        <v>0</v>
      </c>
      <c r="T22" s="113" t="s">
        <v>162</v>
      </c>
      <c r="U22" s="134">
        <f>2/G22</f>
        <v>0.13333333333333333</v>
      </c>
      <c r="V22" s="25">
        <v>0.13333333333333333</v>
      </c>
      <c r="W22" s="25">
        <v>0.2</v>
      </c>
      <c r="X22" s="25">
        <v>0.2</v>
      </c>
      <c r="Y22" s="25"/>
      <c r="Z22" s="25"/>
      <c r="AA22" s="25"/>
      <c r="AB22" s="25"/>
      <c r="AC22" s="25"/>
      <c r="AD22" s="102"/>
    </row>
    <row r="23" spans="1:30" ht="12" customHeight="1" x14ac:dyDescent="0.3">
      <c r="A23" s="56"/>
      <c r="B23" s="9">
        <f t="shared" si="5"/>
        <v>12</v>
      </c>
      <c r="C23" s="29" t="s">
        <v>85</v>
      </c>
      <c r="D23" s="29" t="s">
        <v>86</v>
      </c>
      <c r="E23" s="29" t="s">
        <v>87</v>
      </c>
      <c r="F23" s="10">
        <f t="shared" ref="F23:F30" si="10">J22</f>
        <v>45833</v>
      </c>
      <c r="G23" s="65">
        <v>5</v>
      </c>
      <c r="H23" s="11">
        <f t="shared" si="9"/>
        <v>8</v>
      </c>
      <c r="I23" s="12">
        <f t="shared" si="7"/>
        <v>45833</v>
      </c>
      <c r="J23" s="12" cm="1">
        <f t="array" ref="J23">FinishDate(I23,G23,holidays)</f>
        <v>45840</v>
      </c>
      <c r="K23" s="66">
        <f t="shared" si="6"/>
        <v>7</v>
      </c>
      <c r="L23" s="24" cm="1">
        <f t="array" aca="1" ref="L23" ca="1">AutoProgress(I23,J23,holidays,$C$5)</f>
        <v>0</v>
      </c>
      <c r="M23" s="25">
        <f t="shared" ca="1" si="8"/>
        <v>0</v>
      </c>
      <c r="N23" s="13">
        <f t="shared" ca="1" si="0"/>
        <v>0</v>
      </c>
      <c r="O23" s="13">
        <f t="shared" ca="1" si="1"/>
        <v>0</v>
      </c>
      <c r="P23" s="13">
        <f t="shared" ca="1" si="2"/>
        <v>0</v>
      </c>
      <c r="Q23" s="13">
        <f t="shared" ca="1" si="3"/>
        <v>7</v>
      </c>
      <c r="R23" s="14" t="str">
        <f t="shared" ca="1" si="4"/>
        <v>0%</v>
      </c>
      <c r="S23" s="113" t="b">
        <v>0</v>
      </c>
      <c r="T23" s="113" t="s">
        <v>162</v>
      </c>
      <c r="U23" s="134">
        <f>0.5/G23</f>
        <v>0.1</v>
      </c>
      <c r="V23" s="25">
        <v>0.1</v>
      </c>
      <c r="W23" s="25">
        <v>0.2</v>
      </c>
      <c r="X23" s="25">
        <v>0.2</v>
      </c>
      <c r="Y23" s="25"/>
      <c r="Z23" s="25"/>
      <c r="AA23" s="25"/>
      <c r="AB23" s="25"/>
      <c r="AC23" s="25"/>
      <c r="AD23" s="102"/>
    </row>
    <row r="24" spans="1:30" ht="12" customHeight="1" x14ac:dyDescent="0.3">
      <c r="A24" s="56"/>
      <c r="B24" s="9">
        <f t="shared" si="5"/>
        <v>13</v>
      </c>
      <c r="C24" s="29" t="s">
        <v>119</v>
      </c>
      <c r="D24" s="29" t="s">
        <v>186</v>
      </c>
      <c r="E24" s="29" t="s">
        <v>126</v>
      </c>
      <c r="F24" s="10">
        <f t="shared" si="10"/>
        <v>45840</v>
      </c>
      <c r="G24" s="65">
        <v>20</v>
      </c>
      <c r="H24" s="11">
        <f t="shared" si="9"/>
        <v>8</v>
      </c>
      <c r="I24" s="12">
        <f t="shared" si="7"/>
        <v>45840</v>
      </c>
      <c r="J24" s="12" cm="1">
        <f t="array" ref="J24">FinishDate(I24,G24,holidays)</f>
        <v>45870</v>
      </c>
      <c r="K24" s="66">
        <f t="shared" si="6"/>
        <v>30</v>
      </c>
      <c r="L24" s="24" cm="1">
        <f t="array" aca="1" ref="L24" ca="1">AutoProgress(I24,J24,holidays,$C$5)</f>
        <v>0</v>
      </c>
      <c r="M24" s="25">
        <f t="shared" ca="1" si="8"/>
        <v>0</v>
      </c>
      <c r="N24" s="13">
        <f t="shared" ca="1" si="0"/>
        <v>0</v>
      </c>
      <c r="O24" s="13">
        <f t="shared" ca="1" si="1"/>
        <v>0</v>
      </c>
      <c r="P24" s="13">
        <f t="shared" ca="1" si="2"/>
        <v>0</v>
      </c>
      <c r="Q24" s="13">
        <f t="shared" ca="1" si="3"/>
        <v>30</v>
      </c>
      <c r="R24" s="14" t="str">
        <f t="shared" ca="1" si="4"/>
        <v>0%</v>
      </c>
      <c r="S24" s="113" t="b">
        <v>1</v>
      </c>
      <c r="T24" s="113" t="s">
        <v>162</v>
      </c>
      <c r="U24" s="134">
        <f>1/G24</f>
        <v>0.05</v>
      </c>
      <c r="V24" s="25">
        <v>0.1</v>
      </c>
      <c r="W24" s="25">
        <v>0.2</v>
      </c>
      <c r="X24" s="25">
        <v>0.2</v>
      </c>
      <c r="Y24" s="25"/>
      <c r="Z24" s="25"/>
      <c r="AA24" s="25"/>
      <c r="AB24" s="25"/>
      <c r="AC24" s="25"/>
      <c r="AD24" s="102"/>
    </row>
    <row r="25" spans="1:30" ht="12" customHeight="1" x14ac:dyDescent="0.3">
      <c r="A25" s="56"/>
      <c r="B25" s="9">
        <f t="shared" si="5"/>
        <v>14</v>
      </c>
      <c r="C25" s="29" t="s">
        <v>120</v>
      </c>
      <c r="D25" s="29" t="s">
        <v>185</v>
      </c>
      <c r="E25" s="29" t="s">
        <v>127</v>
      </c>
      <c r="F25" s="10">
        <f>F24</f>
        <v>45840</v>
      </c>
      <c r="G25" s="65">
        <v>20</v>
      </c>
      <c r="H25" s="11">
        <f t="shared" si="9"/>
        <v>8</v>
      </c>
      <c r="I25" s="12">
        <f t="shared" si="7"/>
        <v>45840</v>
      </c>
      <c r="J25" s="12" cm="1">
        <f t="array" ref="J25">FinishDate(I25,G25,holidays)</f>
        <v>45870</v>
      </c>
      <c r="K25" s="66">
        <f t="shared" si="6"/>
        <v>30</v>
      </c>
      <c r="L25" s="24" cm="1">
        <f t="array" aca="1" ref="L25" ca="1">AutoProgress(I25,J25,holidays,$C$5)</f>
        <v>0</v>
      </c>
      <c r="M25" s="25">
        <f t="shared" ca="1" si="8"/>
        <v>0</v>
      </c>
      <c r="N25" s="13">
        <f t="shared" ca="1" si="0"/>
        <v>0</v>
      </c>
      <c r="O25" s="13">
        <f t="shared" ca="1" si="1"/>
        <v>0</v>
      </c>
      <c r="P25" s="13">
        <f t="shared" ca="1" si="2"/>
        <v>0</v>
      </c>
      <c r="Q25" s="13">
        <f t="shared" ca="1" si="3"/>
        <v>30</v>
      </c>
      <c r="R25" s="14" t="str">
        <f t="shared" ca="1" si="4"/>
        <v>0%</v>
      </c>
      <c r="S25" s="113" t="b">
        <v>1</v>
      </c>
      <c r="T25" s="113" t="s">
        <v>162</v>
      </c>
      <c r="U25" s="134">
        <f>1/G25</f>
        <v>0.05</v>
      </c>
      <c r="V25" s="25">
        <v>0.1</v>
      </c>
      <c r="W25" s="25">
        <v>0.2</v>
      </c>
      <c r="X25" s="25">
        <v>0.2</v>
      </c>
      <c r="Y25" s="25"/>
      <c r="Z25" s="25"/>
      <c r="AA25" s="25"/>
      <c r="AB25" s="25"/>
      <c r="AC25" s="25"/>
      <c r="AD25" s="102"/>
    </row>
    <row r="26" spans="1:30" ht="12" customHeight="1" x14ac:dyDescent="0.3">
      <c r="A26" s="56"/>
      <c r="B26" s="9">
        <f t="shared" si="5"/>
        <v>15</v>
      </c>
      <c r="C26" s="29" t="s">
        <v>121</v>
      </c>
      <c r="D26" s="29" t="str">
        <f>C26</f>
        <v>Result Update (R1)</v>
      </c>
      <c r="E26" s="29" t="s">
        <v>142</v>
      </c>
      <c r="F26" s="10">
        <f t="shared" si="10"/>
        <v>45870</v>
      </c>
      <c r="G26" s="65">
        <v>5</v>
      </c>
      <c r="H26" s="11">
        <f t="shared" si="9"/>
        <v>8</v>
      </c>
      <c r="I26" s="12">
        <f t="shared" si="7"/>
        <v>45870</v>
      </c>
      <c r="J26" s="12" cm="1">
        <f t="array" ref="J26">FinishDate(I26,G26,holidays)</f>
        <v>45877</v>
      </c>
      <c r="K26" s="66">
        <f t="shared" si="6"/>
        <v>7</v>
      </c>
      <c r="L26" s="24" cm="1">
        <f t="array" aca="1" ref="L26" ca="1">AutoProgress(I26,J26,holidays,$C$5)</f>
        <v>0</v>
      </c>
      <c r="M26" s="25">
        <f t="shared" ca="1" si="8"/>
        <v>0</v>
      </c>
      <c r="N26" s="13">
        <f t="shared" ca="1" si="0"/>
        <v>0</v>
      </c>
      <c r="O26" s="13">
        <f t="shared" ca="1" si="1"/>
        <v>0</v>
      </c>
      <c r="P26" s="13">
        <f t="shared" ca="1" si="2"/>
        <v>0</v>
      </c>
      <c r="Q26" s="13">
        <f t="shared" ca="1" si="3"/>
        <v>7</v>
      </c>
      <c r="R26" s="14" t="str">
        <f t="shared" ca="1" si="4"/>
        <v>0%</v>
      </c>
      <c r="S26" s="113" t="b">
        <v>1</v>
      </c>
      <c r="T26" s="113" t="s">
        <v>162</v>
      </c>
      <c r="U26" s="134">
        <f>0.5/G26</f>
        <v>0.1</v>
      </c>
      <c r="V26" s="25">
        <v>0.1</v>
      </c>
      <c r="W26" s="25">
        <v>0.2</v>
      </c>
      <c r="X26" s="25">
        <v>0.2</v>
      </c>
      <c r="Y26" s="25"/>
      <c r="Z26" s="25"/>
      <c r="AA26" s="25"/>
      <c r="AB26" s="25"/>
      <c r="AC26" s="25"/>
      <c r="AD26" s="102"/>
    </row>
    <row r="27" spans="1:30" ht="12" customHeight="1" x14ac:dyDescent="0.3">
      <c r="A27" s="56"/>
      <c r="B27" s="9">
        <f t="shared" si="5"/>
        <v>16</v>
      </c>
      <c r="C27" s="29" t="s">
        <v>91</v>
      </c>
      <c r="D27" s="29" t="str">
        <f>C27</f>
        <v>Model Tuning &amp; Re-Evaluation</v>
      </c>
      <c r="E27" s="29" t="s">
        <v>92</v>
      </c>
      <c r="F27" s="10">
        <f t="shared" si="10"/>
        <v>45877</v>
      </c>
      <c r="G27" s="65">
        <v>10</v>
      </c>
      <c r="H27" s="11">
        <f t="shared" si="9"/>
        <v>8</v>
      </c>
      <c r="I27" s="12">
        <f t="shared" si="7"/>
        <v>45877</v>
      </c>
      <c r="J27" s="12" cm="1">
        <f t="array" ref="J27">FinishDate(I27,G27,holidays)</f>
        <v>45895</v>
      </c>
      <c r="K27" s="66">
        <f t="shared" si="6"/>
        <v>18</v>
      </c>
      <c r="L27" s="24" cm="1">
        <f t="array" aca="1" ref="L27" ca="1">AutoProgress(I27,J27,holidays,$C$5)</f>
        <v>0</v>
      </c>
      <c r="M27" s="25">
        <f t="shared" ca="1" si="8"/>
        <v>0</v>
      </c>
      <c r="N27" s="13">
        <f t="shared" ca="1" si="0"/>
        <v>0</v>
      </c>
      <c r="O27" s="13">
        <f t="shared" ca="1" si="1"/>
        <v>0</v>
      </c>
      <c r="P27" s="13">
        <f t="shared" ca="1" si="2"/>
        <v>0</v>
      </c>
      <c r="Q27" s="13">
        <f t="shared" ca="1" si="3"/>
        <v>18</v>
      </c>
      <c r="R27" s="14" t="str">
        <f t="shared" ca="1" si="4"/>
        <v>0%</v>
      </c>
      <c r="S27" s="113" t="b">
        <v>0</v>
      </c>
      <c r="T27" s="113" t="s">
        <v>162</v>
      </c>
      <c r="U27" s="134">
        <f>1/G27</f>
        <v>0.1</v>
      </c>
      <c r="V27" s="25">
        <v>0.1</v>
      </c>
      <c r="W27" s="25">
        <v>0.2</v>
      </c>
      <c r="X27" s="25">
        <v>0.2</v>
      </c>
      <c r="Y27" s="25"/>
      <c r="Z27" s="25"/>
      <c r="AA27" s="25"/>
      <c r="AB27" s="25"/>
      <c r="AC27" s="25"/>
      <c r="AD27" s="102"/>
    </row>
    <row r="28" spans="1:30" ht="12" customHeight="1" x14ac:dyDescent="0.3">
      <c r="A28" s="56"/>
      <c r="B28" s="9">
        <f t="shared" si="5"/>
        <v>17</v>
      </c>
      <c r="C28" s="29" t="s">
        <v>122</v>
      </c>
      <c r="D28" s="29" t="str">
        <f>C28</f>
        <v>Result Update (R2)</v>
      </c>
      <c r="E28" s="29" t="s">
        <v>128</v>
      </c>
      <c r="F28" s="10">
        <f t="shared" si="10"/>
        <v>45895</v>
      </c>
      <c r="G28" s="65">
        <v>5</v>
      </c>
      <c r="H28" s="11">
        <f t="shared" si="9"/>
        <v>8</v>
      </c>
      <c r="I28" s="12">
        <f t="shared" si="7"/>
        <v>45895</v>
      </c>
      <c r="J28" s="12" cm="1">
        <f t="array" ref="J28">FinishDate(I28,G28,holidays)</f>
        <v>45902</v>
      </c>
      <c r="K28" s="66">
        <f t="shared" si="6"/>
        <v>7</v>
      </c>
      <c r="L28" s="24" cm="1">
        <f t="array" aca="1" ref="L28" ca="1">AutoProgress(I28,J28,holidays,$C$5)</f>
        <v>0</v>
      </c>
      <c r="M28" s="25">
        <f t="shared" ca="1" si="8"/>
        <v>0</v>
      </c>
      <c r="N28" s="13">
        <f t="shared" ca="1" si="0"/>
        <v>0</v>
      </c>
      <c r="O28" s="13">
        <f t="shared" ca="1" si="1"/>
        <v>0</v>
      </c>
      <c r="P28" s="13">
        <f t="shared" ca="1" si="2"/>
        <v>0</v>
      </c>
      <c r="Q28" s="13">
        <f t="shared" ca="1" si="3"/>
        <v>7</v>
      </c>
      <c r="R28" s="14" t="str">
        <f t="shared" ca="1" si="4"/>
        <v>0%</v>
      </c>
      <c r="S28" s="113" t="b">
        <v>1</v>
      </c>
      <c r="T28" s="113" t="s">
        <v>162</v>
      </c>
      <c r="U28" s="134">
        <f>0.5/G28</f>
        <v>0.1</v>
      </c>
      <c r="V28" s="25">
        <v>0.1</v>
      </c>
      <c r="W28" s="25">
        <v>0.2</v>
      </c>
      <c r="X28" s="25">
        <v>0.2</v>
      </c>
      <c r="Y28" s="25"/>
      <c r="Z28" s="25"/>
      <c r="AA28" s="25"/>
      <c r="AB28" s="25"/>
      <c r="AC28" s="25"/>
      <c r="AD28" s="102"/>
    </row>
    <row r="29" spans="1:30" ht="12" customHeight="1" x14ac:dyDescent="0.3">
      <c r="A29" s="56"/>
      <c r="B29" s="9">
        <f t="shared" si="5"/>
        <v>18</v>
      </c>
      <c r="C29" s="29" t="s">
        <v>95</v>
      </c>
      <c r="D29" s="29" t="s">
        <v>187</v>
      </c>
      <c r="E29" s="29" t="s">
        <v>96</v>
      </c>
      <c r="F29" s="10">
        <f t="shared" si="10"/>
        <v>45902</v>
      </c>
      <c r="G29" s="65">
        <v>5</v>
      </c>
      <c r="H29" s="11">
        <f t="shared" si="9"/>
        <v>8</v>
      </c>
      <c r="I29" s="12">
        <f t="shared" si="7"/>
        <v>45902</v>
      </c>
      <c r="J29" s="12" cm="1">
        <f t="array" ref="J29">FinishDate(I29,G29,holidays)</f>
        <v>45909</v>
      </c>
      <c r="K29" s="66">
        <f t="shared" si="6"/>
        <v>7</v>
      </c>
      <c r="L29" s="24" cm="1">
        <f t="array" aca="1" ref="L29" ca="1">AutoProgress(I29,J29,holidays,$C$5)</f>
        <v>0</v>
      </c>
      <c r="M29" s="25">
        <f t="shared" ca="1" si="8"/>
        <v>0</v>
      </c>
      <c r="N29" s="13">
        <f t="shared" ca="1" si="0"/>
        <v>0</v>
      </c>
      <c r="O29" s="13">
        <f t="shared" ca="1" si="1"/>
        <v>0</v>
      </c>
      <c r="P29" s="13">
        <f t="shared" ca="1" si="2"/>
        <v>0</v>
      </c>
      <c r="Q29" s="13">
        <f t="shared" ca="1" si="3"/>
        <v>7</v>
      </c>
      <c r="R29" s="14" t="str">
        <f t="shared" ca="1" si="4"/>
        <v>0%</v>
      </c>
      <c r="S29" s="113" t="b">
        <v>1</v>
      </c>
      <c r="T29" s="113" t="s">
        <v>162</v>
      </c>
      <c r="U29" s="134">
        <f>0.5/G29</f>
        <v>0.1</v>
      </c>
      <c r="V29" s="25">
        <v>0.1</v>
      </c>
      <c r="W29" s="25">
        <v>0.2</v>
      </c>
      <c r="X29" s="25">
        <v>0.2</v>
      </c>
      <c r="Y29" s="25"/>
      <c r="Z29" s="25"/>
      <c r="AA29" s="25"/>
      <c r="AB29" s="25"/>
      <c r="AC29" s="25"/>
      <c r="AD29" s="102"/>
    </row>
    <row r="30" spans="1:30" ht="12" customHeight="1" x14ac:dyDescent="0.3">
      <c r="A30" s="56"/>
      <c r="B30" s="15">
        <f t="shared" si="5"/>
        <v>19</v>
      </c>
      <c r="C30" s="30" t="s">
        <v>123</v>
      </c>
      <c r="D30" s="30" t="str">
        <f>C30</f>
        <v>Transition</v>
      </c>
      <c r="E30" s="30" t="s">
        <v>129</v>
      </c>
      <c r="F30" s="16">
        <f t="shared" si="10"/>
        <v>45909</v>
      </c>
      <c r="G30" s="67">
        <v>15</v>
      </c>
      <c r="H30" s="17">
        <f t="shared" si="9"/>
        <v>8</v>
      </c>
      <c r="I30" s="18">
        <f t="shared" si="7"/>
        <v>45909</v>
      </c>
      <c r="J30" s="18" cm="1">
        <f t="array" ref="J30">FinishDate(I30,G30,holidays)</f>
        <v>45930</v>
      </c>
      <c r="K30" s="68">
        <f t="shared" si="6"/>
        <v>21</v>
      </c>
      <c r="L30" s="26" cm="1">
        <f t="array" aca="1" ref="L30" ca="1">AutoProgress(I30,J30,holidays,$C$5)</f>
        <v>0</v>
      </c>
      <c r="M30" s="27">
        <f t="shared" ca="1" si="8"/>
        <v>0</v>
      </c>
      <c r="N30" s="19">
        <f t="shared" ca="1" si="0"/>
        <v>0</v>
      </c>
      <c r="O30" s="19">
        <f t="shared" ca="1" si="1"/>
        <v>0</v>
      </c>
      <c r="P30" s="19">
        <f t="shared" ca="1" si="2"/>
        <v>0</v>
      </c>
      <c r="Q30" s="19">
        <f t="shared" ca="1" si="3"/>
        <v>21</v>
      </c>
      <c r="R30" s="20" t="str">
        <f t="shared" ca="1" si="4"/>
        <v>0%</v>
      </c>
      <c r="S30" s="114" t="b">
        <v>1</v>
      </c>
      <c r="T30" s="114" t="s">
        <v>162</v>
      </c>
      <c r="U30" s="135">
        <f>1/G30</f>
        <v>6.6666666666666666E-2</v>
      </c>
      <c r="V30" s="27">
        <v>6.6666666666666666E-2</v>
      </c>
      <c r="W30" s="27">
        <v>0.2</v>
      </c>
      <c r="X30" s="27">
        <v>0.2</v>
      </c>
      <c r="Y30" s="27"/>
      <c r="Z30" s="27"/>
      <c r="AA30" s="27"/>
      <c r="AB30" s="27"/>
      <c r="AC30" s="27"/>
      <c r="AD30" s="69"/>
    </row>
    <row r="31" spans="1:30" ht="12" customHeight="1" x14ac:dyDescent="0.3">
      <c r="A31" s="56"/>
      <c r="B31" s="120">
        <f t="shared" si="5"/>
        <v>20</v>
      </c>
      <c r="C31" s="71" t="s">
        <v>135</v>
      </c>
      <c r="D31" s="71" t="s">
        <v>179</v>
      </c>
      <c r="E31" s="71" t="s">
        <v>136</v>
      </c>
      <c r="F31" s="72">
        <f>I31</f>
        <v>45877</v>
      </c>
      <c r="G31" s="73">
        <f>NETWORKDAYS(I31,J31-1,holidays)</f>
        <v>89</v>
      </c>
      <c r="H31" s="74">
        <f>B31</f>
        <v>20</v>
      </c>
      <c r="I31" s="72">
        <f>MIN(I32:I44)</f>
        <v>45877</v>
      </c>
      <c r="J31" s="72">
        <f>MAX(J32:J44)</f>
        <v>46010</v>
      </c>
      <c r="K31" s="75">
        <f>J31-I31</f>
        <v>133</v>
      </c>
      <c r="L31" s="76" cm="1">
        <f t="array" aca="1" ref="L31" ca="1">WeightedProgress(L32:L44,G32:G44)</f>
        <v>0</v>
      </c>
      <c r="M31" s="77" cm="1">
        <f t="array" aca="1" ref="M31" ca="1">WeightedProgress(M32:M44,G32:G44)</f>
        <v>0</v>
      </c>
      <c r="N31" s="78">
        <f t="shared" ca="1" si="0"/>
        <v>0</v>
      </c>
      <c r="O31" s="78">
        <f t="shared" ca="1" si="1"/>
        <v>0</v>
      </c>
      <c r="P31" s="78">
        <f t="shared" ca="1" si="2"/>
        <v>0</v>
      </c>
      <c r="Q31" s="78">
        <f t="shared" ca="1" si="3"/>
        <v>133</v>
      </c>
      <c r="R31" s="79" t="str">
        <f t="shared" ca="1" si="4"/>
        <v>0%</v>
      </c>
      <c r="S31" s="115" t="b">
        <v>1</v>
      </c>
      <c r="T31" s="115" t="s">
        <v>162</v>
      </c>
      <c r="U31" s="136">
        <v>0</v>
      </c>
      <c r="V31" s="77">
        <v>0</v>
      </c>
      <c r="W31" s="77">
        <v>0</v>
      </c>
      <c r="X31" s="77">
        <v>0</v>
      </c>
      <c r="Y31" s="77"/>
      <c r="Z31" s="77"/>
      <c r="AA31" s="77"/>
      <c r="AB31" s="77"/>
      <c r="AC31" s="77"/>
      <c r="AD31" s="103"/>
    </row>
    <row r="32" spans="1:30" ht="12" customHeight="1" x14ac:dyDescent="0.3">
      <c r="A32" s="56"/>
      <c r="B32" s="9">
        <f t="shared" si="5"/>
        <v>21</v>
      </c>
      <c r="C32" s="29" t="s">
        <v>80</v>
      </c>
      <c r="D32" s="29" t="s">
        <v>125</v>
      </c>
      <c r="E32" s="29" t="s">
        <v>81</v>
      </c>
      <c r="F32" s="10">
        <f>J26</f>
        <v>45877</v>
      </c>
      <c r="G32" s="65">
        <v>5</v>
      </c>
      <c r="H32" s="11">
        <f>H31</f>
        <v>20</v>
      </c>
      <c r="I32" s="12">
        <f>IFERROR(WORKDAY(F32-1,1,holidays),0)</f>
        <v>45877</v>
      </c>
      <c r="J32" s="12" cm="1">
        <f t="array" ref="J32">FinishDate(I32,G32,holidays)</f>
        <v>45888</v>
      </c>
      <c r="K32" s="66">
        <f>J32-I32</f>
        <v>11</v>
      </c>
      <c r="L32" s="24" cm="1">
        <f t="array" aca="1" ref="L32" ca="1">AutoProgress(I32,J32,holidays,$C$5)</f>
        <v>0</v>
      </c>
      <c r="M32" s="25">
        <f t="shared" ref="M32:M44" ca="1" si="11">L32</f>
        <v>0</v>
      </c>
      <c r="N32" s="13">
        <f t="shared" ca="1" si="0"/>
        <v>0</v>
      </c>
      <c r="O32" s="13">
        <f t="shared" ca="1" si="1"/>
        <v>0</v>
      </c>
      <c r="P32" s="13">
        <f t="shared" ca="1" si="2"/>
        <v>0</v>
      </c>
      <c r="Q32" s="13">
        <f t="shared" ca="1" si="3"/>
        <v>11</v>
      </c>
      <c r="R32" s="14" t="str">
        <f t="shared" ca="1" si="4"/>
        <v>0%</v>
      </c>
      <c r="S32" s="113" t="b">
        <v>0</v>
      </c>
      <c r="T32" s="113" t="s">
        <v>162</v>
      </c>
      <c r="U32" s="134">
        <f>0.5/G32</f>
        <v>0.1</v>
      </c>
      <c r="V32" s="25">
        <v>0.1</v>
      </c>
      <c r="W32" s="25">
        <v>0.2</v>
      </c>
      <c r="X32" s="25">
        <v>0.2</v>
      </c>
      <c r="Y32" s="25"/>
      <c r="Z32" s="25"/>
      <c r="AA32" s="25"/>
      <c r="AB32" s="25"/>
      <c r="AC32" s="25"/>
      <c r="AD32" s="102"/>
    </row>
    <row r="33" spans="1:30" ht="12" customHeight="1" x14ac:dyDescent="0.3">
      <c r="A33" s="56"/>
      <c r="B33" s="9">
        <f t="shared" si="5"/>
        <v>22</v>
      </c>
      <c r="C33" s="29" t="s">
        <v>82</v>
      </c>
      <c r="D33" s="29" t="s">
        <v>180</v>
      </c>
      <c r="E33" s="29" t="s">
        <v>143</v>
      </c>
      <c r="F33" s="10">
        <f>F32</f>
        <v>45877</v>
      </c>
      <c r="G33" s="65">
        <f>G32</f>
        <v>5</v>
      </c>
      <c r="H33" s="11">
        <f t="shared" ref="H33:H44" si="12">H32</f>
        <v>20</v>
      </c>
      <c r="I33" s="12">
        <f>IFERROR(WORKDAY(F33-1,1,holidays),0)</f>
        <v>45877</v>
      </c>
      <c r="J33" s="12" cm="1">
        <f t="array" ref="J33">FinishDate(I33,G33,holidays)</f>
        <v>45888</v>
      </c>
      <c r="K33" s="66">
        <f>J33-I33</f>
        <v>11</v>
      </c>
      <c r="L33" s="24" cm="1">
        <f t="array" aca="1" ref="L33" ca="1">AutoProgress(I33,J33,holidays,$C$5)</f>
        <v>0</v>
      </c>
      <c r="M33" s="25">
        <f t="shared" ca="1" si="11"/>
        <v>0</v>
      </c>
      <c r="N33" s="13">
        <f t="shared" ca="1" si="0"/>
        <v>0</v>
      </c>
      <c r="O33" s="13">
        <f t="shared" ca="1" si="1"/>
        <v>0</v>
      </c>
      <c r="P33" s="13">
        <f t="shared" ca="1" si="2"/>
        <v>0</v>
      </c>
      <c r="Q33" s="13">
        <f t="shared" ca="1" si="3"/>
        <v>11</v>
      </c>
      <c r="R33" s="14" t="str">
        <f t="shared" ca="1" si="4"/>
        <v>0%</v>
      </c>
      <c r="S33" s="113" t="b">
        <v>1</v>
      </c>
      <c r="T33" s="113" t="s">
        <v>162</v>
      </c>
      <c r="U33" s="134">
        <f>0.5/G33</f>
        <v>0.1</v>
      </c>
      <c r="V33" s="25">
        <v>0.1</v>
      </c>
      <c r="W33" s="25">
        <v>0.2</v>
      </c>
      <c r="X33" s="25">
        <v>0.2</v>
      </c>
      <c r="Y33" s="25"/>
      <c r="Z33" s="25"/>
      <c r="AA33" s="25"/>
      <c r="AB33" s="25"/>
      <c r="AC33" s="25"/>
      <c r="AD33" s="102"/>
    </row>
    <row r="34" spans="1:30" ht="12" customHeight="1" x14ac:dyDescent="0.3">
      <c r="A34" s="56"/>
      <c r="B34" s="9">
        <f t="shared" si="5"/>
        <v>23</v>
      </c>
      <c r="C34" s="29" t="s">
        <v>83</v>
      </c>
      <c r="D34" s="29" t="s">
        <v>84</v>
      </c>
      <c r="E34" s="29" t="s">
        <v>144</v>
      </c>
      <c r="F34" s="10">
        <f>J33</f>
        <v>45888</v>
      </c>
      <c r="G34" s="65">
        <v>5</v>
      </c>
      <c r="H34" s="11">
        <f t="shared" si="12"/>
        <v>20</v>
      </c>
      <c r="I34" s="12">
        <f>IFERROR(WORKDAY(F34-1,1,holidays),0)</f>
        <v>45888</v>
      </c>
      <c r="J34" s="12" cm="1">
        <f t="array" ref="J34">FinishDate(I34,G34,holidays)</f>
        <v>45895</v>
      </c>
      <c r="K34" s="66">
        <f>J34-I34</f>
        <v>7</v>
      </c>
      <c r="L34" s="24" cm="1">
        <f t="array" aca="1" ref="L34" ca="1">AutoProgress(I34,J34,holidays,$C$5)</f>
        <v>0</v>
      </c>
      <c r="M34" s="25">
        <f t="shared" ca="1" si="11"/>
        <v>0</v>
      </c>
      <c r="N34" s="13">
        <f t="shared" ca="1" si="0"/>
        <v>0</v>
      </c>
      <c r="O34" s="13">
        <f t="shared" ca="1" si="1"/>
        <v>0</v>
      </c>
      <c r="P34" s="13">
        <f t="shared" ca="1" si="2"/>
        <v>0</v>
      </c>
      <c r="Q34" s="13">
        <f t="shared" ca="1" si="3"/>
        <v>7</v>
      </c>
      <c r="R34" s="14" t="str">
        <f t="shared" ca="1" si="4"/>
        <v>0%</v>
      </c>
      <c r="S34" s="113" t="b">
        <v>0</v>
      </c>
      <c r="T34" s="113" t="s">
        <v>162</v>
      </c>
      <c r="U34" s="134">
        <f>0.5/G34</f>
        <v>0.1</v>
      </c>
      <c r="V34" s="25">
        <v>0.1</v>
      </c>
      <c r="W34" s="25">
        <v>0.2</v>
      </c>
      <c r="X34" s="25">
        <v>0.2</v>
      </c>
      <c r="Y34" s="25"/>
      <c r="Z34" s="25"/>
      <c r="AA34" s="25"/>
      <c r="AB34" s="25"/>
      <c r="AC34" s="25"/>
      <c r="AD34" s="102"/>
    </row>
    <row r="35" spans="1:30" ht="12" customHeight="1" x14ac:dyDescent="0.3">
      <c r="A35" s="56"/>
      <c r="B35" s="9">
        <f t="shared" si="5"/>
        <v>24</v>
      </c>
      <c r="C35" s="29" t="s">
        <v>85</v>
      </c>
      <c r="D35" s="29" t="s">
        <v>86</v>
      </c>
      <c r="E35" s="29" t="s">
        <v>87</v>
      </c>
      <c r="F35" s="10">
        <f>J34</f>
        <v>45895</v>
      </c>
      <c r="G35" s="65">
        <v>5</v>
      </c>
      <c r="H35" s="11">
        <f t="shared" si="12"/>
        <v>20</v>
      </c>
      <c r="I35" s="12">
        <f t="shared" ref="I35:I47" si="13">IFERROR(WORKDAY(F35-1,1,holidays),0)</f>
        <v>45895</v>
      </c>
      <c r="J35" s="12" cm="1">
        <f t="array" ref="J35">FinishDate(I35,G35,holidays)</f>
        <v>45902</v>
      </c>
      <c r="K35" s="66">
        <f t="shared" ref="K35:K47" si="14">J35-I35</f>
        <v>7</v>
      </c>
      <c r="L35" s="24" cm="1">
        <f t="array" aca="1" ref="L35" ca="1">AutoProgress(I35,J35,holidays,$C$5)</f>
        <v>0</v>
      </c>
      <c r="M35" s="25">
        <f t="shared" ca="1" si="11"/>
        <v>0</v>
      </c>
      <c r="N35" s="13">
        <f t="shared" ca="1" si="0"/>
        <v>0</v>
      </c>
      <c r="O35" s="13">
        <f t="shared" ca="1" si="1"/>
        <v>0</v>
      </c>
      <c r="P35" s="13">
        <f t="shared" ca="1" si="2"/>
        <v>0</v>
      </c>
      <c r="Q35" s="13">
        <f t="shared" ca="1" si="3"/>
        <v>7</v>
      </c>
      <c r="R35" s="14" t="str">
        <f t="shared" ca="1" si="4"/>
        <v>0%</v>
      </c>
      <c r="S35" s="113" t="b">
        <v>0</v>
      </c>
      <c r="T35" s="113" t="s">
        <v>162</v>
      </c>
      <c r="U35" s="134">
        <f>0.5/G35</f>
        <v>0.1</v>
      </c>
      <c r="V35" s="25">
        <v>0.1</v>
      </c>
      <c r="W35" s="25">
        <v>0.2</v>
      </c>
      <c r="X35" s="25">
        <v>0.2</v>
      </c>
      <c r="Y35" s="25"/>
      <c r="Z35" s="25"/>
      <c r="AA35" s="25"/>
      <c r="AB35" s="25"/>
      <c r="AC35" s="25"/>
      <c r="AD35" s="102"/>
    </row>
    <row r="36" spans="1:30" ht="12" customHeight="1" x14ac:dyDescent="0.3">
      <c r="A36" s="56"/>
      <c r="B36" s="9">
        <f t="shared" si="5"/>
        <v>25</v>
      </c>
      <c r="C36" s="29" t="s">
        <v>138</v>
      </c>
      <c r="D36" s="29" t="s">
        <v>156</v>
      </c>
      <c r="E36" s="29" t="s">
        <v>88</v>
      </c>
      <c r="F36" s="10">
        <f t="shared" ref="F36:F44" si="15">J35</f>
        <v>45902</v>
      </c>
      <c r="G36" s="65">
        <v>10</v>
      </c>
      <c r="H36" s="11">
        <f t="shared" si="12"/>
        <v>20</v>
      </c>
      <c r="I36" s="12">
        <f t="shared" si="13"/>
        <v>45902</v>
      </c>
      <c r="J36" s="12" cm="1">
        <f t="array" ref="J36">FinishDate(I36,G36,holidays)</f>
        <v>45916</v>
      </c>
      <c r="K36" s="66">
        <f t="shared" si="14"/>
        <v>14</v>
      </c>
      <c r="L36" s="24" cm="1">
        <f t="array" aca="1" ref="L36" ca="1">AutoProgress(I36,J36,holidays,$C$5)</f>
        <v>0</v>
      </c>
      <c r="M36" s="25">
        <f t="shared" ca="1" si="11"/>
        <v>0</v>
      </c>
      <c r="N36" s="13">
        <f t="shared" ca="1" si="0"/>
        <v>0</v>
      </c>
      <c r="O36" s="13">
        <f t="shared" ca="1" si="1"/>
        <v>0</v>
      </c>
      <c r="P36" s="13">
        <f t="shared" ca="1" si="2"/>
        <v>0</v>
      </c>
      <c r="Q36" s="13">
        <f t="shared" ca="1" si="3"/>
        <v>14</v>
      </c>
      <c r="R36" s="14" t="str">
        <f t="shared" ca="1" si="4"/>
        <v>0%</v>
      </c>
      <c r="S36" s="113" t="b">
        <v>1</v>
      </c>
      <c r="T36" s="113" t="s">
        <v>162</v>
      </c>
      <c r="U36" s="134">
        <f>1/G36</f>
        <v>0.1</v>
      </c>
      <c r="V36" s="25">
        <v>0.1</v>
      </c>
      <c r="W36" s="25">
        <v>0.2</v>
      </c>
      <c r="X36" s="25">
        <v>0.2</v>
      </c>
      <c r="Y36" s="25"/>
      <c r="Z36" s="25"/>
      <c r="AA36" s="25"/>
      <c r="AB36" s="25"/>
      <c r="AC36" s="25"/>
      <c r="AD36" s="102"/>
    </row>
    <row r="37" spans="1:30" ht="12" customHeight="1" x14ac:dyDescent="0.3">
      <c r="A37" s="56"/>
      <c r="B37" s="9">
        <f t="shared" si="5"/>
        <v>26</v>
      </c>
      <c r="C37" s="29" t="s">
        <v>139</v>
      </c>
      <c r="D37" s="29" t="s">
        <v>157</v>
      </c>
      <c r="E37" s="29" t="s">
        <v>88</v>
      </c>
      <c r="F37" s="10">
        <f>F36</f>
        <v>45902</v>
      </c>
      <c r="G37" s="65">
        <v>10</v>
      </c>
      <c r="H37" s="11">
        <f t="shared" si="12"/>
        <v>20</v>
      </c>
      <c r="I37" s="12">
        <f t="shared" si="13"/>
        <v>45902</v>
      </c>
      <c r="J37" s="12" cm="1">
        <f t="array" ref="J37">FinishDate(I37,G37,holidays)</f>
        <v>45916</v>
      </c>
      <c r="K37" s="66">
        <f t="shared" si="14"/>
        <v>14</v>
      </c>
      <c r="L37" s="24" cm="1">
        <f t="array" aca="1" ref="L37" ca="1">AutoProgress(I37,J37,holidays,$C$5)</f>
        <v>0</v>
      </c>
      <c r="M37" s="25">
        <f t="shared" ca="1" si="11"/>
        <v>0</v>
      </c>
      <c r="N37" s="13">
        <f t="shared" ca="1" si="0"/>
        <v>0</v>
      </c>
      <c r="O37" s="13">
        <f t="shared" ca="1" si="1"/>
        <v>0</v>
      </c>
      <c r="P37" s="13">
        <f t="shared" ca="1" si="2"/>
        <v>0</v>
      </c>
      <c r="Q37" s="13">
        <f t="shared" ca="1" si="3"/>
        <v>14</v>
      </c>
      <c r="R37" s="14" t="str">
        <f t="shared" ca="1" si="4"/>
        <v>0%</v>
      </c>
      <c r="S37" s="113" t="b">
        <v>1</v>
      </c>
      <c r="T37" s="113" t="s">
        <v>162</v>
      </c>
      <c r="U37" s="134">
        <f>1/G37</f>
        <v>0.1</v>
      </c>
      <c r="V37" s="25">
        <v>0.1</v>
      </c>
      <c r="W37" s="25">
        <v>0.2</v>
      </c>
      <c r="X37" s="25">
        <v>0.2</v>
      </c>
      <c r="Y37" s="25"/>
      <c r="Z37" s="25"/>
      <c r="AA37" s="25"/>
      <c r="AB37" s="25"/>
      <c r="AC37" s="25"/>
      <c r="AD37" s="102"/>
    </row>
    <row r="38" spans="1:30" ht="12" customHeight="1" x14ac:dyDescent="0.3">
      <c r="A38" s="56"/>
      <c r="B38" s="9">
        <f t="shared" si="5"/>
        <v>27</v>
      </c>
      <c r="C38" s="29" t="s">
        <v>89</v>
      </c>
      <c r="D38" s="29" t="str">
        <f t="shared" ref="D38:D45" si="16">C38</f>
        <v>Forensic Validation (R1)</v>
      </c>
      <c r="E38" s="29" t="s">
        <v>90</v>
      </c>
      <c r="F38" s="10">
        <f t="shared" si="15"/>
        <v>45916</v>
      </c>
      <c r="G38" s="65">
        <v>10</v>
      </c>
      <c r="H38" s="11">
        <f t="shared" si="12"/>
        <v>20</v>
      </c>
      <c r="I38" s="12">
        <f t="shared" si="13"/>
        <v>45916</v>
      </c>
      <c r="J38" s="12" cm="1">
        <f t="array" ref="J38">FinishDate(I38,G38,holidays)</f>
        <v>45930</v>
      </c>
      <c r="K38" s="66">
        <f t="shared" si="14"/>
        <v>14</v>
      </c>
      <c r="L38" s="24" cm="1">
        <f t="array" aca="1" ref="L38" ca="1">AutoProgress(I38,J38,holidays,$C$5)</f>
        <v>0</v>
      </c>
      <c r="M38" s="25">
        <f t="shared" ca="1" si="11"/>
        <v>0</v>
      </c>
      <c r="N38" s="13">
        <f t="shared" ca="1" si="0"/>
        <v>0</v>
      </c>
      <c r="O38" s="13">
        <f t="shared" ca="1" si="1"/>
        <v>0</v>
      </c>
      <c r="P38" s="13">
        <f t="shared" ca="1" si="2"/>
        <v>0</v>
      </c>
      <c r="Q38" s="13">
        <f t="shared" ca="1" si="3"/>
        <v>14</v>
      </c>
      <c r="R38" s="14" t="str">
        <f t="shared" ca="1" si="4"/>
        <v>0%</v>
      </c>
      <c r="S38" s="113" t="b">
        <v>0</v>
      </c>
      <c r="T38" s="113" t="s">
        <v>162</v>
      </c>
      <c r="U38" s="134">
        <v>0</v>
      </c>
      <c r="V38" s="25">
        <v>0</v>
      </c>
      <c r="W38" s="25">
        <v>0.2</v>
      </c>
      <c r="X38" s="25">
        <v>0.2</v>
      </c>
      <c r="Y38" s="25"/>
      <c r="Z38" s="25"/>
      <c r="AA38" s="25"/>
      <c r="AB38" s="25"/>
      <c r="AC38" s="25"/>
      <c r="AD38" s="102"/>
    </row>
    <row r="39" spans="1:30" ht="12" customHeight="1" x14ac:dyDescent="0.3">
      <c r="A39" s="56"/>
      <c r="B39" s="9">
        <f t="shared" si="5"/>
        <v>28</v>
      </c>
      <c r="C39" s="29" t="s">
        <v>91</v>
      </c>
      <c r="D39" s="29" t="str">
        <f t="shared" si="16"/>
        <v>Model Tuning &amp; Re-Evaluation</v>
      </c>
      <c r="E39" s="29" t="s">
        <v>92</v>
      </c>
      <c r="F39" s="10">
        <f t="shared" si="15"/>
        <v>45930</v>
      </c>
      <c r="G39" s="65">
        <v>15</v>
      </c>
      <c r="H39" s="11">
        <f t="shared" si="12"/>
        <v>20</v>
      </c>
      <c r="I39" s="12">
        <f t="shared" si="13"/>
        <v>45930</v>
      </c>
      <c r="J39" s="12" cm="1">
        <f t="array" ref="J39">FinishDate(I39,G39,holidays)</f>
        <v>45952</v>
      </c>
      <c r="K39" s="66">
        <f t="shared" si="14"/>
        <v>22</v>
      </c>
      <c r="L39" s="24" cm="1">
        <f t="array" aca="1" ref="L39" ca="1">AutoProgress(I39,J39,holidays,$C$5)</f>
        <v>0</v>
      </c>
      <c r="M39" s="25">
        <f t="shared" ca="1" si="11"/>
        <v>0</v>
      </c>
      <c r="N39" s="13">
        <f t="shared" ca="1" si="0"/>
        <v>0</v>
      </c>
      <c r="O39" s="13">
        <f t="shared" ca="1" si="1"/>
        <v>0</v>
      </c>
      <c r="P39" s="13">
        <f t="shared" ca="1" si="2"/>
        <v>0</v>
      </c>
      <c r="Q39" s="13">
        <f t="shared" ca="1" si="3"/>
        <v>22</v>
      </c>
      <c r="R39" s="14" t="str">
        <f t="shared" ca="1" si="4"/>
        <v>0%</v>
      </c>
      <c r="S39" s="113" t="b">
        <v>0</v>
      </c>
      <c r="T39" s="113" t="s">
        <v>162</v>
      </c>
      <c r="U39" s="134">
        <f>1.5/G39</f>
        <v>0.1</v>
      </c>
      <c r="V39" s="25">
        <v>7.4999999999999997E-2</v>
      </c>
      <c r="W39" s="25">
        <v>0.2</v>
      </c>
      <c r="X39" s="25">
        <v>0.2</v>
      </c>
      <c r="Y39" s="25"/>
      <c r="Z39" s="25"/>
      <c r="AA39" s="25"/>
      <c r="AB39" s="25"/>
      <c r="AC39" s="25"/>
      <c r="AD39" s="102"/>
    </row>
    <row r="40" spans="1:30" ht="12" customHeight="1" x14ac:dyDescent="0.3">
      <c r="A40" s="56"/>
      <c r="B40" s="9">
        <f t="shared" si="5"/>
        <v>29</v>
      </c>
      <c r="C40" s="29" t="s">
        <v>93</v>
      </c>
      <c r="D40" s="29" t="str">
        <f t="shared" si="16"/>
        <v>Forensic Validation (R2)</v>
      </c>
      <c r="E40" s="29" t="s">
        <v>94</v>
      </c>
      <c r="F40" s="10">
        <f t="shared" si="15"/>
        <v>45952</v>
      </c>
      <c r="G40" s="65">
        <v>15</v>
      </c>
      <c r="H40" s="11">
        <f t="shared" si="12"/>
        <v>20</v>
      </c>
      <c r="I40" s="12">
        <f t="shared" si="13"/>
        <v>45952</v>
      </c>
      <c r="J40" s="12" cm="1">
        <f t="array" ref="J40">FinishDate(I40,G40,holidays)</f>
        <v>45974</v>
      </c>
      <c r="K40" s="66">
        <f t="shared" si="14"/>
        <v>22</v>
      </c>
      <c r="L40" s="24" cm="1">
        <f t="array" aca="1" ref="L40" ca="1">AutoProgress(I40,J40,holidays,$C$5)</f>
        <v>0</v>
      </c>
      <c r="M40" s="25">
        <f t="shared" ca="1" si="11"/>
        <v>0</v>
      </c>
      <c r="N40" s="13">
        <f t="shared" ca="1" si="0"/>
        <v>0</v>
      </c>
      <c r="O40" s="13">
        <f t="shared" ca="1" si="1"/>
        <v>0</v>
      </c>
      <c r="P40" s="13">
        <f t="shared" ca="1" si="2"/>
        <v>0</v>
      </c>
      <c r="Q40" s="13">
        <f t="shared" ca="1" si="3"/>
        <v>22</v>
      </c>
      <c r="R40" s="14" t="str">
        <f t="shared" ca="1" si="4"/>
        <v>0%</v>
      </c>
      <c r="S40" s="113" t="b">
        <v>1</v>
      </c>
      <c r="T40" s="113" t="s">
        <v>162</v>
      </c>
      <c r="U40" s="134">
        <v>0</v>
      </c>
      <c r="V40" s="25">
        <v>0</v>
      </c>
      <c r="W40" s="25">
        <v>0.2</v>
      </c>
      <c r="X40" s="25">
        <v>0.2</v>
      </c>
      <c r="Y40" s="25"/>
      <c r="Z40" s="25"/>
      <c r="AA40" s="25"/>
      <c r="AB40" s="25"/>
      <c r="AC40" s="25"/>
      <c r="AD40" s="102"/>
    </row>
    <row r="41" spans="1:30" ht="12" customHeight="1" x14ac:dyDescent="0.3">
      <c r="A41" s="56"/>
      <c r="B41" s="9">
        <f t="shared" si="5"/>
        <v>30</v>
      </c>
      <c r="C41" s="29" t="s">
        <v>95</v>
      </c>
      <c r="D41" s="29" t="s">
        <v>187</v>
      </c>
      <c r="E41" s="29" t="s">
        <v>96</v>
      </c>
      <c r="F41" s="10">
        <f t="shared" si="15"/>
        <v>45974</v>
      </c>
      <c r="G41" s="65">
        <v>2</v>
      </c>
      <c r="H41" s="11">
        <f t="shared" si="12"/>
        <v>20</v>
      </c>
      <c r="I41" s="12">
        <f t="shared" si="13"/>
        <v>45974</v>
      </c>
      <c r="J41" s="12" cm="1">
        <f t="array" ref="J41">FinishDate(I41,G41,holidays)</f>
        <v>45976</v>
      </c>
      <c r="K41" s="66">
        <f t="shared" si="14"/>
        <v>2</v>
      </c>
      <c r="L41" s="24" cm="1">
        <f t="array" aca="1" ref="L41" ca="1">AutoProgress(I41,J41,holidays,$C$5)</f>
        <v>0</v>
      </c>
      <c r="M41" s="25">
        <f t="shared" ca="1" si="11"/>
        <v>0</v>
      </c>
      <c r="N41" s="13">
        <f t="shared" ca="1" si="0"/>
        <v>0</v>
      </c>
      <c r="O41" s="13">
        <f t="shared" ca="1" si="1"/>
        <v>0</v>
      </c>
      <c r="P41" s="13">
        <f t="shared" ca="1" si="2"/>
        <v>0</v>
      </c>
      <c r="Q41" s="13">
        <f t="shared" ca="1" si="3"/>
        <v>2</v>
      </c>
      <c r="R41" s="14" t="str">
        <f t="shared" ca="1" si="4"/>
        <v>0%</v>
      </c>
      <c r="S41" s="113" t="b">
        <v>1</v>
      </c>
      <c r="T41" s="113" t="s">
        <v>162</v>
      </c>
      <c r="U41" s="134">
        <f>0.5/G41</f>
        <v>0.25</v>
      </c>
      <c r="V41" s="25">
        <v>0.25</v>
      </c>
      <c r="W41" s="25">
        <v>0.2</v>
      </c>
      <c r="X41" s="25">
        <v>0.2</v>
      </c>
      <c r="Y41" s="25"/>
      <c r="Z41" s="25"/>
      <c r="AA41" s="25"/>
      <c r="AB41" s="25"/>
      <c r="AC41" s="25"/>
      <c r="AD41" s="102"/>
    </row>
    <row r="42" spans="1:30" ht="12" customHeight="1" x14ac:dyDescent="0.3">
      <c r="A42" s="56"/>
      <c r="B42" s="9">
        <f t="shared" si="5"/>
        <v>31</v>
      </c>
      <c r="C42" s="29" t="s">
        <v>97</v>
      </c>
      <c r="D42" s="29" t="str">
        <f t="shared" si="16"/>
        <v>Deployment Planning</v>
      </c>
      <c r="E42" s="29" t="s">
        <v>98</v>
      </c>
      <c r="F42" s="10">
        <f t="shared" si="15"/>
        <v>45976</v>
      </c>
      <c r="G42" s="65">
        <v>2</v>
      </c>
      <c r="H42" s="11">
        <f t="shared" si="12"/>
        <v>20</v>
      </c>
      <c r="I42" s="12">
        <f t="shared" si="13"/>
        <v>45978</v>
      </c>
      <c r="J42" s="12" cm="1">
        <f t="array" ref="J42">FinishDate(I42,G42,holidays)</f>
        <v>45980</v>
      </c>
      <c r="K42" s="66">
        <f t="shared" si="14"/>
        <v>2</v>
      </c>
      <c r="L42" s="24" cm="1">
        <f t="array" aca="1" ref="L42" ca="1">AutoProgress(I42,J42,holidays,$C$5)</f>
        <v>0</v>
      </c>
      <c r="M42" s="25">
        <f t="shared" ca="1" si="11"/>
        <v>0</v>
      </c>
      <c r="N42" s="13">
        <f t="shared" ca="1" si="0"/>
        <v>0</v>
      </c>
      <c r="O42" s="13">
        <f t="shared" ca="1" si="1"/>
        <v>0</v>
      </c>
      <c r="P42" s="13">
        <f t="shared" ca="1" si="2"/>
        <v>0</v>
      </c>
      <c r="Q42" s="13">
        <f t="shared" ca="1" si="3"/>
        <v>2</v>
      </c>
      <c r="R42" s="14" t="str">
        <f t="shared" ca="1" si="4"/>
        <v>0%</v>
      </c>
      <c r="S42" s="113" t="b">
        <v>0</v>
      </c>
      <c r="T42" s="113" t="s">
        <v>162</v>
      </c>
      <c r="U42" s="134">
        <f>0.5/G42</f>
        <v>0.25</v>
      </c>
      <c r="V42" s="25">
        <v>0.25</v>
      </c>
      <c r="W42" s="25">
        <v>0.2</v>
      </c>
      <c r="X42" s="25">
        <v>0.2</v>
      </c>
      <c r="Y42" s="25"/>
      <c r="Z42" s="25"/>
      <c r="AA42" s="25"/>
      <c r="AB42" s="25"/>
      <c r="AC42" s="25"/>
      <c r="AD42" s="102"/>
    </row>
    <row r="43" spans="1:30" ht="12" customHeight="1" x14ac:dyDescent="0.3">
      <c r="A43" s="56"/>
      <c r="B43" s="9">
        <f t="shared" si="5"/>
        <v>32</v>
      </c>
      <c r="C43" s="29" t="s">
        <v>99</v>
      </c>
      <c r="D43" s="29" t="str">
        <f t="shared" si="16"/>
        <v>Deployment Execution</v>
      </c>
      <c r="E43" s="29" t="s">
        <v>100</v>
      </c>
      <c r="F43" s="10">
        <f t="shared" si="15"/>
        <v>45980</v>
      </c>
      <c r="G43" s="65">
        <v>5</v>
      </c>
      <c r="H43" s="11">
        <f t="shared" si="12"/>
        <v>20</v>
      </c>
      <c r="I43" s="12">
        <f t="shared" si="13"/>
        <v>45980</v>
      </c>
      <c r="J43" s="12" cm="1">
        <f t="array" ref="J43">FinishDate(I43,G43,holidays)</f>
        <v>45987</v>
      </c>
      <c r="K43" s="66">
        <f t="shared" si="14"/>
        <v>7</v>
      </c>
      <c r="L43" s="24" cm="1">
        <f t="array" aca="1" ref="L43" ca="1">AutoProgress(I43,J43,holidays,$C$5)</f>
        <v>0</v>
      </c>
      <c r="M43" s="25">
        <f t="shared" ca="1" si="11"/>
        <v>0</v>
      </c>
      <c r="N43" s="13">
        <f t="shared" ca="1" si="0"/>
        <v>0</v>
      </c>
      <c r="O43" s="13">
        <f t="shared" ca="1" si="1"/>
        <v>0</v>
      </c>
      <c r="P43" s="13">
        <f t="shared" ca="1" si="2"/>
        <v>0</v>
      </c>
      <c r="Q43" s="13">
        <f t="shared" ca="1" si="3"/>
        <v>7</v>
      </c>
      <c r="R43" s="14" t="str">
        <f t="shared" ca="1" si="4"/>
        <v>0%</v>
      </c>
      <c r="S43" s="113" t="b">
        <v>1</v>
      </c>
      <c r="T43" s="113" t="s">
        <v>162</v>
      </c>
      <c r="U43" s="134">
        <f>0.5/G43</f>
        <v>0.1</v>
      </c>
      <c r="V43" s="25">
        <v>0.1</v>
      </c>
      <c r="W43" s="25">
        <v>0.2</v>
      </c>
      <c r="X43" s="25">
        <v>0.2</v>
      </c>
      <c r="Y43" s="25"/>
      <c r="Z43" s="25"/>
      <c r="AA43" s="25"/>
      <c r="AB43" s="25"/>
      <c r="AC43" s="25"/>
      <c r="AD43" s="102"/>
    </row>
    <row r="44" spans="1:30" ht="12" customHeight="1" x14ac:dyDescent="0.3">
      <c r="A44" s="56"/>
      <c r="B44" s="15">
        <f t="shared" si="5"/>
        <v>33</v>
      </c>
      <c r="C44" s="30" t="s">
        <v>101</v>
      </c>
      <c r="D44" s="30" t="str">
        <f t="shared" si="16"/>
        <v>Monitoring &amp; Transition</v>
      </c>
      <c r="E44" s="30" t="s">
        <v>102</v>
      </c>
      <c r="F44" s="16">
        <f t="shared" si="15"/>
        <v>45987</v>
      </c>
      <c r="G44" s="67">
        <v>15</v>
      </c>
      <c r="H44" s="17">
        <f t="shared" si="12"/>
        <v>20</v>
      </c>
      <c r="I44" s="18">
        <f t="shared" si="13"/>
        <v>45987</v>
      </c>
      <c r="J44" s="18" cm="1">
        <f t="array" ref="J44">FinishDate(I44,G44,holidays)</f>
        <v>46010</v>
      </c>
      <c r="K44" s="68">
        <f t="shared" si="14"/>
        <v>23</v>
      </c>
      <c r="L44" s="26" cm="1">
        <f t="array" aca="1" ref="L44" ca="1">AutoProgress(I44,J44,holidays,$C$5)</f>
        <v>0</v>
      </c>
      <c r="M44" s="27">
        <f t="shared" ca="1" si="11"/>
        <v>0</v>
      </c>
      <c r="N44" s="19">
        <f t="shared" ca="1" si="0"/>
        <v>0</v>
      </c>
      <c r="O44" s="19">
        <f t="shared" ca="1" si="1"/>
        <v>0</v>
      </c>
      <c r="P44" s="19">
        <f t="shared" ca="1" si="2"/>
        <v>0</v>
      </c>
      <c r="Q44" s="19">
        <f t="shared" ca="1" si="3"/>
        <v>23</v>
      </c>
      <c r="R44" s="20" t="str">
        <f t="shared" ca="1" si="4"/>
        <v>0%</v>
      </c>
      <c r="S44" s="114" t="b">
        <v>1</v>
      </c>
      <c r="T44" s="114" t="s">
        <v>162</v>
      </c>
      <c r="U44" s="135">
        <f>2/G44</f>
        <v>0.13333333333333333</v>
      </c>
      <c r="V44" s="27">
        <v>0.1</v>
      </c>
      <c r="W44" s="27">
        <v>0.2</v>
      </c>
      <c r="X44" s="27">
        <v>0.2</v>
      </c>
      <c r="Y44" s="27"/>
      <c r="Z44" s="27"/>
      <c r="AA44" s="27"/>
      <c r="AB44" s="27"/>
      <c r="AC44" s="27"/>
      <c r="AD44" s="69"/>
    </row>
    <row r="45" spans="1:30" x14ac:dyDescent="0.3">
      <c r="A45" s="56"/>
      <c r="B45" s="120">
        <f t="shared" si="5"/>
        <v>34</v>
      </c>
      <c r="C45" s="71" t="s">
        <v>145</v>
      </c>
      <c r="D45" s="71" t="str">
        <f t="shared" si="16"/>
        <v>Committee approval</v>
      </c>
      <c r="E45" s="71" t="s">
        <v>148</v>
      </c>
      <c r="F45" s="72">
        <f>I45</f>
        <v>46010</v>
      </c>
      <c r="G45" s="73">
        <f>NETWORKDAYS(I45,J45-1,holidays)</f>
        <v>5</v>
      </c>
      <c r="H45" s="74">
        <f>B45</f>
        <v>34</v>
      </c>
      <c r="I45" s="72">
        <f>MIN(I46:I47)</f>
        <v>46010</v>
      </c>
      <c r="J45" s="72">
        <f>MAX(J46:J47)</f>
        <v>46017</v>
      </c>
      <c r="K45" s="75">
        <f t="shared" si="14"/>
        <v>7</v>
      </c>
      <c r="L45" s="76" cm="1">
        <f t="array" aca="1" ref="L45" ca="1">WeightedProgress(L46:L47,G46:G47)</f>
        <v>0</v>
      </c>
      <c r="M45" s="77" cm="1">
        <f t="array" aca="1" ref="M45" ca="1">WeightedProgress(M46:M47,G46:G47)</f>
        <v>0</v>
      </c>
      <c r="N45" s="78">
        <f t="shared" ca="1" si="0"/>
        <v>0</v>
      </c>
      <c r="O45" s="78">
        <f t="shared" ca="1" si="1"/>
        <v>0</v>
      </c>
      <c r="P45" s="78">
        <f t="shared" ca="1" si="2"/>
        <v>0</v>
      </c>
      <c r="Q45" s="78">
        <f t="shared" ca="1" si="3"/>
        <v>7</v>
      </c>
      <c r="R45" s="79" t="str">
        <f t="shared" ca="1" si="4"/>
        <v>0%</v>
      </c>
      <c r="S45" s="115" t="b">
        <v>1</v>
      </c>
      <c r="T45" s="115" t="s">
        <v>161</v>
      </c>
      <c r="U45" s="136">
        <v>0</v>
      </c>
      <c r="V45" s="77">
        <v>0</v>
      </c>
      <c r="W45" s="77">
        <v>0</v>
      </c>
      <c r="X45" s="77">
        <v>0</v>
      </c>
      <c r="Y45" s="77"/>
      <c r="Z45" s="77"/>
      <c r="AA45" s="77"/>
      <c r="AB45" s="77"/>
      <c r="AC45" s="77"/>
      <c r="AD45" s="103"/>
    </row>
    <row r="46" spans="1:30" x14ac:dyDescent="0.3">
      <c r="A46" s="56"/>
      <c r="B46" s="9">
        <f t="shared" si="5"/>
        <v>35</v>
      </c>
      <c r="C46" s="29" t="s">
        <v>110</v>
      </c>
      <c r="D46" s="29" t="str">
        <f>C46</f>
        <v>Material Preparation</v>
      </c>
      <c r="E46" s="29" t="s">
        <v>147</v>
      </c>
      <c r="F46" s="10">
        <f>J44</f>
        <v>46010</v>
      </c>
      <c r="G46" s="65">
        <v>4</v>
      </c>
      <c r="H46" s="11">
        <f>H45</f>
        <v>34</v>
      </c>
      <c r="I46" s="12">
        <f t="shared" si="13"/>
        <v>46010</v>
      </c>
      <c r="J46" s="12" cm="1">
        <f t="array" ref="J46">FinishDate(I46,G46,holidays)</f>
        <v>46016</v>
      </c>
      <c r="K46" s="66">
        <f t="shared" si="14"/>
        <v>6</v>
      </c>
      <c r="L46" s="24" cm="1">
        <f t="array" aca="1" ref="L46" ca="1">AutoProgress(I46,J46,holidays,$C$5)</f>
        <v>0</v>
      </c>
      <c r="M46" s="25">
        <f ca="1">L46</f>
        <v>0</v>
      </c>
      <c r="N46" s="13">
        <f t="shared" ca="1" si="0"/>
        <v>0</v>
      </c>
      <c r="O46" s="13">
        <f t="shared" ca="1" si="1"/>
        <v>0</v>
      </c>
      <c r="P46" s="13">
        <f t="shared" ca="1" si="2"/>
        <v>0</v>
      </c>
      <c r="Q46" s="13">
        <f t="shared" ca="1" si="3"/>
        <v>6</v>
      </c>
      <c r="R46" s="14" t="str">
        <f t="shared" ca="1" si="4"/>
        <v>0%</v>
      </c>
      <c r="S46" s="113" t="b">
        <v>0</v>
      </c>
      <c r="T46" s="113" t="s">
        <v>161</v>
      </c>
      <c r="U46" s="134">
        <f>1/G46</f>
        <v>0.25</v>
      </c>
      <c r="V46" s="25">
        <v>0.2</v>
      </c>
      <c r="W46" s="25">
        <v>0.2</v>
      </c>
      <c r="X46" s="25">
        <v>0.2</v>
      </c>
      <c r="Y46" s="25"/>
      <c r="Z46" s="25"/>
      <c r="AA46" s="25"/>
      <c r="AB46" s="25"/>
      <c r="AC46" s="25"/>
      <c r="AD46" s="102"/>
    </row>
    <row r="47" spans="1:30" x14ac:dyDescent="0.3">
      <c r="A47" s="56"/>
      <c r="B47" s="21">
        <f t="shared" si="5"/>
        <v>36</v>
      </c>
      <c r="C47" s="31" t="s">
        <v>146</v>
      </c>
      <c r="D47" s="31" t="str">
        <f>C47</f>
        <v>Project Sign-off meeting</v>
      </c>
      <c r="E47" s="31" t="s">
        <v>148</v>
      </c>
      <c r="F47" s="121">
        <f>J46</f>
        <v>46016</v>
      </c>
      <c r="G47" s="86">
        <v>1</v>
      </c>
      <c r="H47" s="122">
        <f>H46</f>
        <v>34</v>
      </c>
      <c r="I47" s="22">
        <f t="shared" si="13"/>
        <v>46016</v>
      </c>
      <c r="J47" s="22" cm="1">
        <f t="array" ref="J47">FinishDate(I47,G47,holidays)</f>
        <v>46017</v>
      </c>
      <c r="K47" s="123">
        <f t="shared" si="14"/>
        <v>1</v>
      </c>
      <c r="L47" s="124" cm="1">
        <f t="array" aca="1" ref="L47" ca="1">AutoProgress(I47,J47,holidays,$C$5)</f>
        <v>0</v>
      </c>
      <c r="M47" s="28">
        <f ca="1">L47</f>
        <v>0</v>
      </c>
      <c r="N47" s="23">
        <f t="shared" ca="1" si="0"/>
        <v>0</v>
      </c>
      <c r="O47" s="23">
        <f t="shared" ca="1" si="1"/>
        <v>0</v>
      </c>
      <c r="P47" s="23">
        <f t="shared" ca="1" si="2"/>
        <v>0</v>
      </c>
      <c r="Q47" s="23">
        <f t="shared" ca="1" si="3"/>
        <v>1</v>
      </c>
      <c r="R47" s="125" t="str">
        <f t="shared" ca="1" si="4"/>
        <v>0%</v>
      </c>
      <c r="S47" s="126" t="b">
        <v>1</v>
      </c>
      <c r="T47" s="126" t="s">
        <v>161</v>
      </c>
      <c r="U47" s="137">
        <f>0.5/G47</f>
        <v>0.5</v>
      </c>
      <c r="V47" s="28">
        <v>0.2</v>
      </c>
      <c r="W47" s="28">
        <v>0.2</v>
      </c>
      <c r="X47" s="28">
        <v>0.2</v>
      </c>
      <c r="Y47" s="28"/>
      <c r="Z47" s="28"/>
      <c r="AA47" s="28"/>
      <c r="AB47" s="28"/>
      <c r="AC47" s="28"/>
      <c r="AD47" s="104"/>
    </row>
  </sheetData>
  <mergeCells count="16">
    <mergeCell ref="B10:B11"/>
    <mergeCell ref="C10:C11"/>
    <mergeCell ref="D10:D11"/>
    <mergeCell ref="H10:H11"/>
    <mergeCell ref="F10:F11"/>
    <mergeCell ref="T10:T11"/>
    <mergeCell ref="U10:AD10"/>
    <mergeCell ref="E10:E11"/>
    <mergeCell ref="G10:G11"/>
    <mergeCell ref="S10:S11"/>
    <mergeCell ref="N10:R10"/>
    <mergeCell ref="I10:I11"/>
    <mergeCell ref="J10:J11"/>
    <mergeCell ref="K10:K11"/>
    <mergeCell ref="L10:L11"/>
    <mergeCell ref="M10:M11"/>
  </mergeCells>
  <phoneticPr fontId="15" type="noConversion"/>
  <dataValidations count="7">
    <dataValidation allowBlank="1" showErrorMessage="1" sqref="C5:C8 U12:AE47 N12:R47 I12:L47" xr:uid="{99736726-8813-4FF6-AD55-FAE6A42F85DE}"/>
    <dataValidation type="date" allowBlank="1" showErrorMessage="1" sqref="N12:R47 U12:AE47 J12:K47" xr:uid="{898DF574-9917-464F-9CFB-485A1F7D818E}">
      <formula1>45292</formula1>
      <formula2>54789</formula2>
    </dataValidation>
    <dataValidation type="date" allowBlank="1" showErrorMessage="1" sqref="F13:F47" xr:uid="{F640859D-4FE4-4908-83DB-B1B1C734AB98}">
      <formula1>36526</formula1>
      <formula2>219148</formula2>
    </dataValidation>
    <dataValidation type="whole" allowBlank="1" showErrorMessage="1" sqref="G12:H47" xr:uid="{F1C0E0EE-07BD-4BFA-97C2-757ABC618F4F}">
      <formula1>0</formula1>
      <formula2>1000</formula2>
    </dataValidation>
    <dataValidation type="decimal" allowBlank="1" showErrorMessage="1" sqref="M12:M47" xr:uid="{8414890C-126E-456E-A45F-739C71F1FD88}">
      <formula1>0</formula1>
      <formula2>1</formula2>
    </dataValidation>
    <dataValidation type="list" allowBlank="1" showErrorMessage="1" sqref="S12:S47" xr:uid="{6BBAB83B-48C2-4DA4-A9C4-2F14C87617B6}">
      <formula1>"TRUE,FALSE"</formula1>
    </dataValidation>
    <dataValidation type="list" allowBlank="1" showErrorMessage="1" sqref="T12:T47" xr:uid="{685793D8-D332-4E19-B7E7-72686948BEAB}">
      <formula1>"A,B,C,D,E"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5" r:id="rId4" name="Button 15">
              <controlPr defaultSize="0" print="0" autoFill="0" autoPict="0" macro="[0]!CreateNewChart">
                <anchor moveWithCells="1" sizeWithCells="1">
                  <from>
                    <xdr:col>3</xdr:col>
                    <xdr:colOff>95250</xdr:colOff>
                    <xdr:row>1</xdr:row>
                    <xdr:rowOff>165100</xdr:rowOff>
                  </from>
                  <to>
                    <xdr:col>3</xdr:col>
                    <xdr:colOff>1536700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5" name="Button 41">
              <controlPr defaultSize="0" print="0" autoFill="0" autoPict="0" macro="[0]!UpdateSummaryChart">
                <anchor moveWithCells="1" sizeWithCells="1">
                  <from>
                    <xdr:col>3</xdr:col>
                    <xdr:colOff>95250</xdr:colOff>
                    <xdr:row>4</xdr:row>
                    <xdr:rowOff>19050</xdr:rowOff>
                  </from>
                  <to>
                    <xdr:col>3</xdr:col>
                    <xdr:colOff>1536700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BF813-C739-45D4-A2EE-CE03556EF749}">
  <sheetPr codeName="Sheet8"/>
  <dimension ref="B2:AC70"/>
  <sheetViews>
    <sheetView showGridLines="0" topLeftCell="A11" zoomScaleNormal="100" workbookViewId="0">
      <selection activeCell="G68" sqref="G68"/>
    </sheetView>
  </sheetViews>
  <sheetFormatPr defaultColWidth="8" defaultRowHeight="13" x14ac:dyDescent="0.3"/>
  <cols>
    <col min="1" max="1" width="3.58203125" style="8" customWidth="1"/>
    <col min="2" max="2" width="6.58203125" style="8" customWidth="1"/>
    <col min="3" max="3" width="30.58203125" style="8" customWidth="1"/>
    <col min="4" max="6" width="10.58203125" style="8" customWidth="1"/>
    <col min="7" max="29" width="7.58203125" style="8" customWidth="1"/>
    <col min="30" max="16384" width="8" style="8"/>
  </cols>
  <sheetData>
    <row r="2" spans="2:29" ht="15" customHeight="1" x14ac:dyDescent="0.3">
      <c r="B2" s="32" t="s">
        <v>50</v>
      </c>
    </row>
    <row r="3" spans="2:29" ht="15" customHeight="1" x14ac:dyDescent="0.3">
      <c r="B3" s="127" t="s">
        <v>51</v>
      </c>
      <c r="C3" s="41" t="str">
        <f t="array" ref="C3:C8">WorkSchedule!C3:C8</f>
        <v>PJ2504_0166</v>
      </c>
    </row>
    <row r="4" spans="2:29" ht="15" customHeight="1" x14ac:dyDescent="0.3">
      <c r="B4" s="128" t="s">
        <v>52</v>
      </c>
      <c r="C4" s="43" t="str">
        <v>Online Application Fraud</v>
      </c>
    </row>
    <row r="5" spans="2:29" ht="15" customHeight="1" x14ac:dyDescent="0.3">
      <c r="B5" s="129" t="s">
        <v>53</v>
      </c>
      <c r="C5" s="42">
        <f ca="1"/>
        <v>45822</v>
      </c>
    </row>
    <row r="6" spans="2:29" ht="15" customHeight="1" x14ac:dyDescent="0.3">
      <c r="B6" s="129" t="s">
        <v>39</v>
      </c>
      <c r="C6" s="42">
        <v>45783</v>
      </c>
    </row>
    <row r="7" spans="2:29" ht="15" customHeight="1" x14ac:dyDescent="0.3">
      <c r="B7" s="129" t="s">
        <v>49</v>
      </c>
      <c r="C7" s="42">
        <v>46017</v>
      </c>
    </row>
    <row r="8" spans="2:29" ht="15" customHeight="1" x14ac:dyDescent="0.3">
      <c r="B8" s="130" t="s">
        <v>42</v>
      </c>
      <c r="C8" s="54" t="str">
        <v>234 days</v>
      </c>
    </row>
    <row r="9" spans="2:29" ht="15" customHeight="1" x14ac:dyDescent="0.3"/>
    <row r="10" spans="2:29" ht="15" customHeight="1" x14ac:dyDescent="0.3">
      <c r="B10" s="165" t="s">
        <v>45</v>
      </c>
      <c r="C10" s="161" t="s">
        <v>37</v>
      </c>
      <c r="D10" s="161" t="s">
        <v>39</v>
      </c>
      <c r="E10" s="161" t="s">
        <v>49</v>
      </c>
      <c r="F10" s="167" t="s">
        <v>103</v>
      </c>
      <c r="G10" s="81">
        <f>DATE(YEAR($C$6),MONTH($C$6),1)</f>
        <v>45778</v>
      </c>
      <c r="H10" s="81">
        <f>EOMONTH(G10,0)+1</f>
        <v>45809</v>
      </c>
      <c r="I10" s="81">
        <f t="shared" ref="I10:AC10" si="0">EOMONTH(H10,0)+1</f>
        <v>45839</v>
      </c>
      <c r="J10" s="81">
        <f t="shared" si="0"/>
        <v>45870</v>
      </c>
      <c r="K10" s="81">
        <f t="shared" si="0"/>
        <v>45901</v>
      </c>
      <c r="L10" s="81">
        <f t="shared" si="0"/>
        <v>45931</v>
      </c>
      <c r="M10" s="81">
        <f t="shared" si="0"/>
        <v>45962</v>
      </c>
      <c r="N10" s="81">
        <f t="shared" si="0"/>
        <v>45992</v>
      </c>
      <c r="O10" s="81">
        <f t="shared" si="0"/>
        <v>46023</v>
      </c>
      <c r="P10" s="81">
        <f t="shared" si="0"/>
        <v>46054</v>
      </c>
      <c r="Q10" s="81">
        <f t="shared" si="0"/>
        <v>46082</v>
      </c>
      <c r="R10" s="81">
        <f t="shared" si="0"/>
        <v>46113</v>
      </c>
      <c r="S10" s="81">
        <f t="shared" si="0"/>
        <v>46143</v>
      </c>
      <c r="T10" s="81">
        <f t="shared" si="0"/>
        <v>46174</v>
      </c>
      <c r="U10" s="81">
        <f t="shared" si="0"/>
        <v>46204</v>
      </c>
      <c r="V10" s="81">
        <f t="shared" si="0"/>
        <v>46235</v>
      </c>
      <c r="W10" s="81">
        <f t="shared" si="0"/>
        <v>46266</v>
      </c>
      <c r="X10" s="81">
        <f t="shared" si="0"/>
        <v>46296</v>
      </c>
      <c r="Y10" s="81">
        <f t="shared" si="0"/>
        <v>46327</v>
      </c>
      <c r="Z10" s="81">
        <f t="shared" si="0"/>
        <v>46357</v>
      </c>
      <c r="AA10" s="81">
        <f t="shared" si="0"/>
        <v>46388</v>
      </c>
      <c r="AB10" s="81">
        <f t="shared" si="0"/>
        <v>46419</v>
      </c>
      <c r="AC10" s="82">
        <f t="shared" si="0"/>
        <v>46447</v>
      </c>
    </row>
    <row r="11" spans="2:29" ht="15" customHeight="1" x14ac:dyDescent="0.3">
      <c r="B11" s="166"/>
      <c r="C11" s="158"/>
      <c r="D11" s="158"/>
      <c r="E11" s="158"/>
      <c r="F11" s="168"/>
      <c r="G11" s="83">
        <f t="shared" ref="G11:AC11" si="1">NETWORKDAYS(G10,EOMONTH(G10,0),holidays)</f>
        <v>19</v>
      </c>
      <c r="H11" s="83">
        <f t="shared" si="1"/>
        <v>19</v>
      </c>
      <c r="I11" s="83">
        <f t="shared" si="1"/>
        <v>21</v>
      </c>
      <c r="J11" s="83">
        <f t="shared" si="1"/>
        <v>19</v>
      </c>
      <c r="K11" s="83">
        <f t="shared" si="1"/>
        <v>22</v>
      </c>
      <c r="L11" s="83">
        <f t="shared" si="1"/>
        <v>21</v>
      </c>
      <c r="M11" s="83">
        <f t="shared" si="1"/>
        <v>20</v>
      </c>
      <c r="N11" s="83">
        <f t="shared" si="1"/>
        <v>20</v>
      </c>
      <c r="O11" s="83">
        <f t="shared" si="1"/>
        <v>22</v>
      </c>
      <c r="P11" s="83">
        <f t="shared" si="1"/>
        <v>20</v>
      </c>
      <c r="Q11" s="83">
        <f t="shared" si="1"/>
        <v>22</v>
      </c>
      <c r="R11" s="83">
        <f t="shared" si="1"/>
        <v>22</v>
      </c>
      <c r="S11" s="83">
        <f t="shared" si="1"/>
        <v>21</v>
      </c>
      <c r="T11" s="83">
        <f t="shared" si="1"/>
        <v>22</v>
      </c>
      <c r="U11" s="83">
        <f t="shared" si="1"/>
        <v>23</v>
      </c>
      <c r="V11" s="83">
        <f t="shared" si="1"/>
        <v>21</v>
      </c>
      <c r="W11" s="83">
        <f t="shared" si="1"/>
        <v>22</v>
      </c>
      <c r="X11" s="83">
        <f t="shared" si="1"/>
        <v>22</v>
      </c>
      <c r="Y11" s="83">
        <f t="shared" si="1"/>
        <v>21</v>
      </c>
      <c r="Z11" s="83">
        <f t="shared" si="1"/>
        <v>23</v>
      </c>
      <c r="AA11" s="83">
        <f t="shared" si="1"/>
        <v>21</v>
      </c>
      <c r="AB11" s="83">
        <f t="shared" si="1"/>
        <v>20</v>
      </c>
      <c r="AC11" s="84">
        <f t="shared" si="1"/>
        <v>23</v>
      </c>
    </row>
    <row r="12" spans="2:29" ht="15" customHeight="1" x14ac:dyDescent="0.3">
      <c r="B12" s="106">
        <v>1</v>
      </c>
      <c r="C12" s="47" t="s">
        <v>62</v>
      </c>
      <c r="D12" s="48">
        <f t="array" ref="D12:E47">WorkSchedule!I12:J47</f>
        <v>45783</v>
      </c>
      <c r="E12" s="48">
        <v>46017</v>
      </c>
      <c r="F12" s="60">
        <f>IFERROR(NETWORKDAYS(D12,E12-1,holidays),0)</f>
        <v>157</v>
      </c>
      <c r="G12" s="50" cm="1">
        <f t="array" ref="G12">IFERROR(CommonWorkdays($D12,$E12,G$10,EOMONTH(G$10,0)+1,holidays),0)</f>
        <v>18</v>
      </c>
      <c r="H12" s="50" cm="1">
        <f t="array" ref="H12">IFERROR(CommonWorkdays($D12,$E12,H$10,EOMONTH(H$10,0)+1,holidays),0)</f>
        <v>19</v>
      </c>
      <c r="I12" s="50" cm="1">
        <f t="array" ref="I12">IFERROR(CommonWorkdays($D12,$E12,I$10,EOMONTH(I$10,0)+1,holidays),0)</f>
        <v>21</v>
      </c>
      <c r="J12" s="50" cm="1">
        <f t="array" ref="J12">IFERROR(CommonWorkdays($D12,$E12,J$10,EOMONTH(J$10,0)+1,holidays),0)</f>
        <v>19</v>
      </c>
      <c r="K12" s="50" cm="1">
        <f t="array" ref="K12">IFERROR(CommonWorkdays($D12,$E12,K$10,EOMONTH(K$10,0)+1,holidays),0)</f>
        <v>22</v>
      </c>
      <c r="L12" s="50" cm="1">
        <f t="array" ref="L12">IFERROR(CommonWorkdays($D12,$E12,L$10,EOMONTH(L$10,0)+1,holidays),0)</f>
        <v>21</v>
      </c>
      <c r="M12" s="50" cm="1">
        <f t="array" ref="M12">IFERROR(CommonWorkdays($D12,$E12,M$10,EOMONTH(M$10,0)+1,holidays),0)</f>
        <v>20</v>
      </c>
      <c r="N12" s="50" cm="1">
        <f t="array" ref="N12">IFERROR(CommonWorkdays($D12,$E12,N$10,EOMONTH(N$10,0)+1,holidays),0)</f>
        <v>17</v>
      </c>
      <c r="O12" s="50" cm="1">
        <f t="array" ref="O12">IFERROR(CommonWorkdays($D12,$E12,O$10,EOMONTH(O$10,0)+1,holidays),0)</f>
        <v>0</v>
      </c>
      <c r="P12" s="50" cm="1">
        <f t="array" ref="P12">IFERROR(CommonWorkdays($D12,$E12,P$10,EOMONTH(P$10,0)+1,holidays),0)</f>
        <v>0</v>
      </c>
      <c r="Q12" s="50" cm="1">
        <f t="array" ref="Q12">IFERROR(CommonWorkdays($D12,$E12,Q$10,EOMONTH(Q$10,0)+1,holidays),0)</f>
        <v>0</v>
      </c>
      <c r="R12" s="50" cm="1">
        <f t="array" ref="R12">IFERROR(CommonWorkdays($D12,$E12,R$10,EOMONTH(R$10,0)+1,holidays),0)</f>
        <v>0</v>
      </c>
      <c r="S12" s="50" cm="1">
        <f t="array" ref="S12">IFERROR(CommonWorkdays($D12,$E12,S$10,EOMONTH(S$10,0)+1,holidays),0)</f>
        <v>0</v>
      </c>
      <c r="T12" s="50" cm="1">
        <f t="array" ref="T12">IFERROR(CommonWorkdays($D12,$E12,T$10,EOMONTH(T$10,0)+1,holidays),0)</f>
        <v>0</v>
      </c>
      <c r="U12" s="50" cm="1">
        <f t="array" ref="U12">IFERROR(CommonWorkdays($D12,$E12,U$10,EOMONTH(U$10,0)+1,holidays),0)</f>
        <v>0</v>
      </c>
      <c r="V12" s="50" cm="1">
        <f t="array" ref="V12">IFERROR(CommonWorkdays($D12,$E12,V$10,EOMONTH(V$10,0)+1,holidays),0)</f>
        <v>0</v>
      </c>
      <c r="W12" s="50" cm="1">
        <f t="array" ref="W12">IFERROR(CommonWorkdays($D12,$E12,W$10,EOMONTH(W$10,0)+1,holidays),0)</f>
        <v>0</v>
      </c>
      <c r="X12" s="50" cm="1">
        <f t="array" ref="X12">IFERROR(CommonWorkdays($D12,$E12,X$10,EOMONTH(X$10,0)+1,holidays),0)</f>
        <v>0</v>
      </c>
      <c r="Y12" s="50" cm="1">
        <f t="array" ref="Y12">IFERROR(CommonWorkdays($D12,$E12,Y$10,EOMONTH(Y$10,0)+1,holidays),0)</f>
        <v>0</v>
      </c>
      <c r="Z12" s="50" cm="1">
        <f t="array" ref="Z12">IFERROR(CommonWorkdays($D12,$E12,Z$10,EOMONTH(Z$10,0)+1,holidays),0)</f>
        <v>0</v>
      </c>
      <c r="AA12" s="50" cm="1">
        <f t="array" ref="AA12">IFERROR(CommonWorkdays($D12,$E12,AA$10,EOMONTH(AA$10,0)+1,holidays),0)</f>
        <v>0</v>
      </c>
      <c r="AB12" s="50" cm="1">
        <f t="array" ref="AB12">IFERROR(CommonWorkdays($D12,$E12,AB$10,EOMONTH(AB$10,0)+1,holidays),0)</f>
        <v>0</v>
      </c>
      <c r="AC12" s="107" cm="1">
        <f t="array" ref="AC12">IFERROR(CommonWorkdays($D12,$E12,AC$10,EOMONTH(AC$10,0)+1,holidays),0)</f>
        <v>0</v>
      </c>
    </row>
    <row r="13" spans="2:29" x14ac:dyDescent="0.3">
      <c r="B13" s="33">
        <f t="shared" ref="B13:B47" si="2">B12+1</f>
        <v>2</v>
      </c>
      <c r="C13" s="34" t="s">
        <v>64</v>
      </c>
      <c r="D13" s="35">
        <v>45783</v>
      </c>
      <c r="E13" s="35">
        <v>45825</v>
      </c>
      <c r="F13" s="63">
        <f>IFERROR(NETWORKDAYS(D13,E13-1,holidays),0)</f>
        <v>27</v>
      </c>
      <c r="G13" s="37" cm="1">
        <f t="array" ref="G13">IFERROR(CommonWorkdays($D13,$E13,G$10,EOMONTH(G$10,0)+1,holidays),0)</f>
        <v>18</v>
      </c>
      <c r="H13" s="37" cm="1">
        <f t="array" ref="H13">IFERROR(CommonWorkdays($D13,$E13,H$10,EOMONTH(H$10,0)+1,holidays),0)</f>
        <v>9</v>
      </c>
      <c r="I13" s="37" cm="1">
        <f t="array" ref="I13">IFERROR(CommonWorkdays($D13,$E13,I$10,EOMONTH(I$10,0)+1,holidays),0)</f>
        <v>0</v>
      </c>
      <c r="J13" s="37" cm="1">
        <f t="array" ref="J13">IFERROR(CommonWorkdays($D13,$E13,J$10,EOMONTH(J$10,0)+1,holidays),0)</f>
        <v>0</v>
      </c>
      <c r="K13" s="37" cm="1">
        <f t="array" ref="K13">IFERROR(CommonWorkdays($D13,$E13,K$10,EOMONTH(K$10,0)+1,holidays),0)</f>
        <v>0</v>
      </c>
      <c r="L13" s="37" cm="1">
        <f t="array" ref="L13">IFERROR(CommonWorkdays($D13,$E13,L$10,EOMONTH(L$10,0)+1,holidays),0)</f>
        <v>0</v>
      </c>
      <c r="M13" s="37" cm="1">
        <f t="array" ref="M13">IFERROR(CommonWorkdays($D13,$E13,M$10,EOMONTH(M$10,0)+1,holidays),0)</f>
        <v>0</v>
      </c>
      <c r="N13" s="37" cm="1">
        <f t="array" ref="N13">IFERROR(CommonWorkdays($D13,$E13,N$10,EOMONTH(N$10,0)+1,holidays),0)</f>
        <v>0</v>
      </c>
      <c r="O13" s="37" cm="1">
        <f t="array" ref="O13">IFERROR(CommonWorkdays($D13,$E13,O$10,EOMONTH(O$10,0)+1,holidays),0)</f>
        <v>0</v>
      </c>
      <c r="P13" s="37" cm="1">
        <f t="array" ref="P13">IFERROR(CommonWorkdays($D13,$E13,P$10,EOMONTH(P$10,0)+1,holidays),0)</f>
        <v>0</v>
      </c>
      <c r="Q13" s="37" cm="1">
        <f t="array" ref="Q13">IFERROR(CommonWorkdays($D13,$E13,Q$10,EOMONTH(Q$10,0)+1,holidays),0)</f>
        <v>0</v>
      </c>
      <c r="R13" s="37" cm="1">
        <f t="array" ref="R13">IFERROR(CommonWorkdays($D13,$E13,R$10,EOMONTH(R$10,0)+1,holidays),0)</f>
        <v>0</v>
      </c>
      <c r="S13" s="37" cm="1">
        <f t="array" ref="S13">IFERROR(CommonWorkdays($D13,$E13,S$10,EOMONTH(S$10,0)+1,holidays),0)</f>
        <v>0</v>
      </c>
      <c r="T13" s="37" cm="1">
        <f t="array" ref="T13">IFERROR(CommonWorkdays($D13,$E13,T$10,EOMONTH(T$10,0)+1,holidays),0)</f>
        <v>0</v>
      </c>
      <c r="U13" s="37" cm="1">
        <f t="array" ref="U13">IFERROR(CommonWorkdays($D13,$E13,U$10,EOMONTH(U$10,0)+1,holidays),0)</f>
        <v>0</v>
      </c>
      <c r="V13" s="37" cm="1">
        <f t="array" ref="V13">IFERROR(CommonWorkdays($D13,$E13,V$10,EOMONTH(V$10,0)+1,holidays),0)</f>
        <v>0</v>
      </c>
      <c r="W13" s="37" cm="1">
        <f t="array" ref="W13">IFERROR(CommonWorkdays($D13,$E13,W$10,EOMONTH(W$10,0)+1,holidays),0)</f>
        <v>0</v>
      </c>
      <c r="X13" s="37" cm="1">
        <f t="array" ref="X13">IFERROR(CommonWorkdays($D13,$E13,X$10,EOMONTH(X$10,0)+1,holidays),0)</f>
        <v>0</v>
      </c>
      <c r="Y13" s="37" cm="1">
        <f t="array" ref="Y13">IFERROR(CommonWorkdays($D13,$E13,Y$10,EOMONTH(Y$10,0)+1,holidays),0)</f>
        <v>0</v>
      </c>
      <c r="Z13" s="37" cm="1">
        <f t="array" ref="Z13">IFERROR(CommonWorkdays($D13,$E13,Z$10,EOMONTH(Z$10,0)+1,holidays),0)</f>
        <v>0</v>
      </c>
      <c r="AA13" s="37" cm="1">
        <f t="array" ref="AA13">IFERROR(CommonWorkdays($D13,$E13,AA$10,EOMONTH(AA$10,0)+1,holidays),0)</f>
        <v>0</v>
      </c>
      <c r="AB13" s="37" cm="1">
        <f t="array" ref="AB13">IFERROR(CommonWorkdays($D13,$E13,AB$10,EOMONTH(AB$10,0)+1,holidays),0)</f>
        <v>0</v>
      </c>
      <c r="AC13" s="108" cm="1">
        <f t="array" ref="AC13">IFERROR(CommonWorkdays($D13,$E13,AC$10,EOMONTH(AC$10,0)+1,holidays),0)</f>
        <v>0</v>
      </c>
    </row>
    <row r="14" spans="2:29" x14ac:dyDescent="0.3">
      <c r="B14" s="9">
        <f t="shared" si="2"/>
        <v>3</v>
      </c>
      <c r="C14" s="29" t="s">
        <v>66</v>
      </c>
      <c r="D14" s="12">
        <v>45783</v>
      </c>
      <c r="E14" s="12">
        <v>45800</v>
      </c>
      <c r="F14" s="65">
        <f>IFERROR(NETWORKDAYS(D14,E14-1,holidays),0)</f>
        <v>12</v>
      </c>
      <c r="G14" s="13" cm="1">
        <f t="array" ref="G14">IFERROR(CommonWorkdays($D14,$E14,G$10,EOMONTH(G$10,0)+1,holidays),0)</f>
        <v>12</v>
      </c>
      <c r="H14" s="13" cm="1">
        <f t="array" ref="H14">IFERROR(CommonWorkdays($D14,$E14,H$10,EOMONTH(H$10,0)+1,holidays),0)</f>
        <v>0</v>
      </c>
      <c r="I14" s="13" cm="1">
        <f t="array" ref="I14">IFERROR(CommonWorkdays($D14,$E14,I$10,EOMONTH(I$10,0)+1,holidays),0)</f>
        <v>0</v>
      </c>
      <c r="J14" s="13" cm="1">
        <f t="array" ref="J14">IFERROR(CommonWorkdays($D14,$E14,J$10,EOMONTH(J$10,0)+1,holidays),0)</f>
        <v>0</v>
      </c>
      <c r="K14" s="13" cm="1">
        <f t="array" ref="K14">IFERROR(CommonWorkdays($D14,$E14,K$10,EOMONTH(K$10,0)+1,holidays),0)</f>
        <v>0</v>
      </c>
      <c r="L14" s="13" cm="1">
        <f t="array" ref="L14">IFERROR(CommonWorkdays($D14,$E14,L$10,EOMONTH(L$10,0)+1,holidays),0)</f>
        <v>0</v>
      </c>
      <c r="M14" s="13" cm="1">
        <f t="array" ref="M14">IFERROR(CommonWorkdays($D14,$E14,M$10,EOMONTH(M$10,0)+1,holidays),0)</f>
        <v>0</v>
      </c>
      <c r="N14" s="13" cm="1">
        <f t="array" ref="N14">IFERROR(CommonWorkdays($D14,$E14,N$10,EOMONTH(N$10,0)+1,holidays),0)</f>
        <v>0</v>
      </c>
      <c r="O14" s="13" cm="1">
        <f t="array" ref="O14">IFERROR(CommonWorkdays($D14,$E14,O$10,EOMONTH(O$10,0)+1,holidays),0)</f>
        <v>0</v>
      </c>
      <c r="P14" s="13" cm="1">
        <f t="array" ref="P14">IFERROR(CommonWorkdays($D14,$E14,P$10,EOMONTH(P$10,0)+1,holidays),0)</f>
        <v>0</v>
      </c>
      <c r="Q14" s="13" cm="1">
        <f t="array" ref="Q14">IFERROR(CommonWorkdays($D14,$E14,Q$10,EOMONTH(Q$10,0)+1,holidays),0)</f>
        <v>0</v>
      </c>
      <c r="R14" s="13" cm="1">
        <f t="array" ref="R14">IFERROR(CommonWorkdays($D14,$E14,R$10,EOMONTH(R$10,0)+1,holidays),0)</f>
        <v>0</v>
      </c>
      <c r="S14" s="13" cm="1">
        <f t="array" ref="S14">IFERROR(CommonWorkdays($D14,$E14,S$10,EOMONTH(S$10,0)+1,holidays),0)</f>
        <v>0</v>
      </c>
      <c r="T14" s="13" cm="1">
        <f t="array" ref="T14">IFERROR(CommonWorkdays($D14,$E14,T$10,EOMONTH(T$10,0)+1,holidays),0)</f>
        <v>0</v>
      </c>
      <c r="U14" s="13" cm="1">
        <f t="array" ref="U14">IFERROR(CommonWorkdays($D14,$E14,U$10,EOMONTH(U$10,0)+1,holidays),0)</f>
        <v>0</v>
      </c>
      <c r="V14" s="13" cm="1">
        <f t="array" ref="V14">IFERROR(CommonWorkdays($D14,$E14,V$10,EOMONTH(V$10,0)+1,holidays),0)</f>
        <v>0</v>
      </c>
      <c r="W14" s="13" cm="1">
        <f t="array" ref="W14">IFERROR(CommonWorkdays($D14,$E14,W$10,EOMONTH(W$10,0)+1,holidays),0)</f>
        <v>0</v>
      </c>
      <c r="X14" s="13" cm="1">
        <f t="array" ref="X14">IFERROR(CommonWorkdays($D14,$E14,X$10,EOMONTH(X$10,0)+1,holidays),0)</f>
        <v>0</v>
      </c>
      <c r="Y14" s="13" cm="1">
        <f t="array" ref="Y14">IFERROR(CommonWorkdays($D14,$E14,Y$10,EOMONTH(Y$10,0)+1,holidays),0)</f>
        <v>0</v>
      </c>
      <c r="Z14" s="13" cm="1">
        <f t="array" ref="Z14">IFERROR(CommonWorkdays($D14,$E14,Z$10,EOMONTH(Z$10,0)+1,holidays),0)</f>
        <v>0</v>
      </c>
      <c r="AA14" s="13" cm="1">
        <f t="array" ref="AA14">IFERROR(CommonWorkdays($D14,$E14,AA$10,EOMONTH(AA$10,0)+1,holidays),0)</f>
        <v>0</v>
      </c>
      <c r="AB14" s="13" cm="1">
        <f t="array" ref="AB14">IFERROR(CommonWorkdays($D14,$E14,AB$10,EOMONTH(AB$10,0)+1,holidays),0)</f>
        <v>0</v>
      </c>
      <c r="AC14" s="85" cm="1">
        <f t="array" ref="AC14">IFERROR(CommonWorkdays($D14,$E14,AC$10,EOMONTH(AC$10,0)+1,holidays),0)</f>
        <v>0</v>
      </c>
    </row>
    <row r="15" spans="2:29" x14ac:dyDescent="0.3">
      <c r="B15" s="9">
        <f t="shared" si="2"/>
        <v>4</v>
      </c>
      <c r="C15" s="29" t="s">
        <v>69</v>
      </c>
      <c r="D15" s="12">
        <v>45783</v>
      </c>
      <c r="E15" s="12">
        <v>45800</v>
      </c>
      <c r="F15" s="65">
        <f>IFERROR(NETWORKDAYS(D15,E15-1,holidays),0)</f>
        <v>12</v>
      </c>
      <c r="G15" s="13" cm="1">
        <f t="array" ref="G15">IFERROR(CommonWorkdays($D15,$E15,G$10,EOMONTH(G$10,0)+1,holidays),0)</f>
        <v>12</v>
      </c>
      <c r="H15" s="13" cm="1">
        <f t="array" ref="H15">IFERROR(CommonWorkdays($D15,$E15,H$10,EOMONTH(H$10,0)+1,holidays),0)</f>
        <v>0</v>
      </c>
      <c r="I15" s="13" cm="1">
        <f t="array" ref="I15">IFERROR(CommonWorkdays($D15,$E15,I$10,EOMONTH(I$10,0)+1,holidays),0)</f>
        <v>0</v>
      </c>
      <c r="J15" s="13" cm="1">
        <f t="array" ref="J15">IFERROR(CommonWorkdays($D15,$E15,J$10,EOMONTH(J$10,0)+1,holidays),0)</f>
        <v>0</v>
      </c>
      <c r="K15" s="13" cm="1">
        <f t="array" ref="K15">IFERROR(CommonWorkdays($D15,$E15,K$10,EOMONTH(K$10,0)+1,holidays),0)</f>
        <v>0</v>
      </c>
      <c r="L15" s="13" cm="1">
        <f t="array" ref="L15">IFERROR(CommonWorkdays($D15,$E15,L$10,EOMONTH(L$10,0)+1,holidays),0)</f>
        <v>0</v>
      </c>
      <c r="M15" s="13" cm="1">
        <f t="array" ref="M15">IFERROR(CommonWorkdays($D15,$E15,M$10,EOMONTH(M$10,0)+1,holidays),0)</f>
        <v>0</v>
      </c>
      <c r="N15" s="13" cm="1">
        <f t="array" ref="N15">IFERROR(CommonWorkdays($D15,$E15,N$10,EOMONTH(N$10,0)+1,holidays),0)</f>
        <v>0</v>
      </c>
      <c r="O15" s="13" cm="1">
        <f t="array" ref="O15">IFERROR(CommonWorkdays($D15,$E15,O$10,EOMONTH(O$10,0)+1,holidays),0)</f>
        <v>0</v>
      </c>
      <c r="P15" s="13" cm="1">
        <f t="array" ref="P15">IFERROR(CommonWorkdays($D15,$E15,P$10,EOMONTH(P$10,0)+1,holidays),0)</f>
        <v>0</v>
      </c>
      <c r="Q15" s="13" cm="1">
        <f t="array" ref="Q15">IFERROR(CommonWorkdays($D15,$E15,Q$10,EOMONTH(Q$10,0)+1,holidays),0)</f>
        <v>0</v>
      </c>
      <c r="R15" s="13" cm="1">
        <f t="array" ref="R15">IFERROR(CommonWorkdays($D15,$E15,R$10,EOMONTH(R$10,0)+1,holidays),0)</f>
        <v>0</v>
      </c>
      <c r="S15" s="13" cm="1">
        <f t="array" ref="S15">IFERROR(CommonWorkdays($D15,$E15,S$10,EOMONTH(S$10,0)+1,holidays),0)</f>
        <v>0</v>
      </c>
      <c r="T15" s="13" cm="1">
        <f t="array" ref="T15">IFERROR(CommonWorkdays($D15,$E15,T$10,EOMONTH(T$10,0)+1,holidays),0)</f>
        <v>0</v>
      </c>
      <c r="U15" s="13" cm="1">
        <f t="array" ref="U15">IFERROR(CommonWorkdays($D15,$E15,U$10,EOMONTH(U$10,0)+1,holidays),0)</f>
        <v>0</v>
      </c>
      <c r="V15" s="13" cm="1">
        <f t="array" ref="V15">IFERROR(CommonWorkdays($D15,$E15,V$10,EOMONTH(V$10,0)+1,holidays),0)</f>
        <v>0</v>
      </c>
      <c r="W15" s="13" cm="1">
        <f t="array" ref="W15">IFERROR(CommonWorkdays($D15,$E15,W$10,EOMONTH(W$10,0)+1,holidays),0)</f>
        <v>0</v>
      </c>
      <c r="X15" s="13" cm="1">
        <f t="array" ref="X15">IFERROR(CommonWorkdays($D15,$E15,X$10,EOMONTH(X$10,0)+1,holidays),0)</f>
        <v>0</v>
      </c>
      <c r="Y15" s="13" cm="1">
        <f t="array" ref="Y15">IFERROR(CommonWorkdays($D15,$E15,Y$10,EOMONTH(Y$10,0)+1,holidays),0)</f>
        <v>0</v>
      </c>
      <c r="Z15" s="13" cm="1">
        <f t="array" ref="Z15">IFERROR(CommonWorkdays($D15,$E15,Z$10,EOMONTH(Z$10,0)+1,holidays),0)</f>
        <v>0</v>
      </c>
      <c r="AA15" s="13" cm="1">
        <f t="array" ref="AA15">IFERROR(CommonWorkdays($D15,$E15,AA$10,EOMONTH(AA$10,0)+1,holidays),0)</f>
        <v>0</v>
      </c>
      <c r="AB15" s="13" cm="1">
        <f t="array" ref="AB15">IFERROR(CommonWorkdays($D15,$E15,AB$10,EOMONTH(AB$10,0)+1,holidays),0)</f>
        <v>0</v>
      </c>
      <c r="AC15" s="85" cm="1">
        <f t="array" ref="AC15">IFERROR(CommonWorkdays($D15,$E15,AC$10,EOMONTH(AC$10,0)+1,holidays),0)</f>
        <v>0</v>
      </c>
    </row>
    <row r="16" spans="2:29" x14ac:dyDescent="0.3">
      <c r="B16" s="9">
        <f t="shared" si="2"/>
        <v>5</v>
      </c>
      <c r="C16" s="29" t="s">
        <v>72</v>
      </c>
      <c r="D16" s="12">
        <v>45783</v>
      </c>
      <c r="E16" s="12">
        <v>45800</v>
      </c>
      <c r="F16" s="65">
        <f>IFERROR(NETWORKDAYS(D16,E16-1,holidays),0)</f>
        <v>12</v>
      </c>
      <c r="G16" s="13" cm="1">
        <f t="array" ref="G16">IFERROR(CommonWorkdays($D16,$E16,G$10,EOMONTH(G$10,0)+1,holidays),0)</f>
        <v>12</v>
      </c>
      <c r="H16" s="13" cm="1">
        <f t="array" ref="H16">IFERROR(CommonWorkdays($D16,$E16,H$10,EOMONTH(H$10,0)+1,holidays),0)</f>
        <v>0</v>
      </c>
      <c r="I16" s="13" cm="1">
        <f t="array" ref="I16">IFERROR(CommonWorkdays($D16,$E16,I$10,EOMONTH(I$10,0)+1,holidays),0)</f>
        <v>0</v>
      </c>
      <c r="J16" s="13" cm="1">
        <f t="array" ref="J16">IFERROR(CommonWorkdays($D16,$E16,J$10,EOMONTH(J$10,0)+1,holidays),0)</f>
        <v>0</v>
      </c>
      <c r="K16" s="13" cm="1">
        <f t="array" ref="K16">IFERROR(CommonWorkdays($D16,$E16,K$10,EOMONTH(K$10,0)+1,holidays),0)</f>
        <v>0</v>
      </c>
      <c r="L16" s="13" cm="1">
        <f t="array" ref="L16">IFERROR(CommonWorkdays($D16,$E16,L$10,EOMONTH(L$10,0)+1,holidays),0)</f>
        <v>0</v>
      </c>
      <c r="M16" s="13" cm="1">
        <f t="array" ref="M16">IFERROR(CommonWorkdays($D16,$E16,M$10,EOMONTH(M$10,0)+1,holidays),0)</f>
        <v>0</v>
      </c>
      <c r="N16" s="13" cm="1">
        <f t="array" ref="N16">IFERROR(CommonWorkdays($D16,$E16,N$10,EOMONTH(N$10,0)+1,holidays),0)</f>
        <v>0</v>
      </c>
      <c r="O16" s="13" cm="1">
        <f t="array" ref="O16">IFERROR(CommonWorkdays($D16,$E16,O$10,EOMONTH(O$10,0)+1,holidays),0)</f>
        <v>0</v>
      </c>
      <c r="P16" s="13" cm="1">
        <f t="array" ref="P16">IFERROR(CommonWorkdays($D16,$E16,P$10,EOMONTH(P$10,0)+1,holidays),0)</f>
        <v>0</v>
      </c>
      <c r="Q16" s="13" cm="1">
        <f t="array" ref="Q16">IFERROR(CommonWorkdays($D16,$E16,Q$10,EOMONTH(Q$10,0)+1,holidays),0)</f>
        <v>0</v>
      </c>
      <c r="R16" s="13" cm="1">
        <f t="array" ref="R16">IFERROR(CommonWorkdays($D16,$E16,R$10,EOMONTH(R$10,0)+1,holidays),0)</f>
        <v>0</v>
      </c>
      <c r="S16" s="13" cm="1">
        <f t="array" ref="S16">IFERROR(CommonWorkdays($D16,$E16,S$10,EOMONTH(S$10,0)+1,holidays),0)</f>
        <v>0</v>
      </c>
      <c r="T16" s="13" cm="1">
        <f t="array" ref="T16">IFERROR(CommonWorkdays($D16,$E16,T$10,EOMONTH(T$10,0)+1,holidays),0)</f>
        <v>0</v>
      </c>
      <c r="U16" s="13" cm="1">
        <f t="array" ref="U16">IFERROR(CommonWorkdays($D16,$E16,U$10,EOMONTH(U$10,0)+1,holidays),0)</f>
        <v>0</v>
      </c>
      <c r="V16" s="13" cm="1">
        <f t="array" ref="V16">IFERROR(CommonWorkdays($D16,$E16,V$10,EOMONTH(V$10,0)+1,holidays),0)</f>
        <v>0</v>
      </c>
      <c r="W16" s="13" cm="1">
        <f t="array" ref="W16">IFERROR(CommonWorkdays($D16,$E16,W$10,EOMONTH(W$10,0)+1,holidays),0)</f>
        <v>0</v>
      </c>
      <c r="X16" s="13" cm="1">
        <f t="array" ref="X16">IFERROR(CommonWorkdays($D16,$E16,X$10,EOMONTH(X$10,0)+1,holidays),0)</f>
        <v>0</v>
      </c>
      <c r="Y16" s="13" cm="1">
        <f t="array" ref="Y16">IFERROR(CommonWorkdays($D16,$E16,Y$10,EOMONTH(Y$10,0)+1,holidays),0)</f>
        <v>0</v>
      </c>
      <c r="Z16" s="13" cm="1">
        <f t="array" ref="Z16">IFERROR(CommonWorkdays($D16,$E16,Z$10,EOMONTH(Z$10,0)+1,holidays),0)</f>
        <v>0</v>
      </c>
      <c r="AA16" s="13" cm="1">
        <f t="array" ref="AA16">IFERROR(CommonWorkdays($D16,$E16,AA$10,EOMONTH(AA$10,0)+1,holidays),0)</f>
        <v>0</v>
      </c>
      <c r="AB16" s="13" cm="1">
        <f t="array" ref="AB16">IFERROR(CommonWorkdays($D16,$E16,AB$10,EOMONTH(AB$10,0)+1,holidays),0)</f>
        <v>0</v>
      </c>
      <c r="AC16" s="85" cm="1">
        <f t="array" ref="AC16">IFERROR(CommonWorkdays($D16,$E16,AC$10,EOMONTH(AC$10,0)+1,holidays),0)</f>
        <v>0</v>
      </c>
    </row>
    <row r="17" spans="2:29" x14ac:dyDescent="0.3">
      <c r="B17" s="9">
        <f t="shared" si="2"/>
        <v>6</v>
      </c>
      <c r="C17" s="29" t="s">
        <v>75</v>
      </c>
      <c r="D17" s="12">
        <v>45803</v>
      </c>
      <c r="E17" s="12">
        <v>45819</v>
      </c>
      <c r="F17" s="65">
        <f t="shared" ref="F17:F47" si="3">IFERROR(NETWORKDAYS(D17,E17-1,holidays),0)</f>
        <v>10</v>
      </c>
      <c r="G17" s="13" cm="1">
        <f t="array" ref="G17">IFERROR(CommonWorkdays($D17,$E17,G$10,EOMONTH(G$10,0)+1,holidays),0)</f>
        <v>5</v>
      </c>
      <c r="H17" s="13" cm="1">
        <f t="array" ref="H17">IFERROR(CommonWorkdays($D17,$E17,H$10,EOMONTH(H$10,0)+1,holidays),0)</f>
        <v>5</v>
      </c>
      <c r="I17" s="13" cm="1">
        <f t="array" ref="I17">IFERROR(CommonWorkdays($D17,$E17,I$10,EOMONTH(I$10,0)+1,holidays),0)</f>
        <v>0</v>
      </c>
      <c r="J17" s="13" cm="1">
        <f t="array" ref="J17">IFERROR(CommonWorkdays($D17,$E17,J$10,EOMONTH(J$10,0)+1,holidays),0)</f>
        <v>0</v>
      </c>
      <c r="K17" s="13" cm="1">
        <f t="array" ref="K17">IFERROR(CommonWorkdays($D17,$E17,K$10,EOMONTH(K$10,0)+1,holidays),0)</f>
        <v>0</v>
      </c>
      <c r="L17" s="13" cm="1">
        <f t="array" ref="L17">IFERROR(CommonWorkdays($D17,$E17,L$10,EOMONTH(L$10,0)+1,holidays),0)</f>
        <v>0</v>
      </c>
      <c r="M17" s="13" cm="1">
        <f t="array" ref="M17">IFERROR(CommonWorkdays($D17,$E17,M$10,EOMONTH(M$10,0)+1,holidays),0)</f>
        <v>0</v>
      </c>
      <c r="N17" s="13" cm="1">
        <f t="array" ref="N17">IFERROR(CommonWorkdays($D17,$E17,N$10,EOMONTH(N$10,0)+1,holidays),0)</f>
        <v>0</v>
      </c>
      <c r="O17" s="13" cm="1">
        <f t="array" ref="O17">IFERROR(CommonWorkdays($D17,$E17,O$10,EOMONTH(O$10,0)+1,holidays),0)</f>
        <v>0</v>
      </c>
      <c r="P17" s="13" cm="1">
        <f t="array" ref="P17">IFERROR(CommonWorkdays($D17,$E17,P$10,EOMONTH(P$10,0)+1,holidays),0)</f>
        <v>0</v>
      </c>
      <c r="Q17" s="13" cm="1">
        <f t="array" ref="Q17">IFERROR(CommonWorkdays($D17,$E17,Q$10,EOMONTH(Q$10,0)+1,holidays),0)</f>
        <v>0</v>
      </c>
      <c r="R17" s="13" cm="1">
        <f t="array" ref="R17">IFERROR(CommonWorkdays($D17,$E17,R$10,EOMONTH(R$10,0)+1,holidays),0)</f>
        <v>0</v>
      </c>
      <c r="S17" s="13" cm="1">
        <f t="array" ref="S17">IFERROR(CommonWorkdays($D17,$E17,S$10,EOMONTH(S$10,0)+1,holidays),0)</f>
        <v>0</v>
      </c>
      <c r="T17" s="13" cm="1">
        <f t="array" ref="T17">IFERROR(CommonWorkdays($D17,$E17,T$10,EOMONTH(T$10,0)+1,holidays),0)</f>
        <v>0</v>
      </c>
      <c r="U17" s="13" cm="1">
        <f t="array" ref="U17">IFERROR(CommonWorkdays($D17,$E17,U$10,EOMONTH(U$10,0)+1,holidays),0)</f>
        <v>0</v>
      </c>
      <c r="V17" s="13" cm="1">
        <f t="array" ref="V17">IFERROR(CommonWorkdays($D17,$E17,V$10,EOMONTH(V$10,0)+1,holidays),0)</f>
        <v>0</v>
      </c>
      <c r="W17" s="13" cm="1">
        <f t="array" ref="W17">IFERROR(CommonWorkdays($D17,$E17,W$10,EOMONTH(W$10,0)+1,holidays),0)</f>
        <v>0</v>
      </c>
      <c r="X17" s="13" cm="1">
        <f t="array" ref="X17">IFERROR(CommonWorkdays($D17,$E17,X$10,EOMONTH(X$10,0)+1,holidays),0)</f>
        <v>0</v>
      </c>
      <c r="Y17" s="13" cm="1">
        <f t="array" ref="Y17">IFERROR(CommonWorkdays($D17,$E17,Y$10,EOMONTH(Y$10,0)+1,holidays),0)</f>
        <v>0</v>
      </c>
      <c r="Z17" s="13" cm="1">
        <f t="array" ref="Z17">IFERROR(CommonWorkdays($D17,$E17,Z$10,EOMONTH(Z$10,0)+1,holidays),0)</f>
        <v>0</v>
      </c>
      <c r="AA17" s="13" cm="1">
        <f t="array" ref="AA17">IFERROR(CommonWorkdays($D17,$E17,AA$10,EOMONTH(AA$10,0)+1,holidays),0)</f>
        <v>0</v>
      </c>
      <c r="AB17" s="13" cm="1">
        <f t="array" ref="AB17">IFERROR(CommonWorkdays($D17,$E17,AB$10,EOMONTH(AB$10,0)+1,holidays),0)</f>
        <v>0</v>
      </c>
      <c r="AC17" s="85" cm="1">
        <f t="array" ref="AC17">IFERROR(CommonWorkdays($D17,$E17,AC$10,EOMONTH(AC$10,0)+1,holidays),0)</f>
        <v>0</v>
      </c>
    </row>
    <row r="18" spans="2:29" x14ac:dyDescent="0.3">
      <c r="B18" s="15">
        <f t="shared" si="2"/>
        <v>7</v>
      </c>
      <c r="C18" s="30" t="s">
        <v>78</v>
      </c>
      <c r="D18" s="18">
        <v>45803</v>
      </c>
      <c r="E18" s="18">
        <v>45825</v>
      </c>
      <c r="F18" s="67">
        <f t="shared" si="3"/>
        <v>14</v>
      </c>
      <c r="G18" s="19" cm="1">
        <f t="array" ref="G18">IFERROR(CommonWorkdays($D18,$E18,G$10,EOMONTH(G$10,0)+1,holidays),0)</f>
        <v>5</v>
      </c>
      <c r="H18" s="19" cm="1">
        <f t="array" ref="H18">IFERROR(CommonWorkdays($D18,$E18,H$10,EOMONTH(H$10,0)+1,holidays),0)</f>
        <v>9</v>
      </c>
      <c r="I18" s="19" cm="1">
        <f t="array" ref="I18">IFERROR(CommonWorkdays($D18,$E18,I$10,EOMONTH(I$10,0)+1,holidays),0)</f>
        <v>0</v>
      </c>
      <c r="J18" s="19" cm="1">
        <f t="array" ref="J18">IFERROR(CommonWorkdays($D18,$E18,J$10,EOMONTH(J$10,0)+1,holidays),0)</f>
        <v>0</v>
      </c>
      <c r="K18" s="19" cm="1">
        <f t="array" ref="K18">IFERROR(CommonWorkdays($D18,$E18,K$10,EOMONTH(K$10,0)+1,holidays),0)</f>
        <v>0</v>
      </c>
      <c r="L18" s="19" cm="1">
        <f t="array" ref="L18">IFERROR(CommonWorkdays($D18,$E18,L$10,EOMONTH(L$10,0)+1,holidays),0)</f>
        <v>0</v>
      </c>
      <c r="M18" s="19" cm="1">
        <f t="array" ref="M18">IFERROR(CommonWorkdays($D18,$E18,M$10,EOMONTH(M$10,0)+1,holidays),0)</f>
        <v>0</v>
      </c>
      <c r="N18" s="19" cm="1">
        <f t="array" ref="N18">IFERROR(CommonWorkdays($D18,$E18,N$10,EOMONTH(N$10,0)+1,holidays),0)</f>
        <v>0</v>
      </c>
      <c r="O18" s="19" cm="1">
        <f t="array" ref="O18">IFERROR(CommonWorkdays($D18,$E18,O$10,EOMONTH(O$10,0)+1,holidays),0)</f>
        <v>0</v>
      </c>
      <c r="P18" s="19" cm="1">
        <f t="array" ref="P18">IFERROR(CommonWorkdays($D18,$E18,P$10,EOMONTH(P$10,0)+1,holidays),0)</f>
        <v>0</v>
      </c>
      <c r="Q18" s="19" cm="1">
        <f t="array" ref="Q18">IFERROR(CommonWorkdays($D18,$E18,Q$10,EOMONTH(Q$10,0)+1,holidays),0)</f>
        <v>0</v>
      </c>
      <c r="R18" s="19" cm="1">
        <f t="array" ref="R18">IFERROR(CommonWorkdays($D18,$E18,R$10,EOMONTH(R$10,0)+1,holidays),0)</f>
        <v>0</v>
      </c>
      <c r="S18" s="19" cm="1">
        <f t="array" ref="S18">IFERROR(CommonWorkdays($D18,$E18,S$10,EOMONTH(S$10,0)+1,holidays),0)</f>
        <v>0</v>
      </c>
      <c r="T18" s="19" cm="1">
        <f t="array" ref="T18">IFERROR(CommonWorkdays($D18,$E18,T$10,EOMONTH(T$10,0)+1,holidays),0)</f>
        <v>0</v>
      </c>
      <c r="U18" s="19" cm="1">
        <f t="array" ref="U18">IFERROR(CommonWorkdays($D18,$E18,U$10,EOMONTH(U$10,0)+1,holidays),0)</f>
        <v>0</v>
      </c>
      <c r="V18" s="19" cm="1">
        <f t="array" ref="V18">IFERROR(CommonWorkdays($D18,$E18,V$10,EOMONTH(V$10,0)+1,holidays),0)</f>
        <v>0</v>
      </c>
      <c r="W18" s="19" cm="1">
        <f t="array" ref="W18">IFERROR(CommonWorkdays($D18,$E18,W$10,EOMONTH(W$10,0)+1,holidays),0)</f>
        <v>0</v>
      </c>
      <c r="X18" s="19" cm="1">
        <f t="array" ref="X18">IFERROR(CommonWorkdays($D18,$E18,X$10,EOMONTH(X$10,0)+1,holidays),0)</f>
        <v>0</v>
      </c>
      <c r="Y18" s="19" cm="1">
        <f t="array" ref="Y18">IFERROR(CommonWorkdays($D18,$E18,Y$10,EOMONTH(Y$10,0)+1,holidays),0)</f>
        <v>0</v>
      </c>
      <c r="Z18" s="19" cm="1">
        <f t="array" ref="Z18">IFERROR(CommonWorkdays($D18,$E18,Z$10,EOMONTH(Z$10,0)+1,holidays),0)</f>
        <v>0</v>
      </c>
      <c r="AA18" s="19" cm="1">
        <f t="array" ref="AA18">IFERROR(CommonWorkdays($D18,$E18,AA$10,EOMONTH(AA$10,0)+1,holidays),0)</f>
        <v>0</v>
      </c>
      <c r="AB18" s="19" cm="1">
        <f t="array" ref="AB18">IFERROR(CommonWorkdays($D18,$E18,AB$10,EOMONTH(AB$10,0)+1,holidays),0)</f>
        <v>0</v>
      </c>
      <c r="AC18" s="105" cm="1">
        <f t="array" ref="AC18">IFERROR(CommonWorkdays($D18,$E18,AC$10,EOMONTH(AC$10,0)+1,holidays),0)</f>
        <v>0</v>
      </c>
    </row>
    <row r="19" spans="2:29" x14ac:dyDescent="0.3">
      <c r="B19" s="70">
        <f t="shared" si="2"/>
        <v>8</v>
      </c>
      <c r="C19" s="71" t="s">
        <v>124</v>
      </c>
      <c r="D19" s="72">
        <v>45791</v>
      </c>
      <c r="E19" s="72">
        <v>45930</v>
      </c>
      <c r="F19" s="73">
        <f t="shared" si="3"/>
        <v>93</v>
      </c>
      <c r="G19" s="78" cm="1">
        <f t="array" ref="G19">IFERROR(CommonWorkdays($D19,$E19,G$10,EOMONTH(G$10,0)+1,holidays),0)</f>
        <v>13</v>
      </c>
      <c r="H19" s="78" cm="1">
        <f t="array" ref="H19">IFERROR(CommonWorkdays($D19,$E19,H$10,EOMONTH(H$10,0)+1,holidays),0)</f>
        <v>19</v>
      </c>
      <c r="I19" s="78" cm="1">
        <f t="array" ref="I19">IFERROR(CommonWorkdays($D19,$E19,I$10,EOMONTH(I$10,0)+1,holidays),0)</f>
        <v>21</v>
      </c>
      <c r="J19" s="78" cm="1">
        <f t="array" ref="J19">IFERROR(CommonWorkdays($D19,$E19,J$10,EOMONTH(J$10,0)+1,holidays),0)</f>
        <v>19</v>
      </c>
      <c r="K19" s="78" cm="1">
        <f t="array" ref="K19">IFERROR(CommonWorkdays($D19,$E19,K$10,EOMONTH(K$10,0)+1,holidays),0)</f>
        <v>21</v>
      </c>
      <c r="L19" s="78" cm="1">
        <f t="array" ref="L19">IFERROR(CommonWorkdays($D19,$E19,L$10,EOMONTH(L$10,0)+1,holidays),0)</f>
        <v>0</v>
      </c>
      <c r="M19" s="78" cm="1">
        <f t="array" ref="M19">IFERROR(CommonWorkdays($D19,$E19,M$10,EOMONTH(M$10,0)+1,holidays),0)</f>
        <v>0</v>
      </c>
      <c r="N19" s="78" cm="1">
        <f t="array" ref="N19">IFERROR(CommonWorkdays($D19,$E19,N$10,EOMONTH(N$10,0)+1,holidays),0)</f>
        <v>0</v>
      </c>
      <c r="O19" s="78" cm="1">
        <f t="array" ref="O19">IFERROR(CommonWorkdays($D19,$E19,O$10,EOMONTH(O$10,0)+1,holidays),0)</f>
        <v>0</v>
      </c>
      <c r="P19" s="78" cm="1">
        <f t="array" ref="P19">IFERROR(CommonWorkdays($D19,$E19,P$10,EOMONTH(P$10,0)+1,holidays),0)</f>
        <v>0</v>
      </c>
      <c r="Q19" s="78" cm="1">
        <f t="array" ref="Q19">IFERROR(CommonWorkdays($D19,$E19,Q$10,EOMONTH(Q$10,0)+1,holidays),0)</f>
        <v>0</v>
      </c>
      <c r="R19" s="78" cm="1">
        <f t="array" ref="R19">IFERROR(CommonWorkdays($D19,$E19,R$10,EOMONTH(R$10,0)+1,holidays),0)</f>
        <v>0</v>
      </c>
      <c r="S19" s="78" cm="1">
        <f t="array" ref="S19">IFERROR(CommonWorkdays($D19,$E19,S$10,EOMONTH(S$10,0)+1,holidays),0)</f>
        <v>0</v>
      </c>
      <c r="T19" s="78" cm="1">
        <f t="array" ref="T19">IFERROR(CommonWorkdays($D19,$E19,T$10,EOMONTH(T$10,0)+1,holidays),0)</f>
        <v>0</v>
      </c>
      <c r="U19" s="78" cm="1">
        <f t="array" ref="U19">IFERROR(CommonWorkdays($D19,$E19,U$10,EOMONTH(U$10,0)+1,holidays),0)</f>
        <v>0</v>
      </c>
      <c r="V19" s="78" cm="1">
        <f t="array" ref="V19">IFERROR(CommonWorkdays($D19,$E19,V$10,EOMONTH(V$10,0)+1,holidays),0)</f>
        <v>0</v>
      </c>
      <c r="W19" s="78" cm="1">
        <f t="array" ref="W19">IFERROR(CommonWorkdays($D19,$E19,W$10,EOMONTH(W$10,0)+1,holidays),0)</f>
        <v>0</v>
      </c>
      <c r="X19" s="78" cm="1">
        <f t="array" ref="X19">IFERROR(CommonWorkdays($D19,$E19,X$10,EOMONTH(X$10,0)+1,holidays),0)</f>
        <v>0</v>
      </c>
      <c r="Y19" s="78" cm="1">
        <f t="array" ref="Y19">IFERROR(CommonWorkdays($D19,$E19,Y$10,EOMONTH(Y$10,0)+1,holidays),0)</f>
        <v>0</v>
      </c>
      <c r="Z19" s="78" cm="1">
        <f t="array" ref="Z19">IFERROR(CommonWorkdays($D19,$E19,Z$10,EOMONTH(Z$10,0)+1,holidays),0)</f>
        <v>0</v>
      </c>
      <c r="AA19" s="78" cm="1">
        <f t="array" ref="AA19">IFERROR(CommonWorkdays($D19,$E19,AA$10,EOMONTH(AA$10,0)+1,holidays),0)</f>
        <v>0</v>
      </c>
      <c r="AB19" s="78" cm="1">
        <f t="array" ref="AB19">IFERROR(CommonWorkdays($D19,$E19,AB$10,EOMONTH(AB$10,0)+1,holidays),0)</f>
        <v>0</v>
      </c>
      <c r="AC19" s="109" cm="1">
        <f t="array" ref="AC19">IFERROR(CommonWorkdays($D19,$E19,AC$10,EOMONTH(AC$10,0)+1,holidays),0)</f>
        <v>0</v>
      </c>
    </row>
    <row r="20" spans="2:29" x14ac:dyDescent="0.3">
      <c r="B20" s="9">
        <f t="shared" si="2"/>
        <v>9</v>
      </c>
      <c r="C20" s="29" t="s">
        <v>125</v>
      </c>
      <c r="D20" s="12">
        <v>45791</v>
      </c>
      <c r="E20" s="12">
        <v>45805</v>
      </c>
      <c r="F20" s="65">
        <f t="shared" si="3"/>
        <v>10</v>
      </c>
      <c r="G20" s="13" cm="1">
        <f t="array" ref="G20">IFERROR(CommonWorkdays($D20,$E20,G$10,EOMONTH(G$10,0)+1,holidays),0)</f>
        <v>10</v>
      </c>
      <c r="H20" s="13" cm="1">
        <f t="array" ref="H20">IFERROR(CommonWorkdays($D20,$E20,H$10,EOMONTH(H$10,0)+1,holidays),0)</f>
        <v>0</v>
      </c>
      <c r="I20" s="13" cm="1">
        <f t="array" ref="I20">IFERROR(CommonWorkdays($D20,$E20,I$10,EOMONTH(I$10,0)+1,holidays),0)</f>
        <v>0</v>
      </c>
      <c r="J20" s="13" cm="1">
        <f t="array" ref="J20">IFERROR(CommonWorkdays($D20,$E20,J$10,EOMONTH(J$10,0)+1,holidays),0)</f>
        <v>0</v>
      </c>
      <c r="K20" s="13" cm="1">
        <f t="array" ref="K20">IFERROR(CommonWorkdays($D20,$E20,K$10,EOMONTH(K$10,0)+1,holidays),0)</f>
        <v>0</v>
      </c>
      <c r="L20" s="13" cm="1">
        <f t="array" ref="L20">IFERROR(CommonWorkdays($D20,$E20,L$10,EOMONTH(L$10,0)+1,holidays),0)</f>
        <v>0</v>
      </c>
      <c r="M20" s="13" cm="1">
        <f t="array" ref="M20">IFERROR(CommonWorkdays($D20,$E20,M$10,EOMONTH(M$10,0)+1,holidays),0)</f>
        <v>0</v>
      </c>
      <c r="N20" s="13" cm="1">
        <f t="array" ref="N20">IFERROR(CommonWorkdays($D20,$E20,N$10,EOMONTH(N$10,0)+1,holidays),0)</f>
        <v>0</v>
      </c>
      <c r="O20" s="13" cm="1">
        <f t="array" ref="O20">IFERROR(CommonWorkdays($D20,$E20,O$10,EOMONTH(O$10,0)+1,holidays),0)</f>
        <v>0</v>
      </c>
      <c r="P20" s="13" cm="1">
        <f t="array" ref="P20">IFERROR(CommonWorkdays($D20,$E20,P$10,EOMONTH(P$10,0)+1,holidays),0)</f>
        <v>0</v>
      </c>
      <c r="Q20" s="13" cm="1">
        <f t="array" ref="Q20">IFERROR(CommonWorkdays($D20,$E20,Q$10,EOMONTH(Q$10,0)+1,holidays),0)</f>
        <v>0</v>
      </c>
      <c r="R20" s="13" cm="1">
        <f t="array" ref="R20">IFERROR(CommonWorkdays($D20,$E20,R$10,EOMONTH(R$10,0)+1,holidays),0)</f>
        <v>0</v>
      </c>
      <c r="S20" s="13" cm="1">
        <f t="array" ref="S20">IFERROR(CommonWorkdays($D20,$E20,S$10,EOMONTH(S$10,0)+1,holidays),0)</f>
        <v>0</v>
      </c>
      <c r="T20" s="13" cm="1">
        <f t="array" ref="T20">IFERROR(CommonWorkdays($D20,$E20,T$10,EOMONTH(T$10,0)+1,holidays),0)</f>
        <v>0</v>
      </c>
      <c r="U20" s="13" cm="1">
        <f t="array" ref="U20">IFERROR(CommonWorkdays($D20,$E20,U$10,EOMONTH(U$10,0)+1,holidays),0)</f>
        <v>0</v>
      </c>
      <c r="V20" s="13" cm="1">
        <f t="array" ref="V20">IFERROR(CommonWorkdays($D20,$E20,V$10,EOMONTH(V$10,0)+1,holidays),0)</f>
        <v>0</v>
      </c>
      <c r="W20" s="13" cm="1">
        <f t="array" ref="W20">IFERROR(CommonWorkdays($D20,$E20,W$10,EOMONTH(W$10,0)+1,holidays),0)</f>
        <v>0</v>
      </c>
      <c r="X20" s="13" cm="1">
        <f t="array" ref="X20">IFERROR(CommonWorkdays($D20,$E20,X$10,EOMONTH(X$10,0)+1,holidays),0)</f>
        <v>0</v>
      </c>
      <c r="Y20" s="13" cm="1">
        <f t="array" ref="Y20">IFERROR(CommonWorkdays($D20,$E20,Y$10,EOMONTH(Y$10,0)+1,holidays),0)</f>
        <v>0</v>
      </c>
      <c r="Z20" s="13" cm="1">
        <f t="array" ref="Z20">IFERROR(CommonWorkdays($D20,$E20,Z$10,EOMONTH(Z$10,0)+1,holidays),0)</f>
        <v>0</v>
      </c>
      <c r="AA20" s="13" cm="1">
        <f t="array" ref="AA20">IFERROR(CommonWorkdays($D20,$E20,AA$10,EOMONTH(AA$10,0)+1,holidays),0)</f>
        <v>0</v>
      </c>
      <c r="AB20" s="13" cm="1">
        <f t="array" ref="AB20">IFERROR(CommonWorkdays($D20,$E20,AB$10,EOMONTH(AB$10,0)+1,holidays),0)</f>
        <v>0</v>
      </c>
      <c r="AC20" s="85" cm="1">
        <f t="array" ref="AC20">IFERROR(CommonWorkdays($D20,$E20,AC$10,EOMONTH(AC$10,0)+1,holidays),0)</f>
        <v>0</v>
      </c>
    </row>
    <row r="21" spans="2:29" x14ac:dyDescent="0.3">
      <c r="B21" s="9">
        <f t="shared" si="2"/>
        <v>10</v>
      </c>
      <c r="C21" s="29" t="s">
        <v>130</v>
      </c>
      <c r="D21" s="12">
        <v>45805</v>
      </c>
      <c r="E21" s="12">
        <v>45821</v>
      </c>
      <c r="F21" s="65">
        <f t="shared" si="3"/>
        <v>10</v>
      </c>
      <c r="G21" s="13" cm="1">
        <f t="array" ref="G21">IFERROR(CommonWorkdays($D21,$E21,G$10,EOMONTH(G$10,0)+1,holidays),0)</f>
        <v>3</v>
      </c>
      <c r="H21" s="13" cm="1">
        <f t="array" ref="H21">IFERROR(CommonWorkdays($D21,$E21,H$10,EOMONTH(H$10,0)+1,holidays),0)</f>
        <v>7</v>
      </c>
      <c r="I21" s="13" cm="1">
        <f t="array" ref="I21">IFERROR(CommonWorkdays($D21,$E21,I$10,EOMONTH(I$10,0)+1,holidays),0)</f>
        <v>0</v>
      </c>
      <c r="J21" s="13" cm="1">
        <f t="array" ref="J21">IFERROR(CommonWorkdays($D21,$E21,J$10,EOMONTH(J$10,0)+1,holidays),0)</f>
        <v>0</v>
      </c>
      <c r="K21" s="13" cm="1">
        <f t="array" ref="K21">IFERROR(CommonWorkdays($D21,$E21,K$10,EOMONTH(K$10,0)+1,holidays),0)</f>
        <v>0</v>
      </c>
      <c r="L21" s="13" cm="1">
        <f t="array" ref="L21">IFERROR(CommonWorkdays($D21,$E21,L$10,EOMONTH(L$10,0)+1,holidays),0)</f>
        <v>0</v>
      </c>
      <c r="M21" s="13" cm="1">
        <f t="array" ref="M21">IFERROR(CommonWorkdays($D21,$E21,M$10,EOMONTH(M$10,0)+1,holidays),0)</f>
        <v>0</v>
      </c>
      <c r="N21" s="13" cm="1">
        <f t="array" ref="N21">IFERROR(CommonWorkdays($D21,$E21,N$10,EOMONTH(N$10,0)+1,holidays),0)</f>
        <v>0</v>
      </c>
      <c r="O21" s="13" cm="1">
        <f t="array" ref="O21">IFERROR(CommonWorkdays($D21,$E21,O$10,EOMONTH(O$10,0)+1,holidays),0)</f>
        <v>0</v>
      </c>
      <c r="P21" s="13" cm="1">
        <f t="array" ref="P21">IFERROR(CommonWorkdays($D21,$E21,P$10,EOMONTH(P$10,0)+1,holidays),0)</f>
        <v>0</v>
      </c>
      <c r="Q21" s="13" cm="1">
        <f t="array" ref="Q21">IFERROR(CommonWorkdays($D21,$E21,Q$10,EOMONTH(Q$10,0)+1,holidays),0)</f>
        <v>0</v>
      </c>
      <c r="R21" s="13" cm="1">
        <f t="array" ref="R21">IFERROR(CommonWorkdays($D21,$E21,R$10,EOMONTH(R$10,0)+1,holidays),0)</f>
        <v>0</v>
      </c>
      <c r="S21" s="13" cm="1">
        <f t="array" ref="S21">IFERROR(CommonWorkdays($D21,$E21,S$10,EOMONTH(S$10,0)+1,holidays),0)</f>
        <v>0</v>
      </c>
      <c r="T21" s="13" cm="1">
        <f t="array" ref="T21">IFERROR(CommonWorkdays($D21,$E21,T$10,EOMONTH(T$10,0)+1,holidays),0)</f>
        <v>0</v>
      </c>
      <c r="U21" s="13" cm="1">
        <f t="array" ref="U21">IFERROR(CommonWorkdays($D21,$E21,U$10,EOMONTH(U$10,0)+1,holidays),0)</f>
        <v>0</v>
      </c>
      <c r="V21" s="13" cm="1">
        <f t="array" ref="V21">IFERROR(CommonWorkdays($D21,$E21,V$10,EOMONTH(V$10,0)+1,holidays),0)</f>
        <v>0</v>
      </c>
      <c r="W21" s="13" cm="1">
        <f t="array" ref="W21">IFERROR(CommonWorkdays($D21,$E21,W$10,EOMONTH(W$10,0)+1,holidays),0)</f>
        <v>0</v>
      </c>
      <c r="X21" s="13" cm="1">
        <f t="array" ref="X21">IFERROR(CommonWorkdays($D21,$E21,X$10,EOMONTH(X$10,0)+1,holidays),0)</f>
        <v>0</v>
      </c>
      <c r="Y21" s="13" cm="1">
        <f t="array" ref="Y21">IFERROR(CommonWorkdays($D21,$E21,Y$10,EOMONTH(Y$10,0)+1,holidays),0)</f>
        <v>0</v>
      </c>
      <c r="Z21" s="13" cm="1">
        <f t="array" ref="Z21">IFERROR(CommonWorkdays($D21,$E21,Z$10,EOMONTH(Z$10,0)+1,holidays),0)</f>
        <v>0</v>
      </c>
      <c r="AA21" s="13" cm="1">
        <f t="array" ref="AA21">IFERROR(CommonWorkdays($D21,$E21,AA$10,EOMONTH(AA$10,0)+1,holidays),0)</f>
        <v>0</v>
      </c>
      <c r="AB21" s="13" cm="1">
        <f t="array" ref="AB21">IFERROR(CommonWorkdays($D21,$E21,AB$10,EOMONTH(AB$10,0)+1,holidays),0)</f>
        <v>0</v>
      </c>
      <c r="AC21" s="85" cm="1">
        <f t="array" ref="AC21">IFERROR(CommonWorkdays($D21,$E21,AC$10,EOMONTH(AC$10,0)+1,holidays),0)</f>
        <v>0</v>
      </c>
    </row>
    <row r="22" spans="2:29" x14ac:dyDescent="0.3">
      <c r="B22" s="9">
        <f t="shared" si="2"/>
        <v>11</v>
      </c>
      <c r="C22" s="29" t="s">
        <v>84</v>
      </c>
      <c r="D22" s="12">
        <v>45812</v>
      </c>
      <c r="E22" s="12">
        <v>45833</v>
      </c>
      <c r="F22" s="65">
        <f t="shared" si="3"/>
        <v>15</v>
      </c>
      <c r="G22" s="13" cm="1">
        <f t="array" ref="G22">IFERROR(CommonWorkdays($D22,$E22,G$10,EOMONTH(G$10,0)+1,holidays),0)</f>
        <v>0</v>
      </c>
      <c r="H22" s="13" cm="1">
        <f t="array" ref="H22">IFERROR(CommonWorkdays($D22,$E22,H$10,EOMONTH(H$10,0)+1,holidays),0)</f>
        <v>15</v>
      </c>
      <c r="I22" s="13" cm="1">
        <f t="array" ref="I22">IFERROR(CommonWorkdays($D22,$E22,I$10,EOMONTH(I$10,0)+1,holidays),0)</f>
        <v>0</v>
      </c>
      <c r="J22" s="13" cm="1">
        <f t="array" ref="J22">IFERROR(CommonWorkdays($D22,$E22,J$10,EOMONTH(J$10,0)+1,holidays),0)</f>
        <v>0</v>
      </c>
      <c r="K22" s="13" cm="1">
        <f t="array" ref="K22">IFERROR(CommonWorkdays($D22,$E22,K$10,EOMONTH(K$10,0)+1,holidays),0)</f>
        <v>0</v>
      </c>
      <c r="L22" s="13" cm="1">
        <f t="array" ref="L22">IFERROR(CommonWorkdays($D22,$E22,L$10,EOMONTH(L$10,0)+1,holidays),0)</f>
        <v>0</v>
      </c>
      <c r="M22" s="13" cm="1">
        <f t="array" ref="M22">IFERROR(CommonWorkdays($D22,$E22,M$10,EOMONTH(M$10,0)+1,holidays),0)</f>
        <v>0</v>
      </c>
      <c r="N22" s="13" cm="1">
        <f t="array" ref="N22">IFERROR(CommonWorkdays($D22,$E22,N$10,EOMONTH(N$10,0)+1,holidays),0)</f>
        <v>0</v>
      </c>
      <c r="O22" s="13" cm="1">
        <f t="array" ref="O22">IFERROR(CommonWorkdays($D22,$E22,O$10,EOMONTH(O$10,0)+1,holidays),0)</f>
        <v>0</v>
      </c>
      <c r="P22" s="13" cm="1">
        <f t="array" ref="P22">IFERROR(CommonWorkdays($D22,$E22,P$10,EOMONTH(P$10,0)+1,holidays),0)</f>
        <v>0</v>
      </c>
      <c r="Q22" s="13" cm="1">
        <f t="array" ref="Q22">IFERROR(CommonWorkdays($D22,$E22,Q$10,EOMONTH(Q$10,0)+1,holidays),0)</f>
        <v>0</v>
      </c>
      <c r="R22" s="13" cm="1">
        <f t="array" ref="R22">IFERROR(CommonWorkdays($D22,$E22,R$10,EOMONTH(R$10,0)+1,holidays),0)</f>
        <v>0</v>
      </c>
      <c r="S22" s="13" cm="1">
        <f t="array" ref="S22">IFERROR(CommonWorkdays($D22,$E22,S$10,EOMONTH(S$10,0)+1,holidays),0)</f>
        <v>0</v>
      </c>
      <c r="T22" s="13" cm="1">
        <f t="array" ref="T22">IFERROR(CommonWorkdays($D22,$E22,T$10,EOMONTH(T$10,0)+1,holidays),0)</f>
        <v>0</v>
      </c>
      <c r="U22" s="13" cm="1">
        <f t="array" ref="U22">IFERROR(CommonWorkdays($D22,$E22,U$10,EOMONTH(U$10,0)+1,holidays),0)</f>
        <v>0</v>
      </c>
      <c r="V22" s="13" cm="1">
        <f t="array" ref="V22">IFERROR(CommonWorkdays($D22,$E22,V$10,EOMONTH(V$10,0)+1,holidays),0)</f>
        <v>0</v>
      </c>
      <c r="W22" s="13" cm="1">
        <f t="array" ref="W22">IFERROR(CommonWorkdays($D22,$E22,W$10,EOMONTH(W$10,0)+1,holidays),0)</f>
        <v>0</v>
      </c>
      <c r="X22" s="13" cm="1">
        <f t="array" ref="X22">IFERROR(CommonWorkdays($D22,$E22,X$10,EOMONTH(X$10,0)+1,holidays),0)</f>
        <v>0</v>
      </c>
      <c r="Y22" s="13" cm="1">
        <f t="array" ref="Y22">IFERROR(CommonWorkdays($D22,$E22,Y$10,EOMONTH(Y$10,0)+1,holidays),0)</f>
        <v>0</v>
      </c>
      <c r="Z22" s="13" cm="1">
        <f t="array" ref="Z22">IFERROR(CommonWorkdays($D22,$E22,Z$10,EOMONTH(Z$10,0)+1,holidays),0)</f>
        <v>0</v>
      </c>
      <c r="AA22" s="13" cm="1">
        <f t="array" ref="AA22">IFERROR(CommonWorkdays($D22,$E22,AA$10,EOMONTH(AA$10,0)+1,holidays),0)</f>
        <v>0</v>
      </c>
      <c r="AB22" s="13" cm="1">
        <f t="array" ref="AB22">IFERROR(CommonWorkdays($D22,$E22,AB$10,EOMONTH(AB$10,0)+1,holidays),0)</f>
        <v>0</v>
      </c>
      <c r="AC22" s="85" cm="1">
        <f t="array" ref="AC22">IFERROR(CommonWorkdays($D22,$E22,AC$10,EOMONTH(AC$10,0)+1,holidays),0)</f>
        <v>0</v>
      </c>
    </row>
    <row r="23" spans="2:29" x14ac:dyDescent="0.3">
      <c r="B23" s="9">
        <f t="shared" si="2"/>
        <v>12</v>
      </c>
      <c r="C23" s="29" t="s">
        <v>86</v>
      </c>
      <c r="D23" s="12">
        <v>45833</v>
      </c>
      <c r="E23" s="12">
        <v>45840</v>
      </c>
      <c r="F23" s="65">
        <f t="shared" si="3"/>
        <v>5</v>
      </c>
      <c r="G23" s="13" cm="1">
        <f t="array" ref="G23">IFERROR(CommonWorkdays($D23,$E23,G$10,EOMONTH(G$10,0)+1,holidays),0)</f>
        <v>0</v>
      </c>
      <c r="H23" s="13" cm="1">
        <f t="array" ref="H23">IFERROR(CommonWorkdays($D23,$E23,H$10,EOMONTH(H$10,0)+1,holidays),0)</f>
        <v>4</v>
      </c>
      <c r="I23" s="13" cm="1">
        <f t="array" ref="I23">IFERROR(CommonWorkdays($D23,$E23,I$10,EOMONTH(I$10,0)+1,holidays),0)</f>
        <v>1</v>
      </c>
      <c r="J23" s="13" cm="1">
        <f t="array" ref="J23">IFERROR(CommonWorkdays($D23,$E23,J$10,EOMONTH(J$10,0)+1,holidays),0)</f>
        <v>0</v>
      </c>
      <c r="K23" s="13" cm="1">
        <f t="array" ref="K23">IFERROR(CommonWorkdays($D23,$E23,K$10,EOMONTH(K$10,0)+1,holidays),0)</f>
        <v>0</v>
      </c>
      <c r="L23" s="13" cm="1">
        <f t="array" ref="L23">IFERROR(CommonWorkdays($D23,$E23,L$10,EOMONTH(L$10,0)+1,holidays),0)</f>
        <v>0</v>
      </c>
      <c r="M23" s="13" cm="1">
        <f t="array" ref="M23">IFERROR(CommonWorkdays($D23,$E23,M$10,EOMONTH(M$10,0)+1,holidays),0)</f>
        <v>0</v>
      </c>
      <c r="N23" s="13" cm="1">
        <f t="array" ref="N23">IFERROR(CommonWorkdays($D23,$E23,N$10,EOMONTH(N$10,0)+1,holidays),0)</f>
        <v>0</v>
      </c>
      <c r="O23" s="13" cm="1">
        <f t="array" ref="O23">IFERROR(CommonWorkdays($D23,$E23,O$10,EOMONTH(O$10,0)+1,holidays),0)</f>
        <v>0</v>
      </c>
      <c r="P23" s="13" cm="1">
        <f t="array" ref="P23">IFERROR(CommonWorkdays($D23,$E23,P$10,EOMONTH(P$10,0)+1,holidays),0)</f>
        <v>0</v>
      </c>
      <c r="Q23" s="13" cm="1">
        <f t="array" ref="Q23">IFERROR(CommonWorkdays($D23,$E23,Q$10,EOMONTH(Q$10,0)+1,holidays),0)</f>
        <v>0</v>
      </c>
      <c r="R23" s="13" cm="1">
        <f t="array" ref="R23">IFERROR(CommonWorkdays($D23,$E23,R$10,EOMONTH(R$10,0)+1,holidays),0)</f>
        <v>0</v>
      </c>
      <c r="S23" s="13" cm="1">
        <f t="array" ref="S23">IFERROR(CommonWorkdays($D23,$E23,S$10,EOMONTH(S$10,0)+1,holidays),0)</f>
        <v>0</v>
      </c>
      <c r="T23" s="13" cm="1">
        <f t="array" ref="T23">IFERROR(CommonWorkdays($D23,$E23,T$10,EOMONTH(T$10,0)+1,holidays),0)</f>
        <v>0</v>
      </c>
      <c r="U23" s="13" cm="1">
        <f t="array" ref="U23">IFERROR(CommonWorkdays($D23,$E23,U$10,EOMONTH(U$10,0)+1,holidays),0)</f>
        <v>0</v>
      </c>
      <c r="V23" s="13" cm="1">
        <f t="array" ref="V23">IFERROR(CommonWorkdays($D23,$E23,V$10,EOMONTH(V$10,0)+1,holidays),0)</f>
        <v>0</v>
      </c>
      <c r="W23" s="13" cm="1">
        <f t="array" ref="W23">IFERROR(CommonWorkdays($D23,$E23,W$10,EOMONTH(W$10,0)+1,holidays),0)</f>
        <v>0</v>
      </c>
      <c r="X23" s="13" cm="1">
        <f t="array" ref="X23">IFERROR(CommonWorkdays($D23,$E23,X$10,EOMONTH(X$10,0)+1,holidays),0)</f>
        <v>0</v>
      </c>
      <c r="Y23" s="13" cm="1">
        <f t="array" ref="Y23">IFERROR(CommonWorkdays($D23,$E23,Y$10,EOMONTH(Y$10,0)+1,holidays),0)</f>
        <v>0</v>
      </c>
      <c r="Z23" s="13" cm="1">
        <f t="array" ref="Z23">IFERROR(CommonWorkdays($D23,$E23,Z$10,EOMONTH(Z$10,0)+1,holidays),0)</f>
        <v>0</v>
      </c>
      <c r="AA23" s="13" cm="1">
        <f t="array" ref="AA23">IFERROR(CommonWorkdays($D23,$E23,AA$10,EOMONTH(AA$10,0)+1,holidays),0)</f>
        <v>0</v>
      </c>
      <c r="AB23" s="13" cm="1">
        <f t="array" ref="AB23">IFERROR(CommonWorkdays($D23,$E23,AB$10,EOMONTH(AB$10,0)+1,holidays),0)</f>
        <v>0</v>
      </c>
      <c r="AC23" s="85" cm="1">
        <f t="array" ref="AC23">IFERROR(CommonWorkdays($D23,$E23,AC$10,EOMONTH(AC$10,0)+1,holidays),0)</f>
        <v>0</v>
      </c>
    </row>
    <row r="24" spans="2:29" x14ac:dyDescent="0.3">
      <c r="B24" s="9">
        <f t="shared" si="2"/>
        <v>13</v>
      </c>
      <c r="C24" s="29" t="s">
        <v>133</v>
      </c>
      <c r="D24" s="12">
        <v>45840</v>
      </c>
      <c r="E24" s="12">
        <v>45870</v>
      </c>
      <c r="F24" s="65">
        <f t="shared" si="3"/>
        <v>20</v>
      </c>
      <c r="G24" s="13" cm="1">
        <f t="array" ref="G24">IFERROR(CommonWorkdays($D24,$E24,G$10,EOMONTH(G$10,0)+1,holidays),0)</f>
        <v>0</v>
      </c>
      <c r="H24" s="13" cm="1">
        <f t="array" ref="H24">IFERROR(CommonWorkdays($D24,$E24,H$10,EOMONTH(H$10,0)+1,holidays),0)</f>
        <v>0</v>
      </c>
      <c r="I24" s="13" cm="1">
        <f t="array" ref="I24">IFERROR(CommonWorkdays($D24,$E24,I$10,EOMONTH(I$10,0)+1,holidays),0)</f>
        <v>20</v>
      </c>
      <c r="J24" s="13" cm="1">
        <f t="array" ref="J24">IFERROR(CommonWorkdays($D24,$E24,J$10,EOMONTH(J$10,0)+1,holidays),0)</f>
        <v>0</v>
      </c>
      <c r="K24" s="13" cm="1">
        <f t="array" ref="K24">IFERROR(CommonWorkdays($D24,$E24,K$10,EOMONTH(K$10,0)+1,holidays),0)</f>
        <v>0</v>
      </c>
      <c r="L24" s="13" cm="1">
        <f t="array" ref="L24">IFERROR(CommonWorkdays($D24,$E24,L$10,EOMONTH(L$10,0)+1,holidays),0)</f>
        <v>0</v>
      </c>
      <c r="M24" s="13" cm="1">
        <f t="array" ref="M24">IFERROR(CommonWorkdays($D24,$E24,M$10,EOMONTH(M$10,0)+1,holidays),0)</f>
        <v>0</v>
      </c>
      <c r="N24" s="13" cm="1">
        <f t="array" ref="N24">IFERROR(CommonWorkdays($D24,$E24,N$10,EOMONTH(N$10,0)+1,holidays),0)</f>
        <v>0</v>
      </c>
      <c r="O24" s="13" cm="1">
        <f t="array" ref="O24">IFERROR(CommonWorkdays($D24,$E24,O$10,EOMONTH(O$10,0)+1,holidays),0)</f>
        <v>0</v>
      </c>
      <c r="P24" s="13" cm="1">
        <f t="array" ref="P24">IFERROR(CommonWorkdays($D24,$E24,P$10,EOMONTH(P$10,0)+1,holidays),0)</f>
        <v>0</v>
      </c>
      <c r="Q24" s="13" cm="1">
        <f t="array" ref="Q24">IFERROR(CommonWorkdays($D24,$E24,Q$10,EOMONTH(Q$10,0)+1,holidays),0)</f>
        <v>0</v>
      </c>
      <c r="R24" s="13" cm="1">
        <f t="array" ref="R24">IFERROR(CommonWorkdays($D24,$E24,R$10,EOMONTH(R$10,0)+1,holidays),0)</f>
        <v>0</v>
      </c>
      <c r="S24" s="13" cm="1">
        <f t="array" ref="S24">IFERROR(CommonWorkdays($D24,$E24,S$10,EOMONTH(S$10,0)+1,holidays),0)</f>
        <v>0</v>
      </c>
      <c r="T24" s="13" cm="1">
        <f t="array" ref="T24">IFERROR(CommonWorkdays($D24,$E24,T$10,EOMONTH(T$10,0)+1,holidays),0)</f>
        <v>0</v>
      </c>
      <c r="U24" s="13" cm="1">
        <f t="array" ref="U24">IFERROR(CommonWorkdays($D24,$E24,U$10,EOMONTH(U$10,0)+1,holidays),0)</f>
        <v>0</v>
      </c>
      <c r="V24" s="13" cm="1">
        <f t="array" ref="V24">IFERROR(CommonWorkdays($D24,$E24,V$10,EOMONTH(V$10,0)+1,holidays),0)</f>
        <v>0</v>
      </c>
      <c r="W24" s="13" cm="1">
        <f t="array" ref="W24">IFERROR(CommonWorkdays($D24,$E24,W$10,EOMONTH(W$10,0)+1,holidays),0)</f>
        <v>0</v>
      </c>
      <c r="X24" s="13" cm="1">
        <f t="array" ref="X24">IFERROR(CommonWorkdays($D24,$E24,X$10,EOMONTH(X$10,0)+1,holidays),0)</f>
        <v>0</v>
      </c>
      <c r="Y24" s="13" cm="1">
        <f t="array" ref="Y24">IFERROR(CommonWorkdays($D24,$E24,Y$10,EOMONTH(Y$10,0)+1,holidays),0)</f>
        <v>0</v>
      </c>
      <c r="Z24" s="13" cm="1">
        <f t="array" ref="Z24">IFERROR(CommonWorkdays($D24,$E24,Z$10,EOMONTH(Z$10,0)+1,holidays),0)</f>
        <v>0</v>
      </c>
      <c r="AA24" s="13" cm="1">
        <f t="array" ref="AA24">IFERROR(CommonWorkdays($D24,$E24,AA$10,EOMONTH(AA$10,0)+1,holidays),0)</f>
        <v>0</v>
      </c>
      <c r="AB24" s="13" cm="1">
        <f t="array" ref="AB24">IFERROR(CommonWorkdays($D24,$E24,AB$10,EOMONTH(AB$10,0)+1,holidays),0)</f>
        <v>0</v>
      </c>
      <c r="AC24" s="85" cm="1">
        <f t="array" ref="AC24">IFERROR(CommonWorkdays($D24,$E24,AC$10,EOMONTH(AC$10,0)+1,holidays),0)</f>
        <v>0</v>
      </c>
    </row>
    <row r="25" spans="2:29" x14ac:dyDescent="0.3">
      <c r="B25" s="9">
        <f t="shared" si="2"/>
        <v>14</v>
      </c>
      <c r="C25" s="29" t="s">
        <v>134</v>
      </c>
      <c r="D25" s="12">
        <v>45840</v>
      </c>
      <c r="E25" s="12">
        <v>45870</v>
      </c>
      <c r="F25" s="65">
        <f t="shared" si="3"/>
        <v>20</v>
      </c>
      <c r="G25" s="13" cm="1">
        <f t="array" ref="G25">IFERROR(CommonWorkdays($D25,$E25,G$10,EOMONTH(G$10,0)+1,holidays),0)</f>
        <v>0</v>
      </c>
      <c r="H25" s="13" cm="1">
        <f t="array" ref="H25">IFERROR(CommonWorkdays($D25,$E25,H$10,EOMONTH(H$10,0)+1,holidays),0)</f>
        <v>0</v>
      </c>
      <c r="I25" s="13" cm="1">
        <f t="array" ref="I25">IFERROR(CommonWorkdays($D25,$E25,I$10,EOMONTH(I$10,0)+1,holidays),0)</f>
        <v>20</v>
      </c>
      <c r="J25" s="13" cm="1">
        <f t="array" ref="J25">IFERROR(CommonWorkdays($D25,$E25,J$10,EOMONTH(J$10,0)+1,holidays),0)</f>
        <v>0</v>
      </c>
      <c r="K25" s="13" cm="1">
        <f t="array" ref="K25">IFERROR(CommonWorkdays($D25,$E25,K$10,EOMONTH(K$10,0)+1,holidays),0)</f>
        <v>0</v>
      </c>
      <c r="L25" s="13" cm="1">
        <f t="array" ref="L25">IFERROR(CommonWorkdays($D25,$E25,L$10,EOMONTH(L$10,0)+1,holidays),0)</f>
        <v>0</v>
      </c>
      <c r="M25" s="13" cm="1">
        <f t="array" ref="M25">IFERROR(CommonWorkdays($D25,$E25,M$10,EOMONTH(M$10,0)+1,holidays),0)</f>
        <v>0</v>
      </c>
      <c r="N25" s="13" cm="1">
        <f t="array" ref="N25">IFERROR(CommonWorkdays($D25,$E25,N$10,EOMONTH(N$10,0)+1,holidays),0)</f>
        <v>0</v>
      </c>
      <c r="O25" s="13" cm="1">
        <f t="array" ref="O25">IFERROR(CommonWorkdays($D25,$E25,O$10,EOMONTH(O$10,0)+1,holidays),0)</f>
        <v>0</v>
      </c>
      <c r="P25" s="13" cm="1">
        <f t="array" ref="P25">IFERROR(CommonWorkdays($D25,$E25,P$10,EOMONTH(P$10,0)+1,holidays),0)</f>
        <v>0</v>
      </c>
      <c r="Q25" s="13" cm="1">
        <f t="array" ref="Q25">IFERROR(CommonWorkdays($D25,$E25,Q$10,EOMONTH(Q$10,0)+1,holidays),0)</f>
        <v>0</v>
      </c>
      <c r="R25" s="13" cm="1">
        <f t="array" ref="R25">IFERROR(CommonWorkdays($D25,$E25,R$10,EOMONTH(R$10,0)+1,holidays),0)</f>
        <v>0</v>
      </c>
      <c r="S25" s="13" cm="1">
        <f t="array" ref="S25">IFERROR(CommonWorkdays($D25,$E25,S$10,EOMONTH(S$10,0)+1,holidays),0)</f>
        <v>0</v>
      </c>
      <c r="T25" s="13" cm="1">
        <f t="array" ref="T25">IFERROR(CommonWorkdays($D25,$E25,T$10,EOMONTH(T$10,0)+1,holidays),0)</f>
        <v>0</v>
      </c>
      <c r="U25" s="13" cm="1">
        <f t="array" ref="U25">IFERROR(CommonWorkdays($D25,$E25,U$10,EOMONTH(U$10,0)+1,holidays),0)</f>
        <v>0</v>
      </c>
      <c r="V25" s="13" cm="1">
        <f t="array" ref="V25">IFERROR(CommonWorkdays($D25,$E25,V$10,EOMONTH(V$10,0)+1,holidays),0)</f>
        <v>0</v>
      </c>
      <c r="W25" s="13" cm="1">
        <f t="array" ref="W25">IFERROR(CommonWorkdays($D25,$E25,W$10,EOMONTH(W$10,0)+1,holidays),0)</f>
        <v>0</v>
      </c>
      <c r="X25" s="13" cm="1">
        <f t="array" ref="X25">IFERROR(CommonWorkdays($D25,$E25,X$10,EOMONTH(X$10,0)+1,holidays),0)</f>
        <v>0</v>
      </c>
      <c r="Y25" s="13" cm="1">
        <f t="array" ref="Y25">IFERROR(CommonWorkdays($D25,$E25,Y$10,EOMONTH(Y$10,0)+1,holidays),0)</f>
        <v>0</v>
      </c>
      <c r="Z25" s="13" cm="1">
        <f t="array" ref="Z25">IFERROR(CommonWorkdays($D25,$E25,Z$10,EOMONTH(Z$10,0)+1,holidays),0)</f>
        <v>0</v>
      </c>
      <c r="AA25" s="13" cm="1">
        <f t="array" ref="AA25">IFERROR(CommonWorkdays($D25,$E25,AA$10,EOMONTH(AA$10,0)+1,holidays),0)</f>
        <v>0</v>
      </c>
      <c r="AB25" s="13" cm="1">
        <f t="array" ref="AB25">IFERROR(CommonWorkdays($D25,$E25,AB$10,EOMONTH(AB$10,0)+1,holidays),0)</f>
        <v>0</v>
      </c>
      <c r="AC25" s="85" cm="1">
        <f t="array" ref="AC25">IFERROR(CommonWorkdays($D25,$E25,AC$10,EOMONTH(AC$10,0)+1,holidays),0)</f>
        <v>0</v>
      </c>
    </row>
    <row r="26" spans="2:29" x14ac:dyDescent="0.3">
      <c r="B26" s="9">
        <f t="shared" si="2"/>
        <v>15</v>
      </c>
      <c r="C26" s="29" t="s">
        <v>121</v>
      </c>
      <c r="D26" s="12">
        <v>45870</v>
      </c>
      <c r="E26" s="12">
        <v>45877</v>
      </c>
      <c r="F26" s="65">
        <f t="shared" si="3"/>
        <v>5</v>
      </c>
      <c r="G26" s="13" cm="1">
        <f t="array" ref="G26">IFERROR(CommonWorkdays($D26,$E26,G$10,EOMONTH(G$10,0)+1,holidays),0)</f>
        <v>0</v>
      </c>
      <c r="H26" s="13" cm="1">
        <f t="array" ref="H26">IFERROR(CommonWorkdays($D26,$E26,H$10,EOMONTH(H$10,0)+1,holidays),0)</f>
        <v>0</v>
      </c>
      <c r="I26" s="13" cm="1">
        <f t="array" ref="I26">IFERROR(CommonWorkdays($D26,$E26,I$10,EOMONTH(I$10,0)+1,holidays),0)</f>
        <v>0</v>
      </c>
      <c r="J26" s="13" cm="1">
        <f t="array" ref="J26">IFERROR(CommonWorkdays($D26,$E26,J$10,EOMONTH(J$10,0)+1,holidays),0)</f>
        <v>5</v>
      </c>
      <c r="K26" s="13" cm="1">
        <f t="array" ref="K26">IFERROR(CommonWorkdays($D26,$E26,K$10,EOMONTH(K$10,0)+1,holidays),0)</f>
        <v>0</v>
      </c>
      <c r="L26" s="13" cm="1">
        <f t="array" ref="L26">IFERROR(CommonWorkdays($D26,$E26,L$10,EOMONTH(L$10,0)+1,holidays),0)</f>
        <v>0</v>
      </c>
      <c r="M26" s="13" cm="1">
        <f t="array" ref="M26">IFERROR(CommonWorkdays($D26,$E26,M$10,EOMONTH(M$10,0)+1,holidays),0)</f>
        <v>0</v>
      </c>
      <c r="N26" s="13" cm="1">
        <f t="array" ref="N26">IFERROR(CommonWorkdays($D26,$E26,N$10,EOMONTH(N$10,0)+1,holidays),0)</f>
        <v>0</v>
      </c>
      <c r="O26" s="13" cm="1">
        <f t="array" ref="O26">IFERROR(CommonWorkdays($D26,$E26,O$10,EOMONTH(O$10,0)+1,holidays),0)</f>
        <v>0</v>
      </c>
      <c r="P26" s="13" cm="1">
        <f t="array" ref="P26">IFERROR(CommonWorkdays($D26,$E26,P$10,EOMONTH(P$10,0)+1,holidays),0)</f>
        <v>0</v>
      </c>
      <c r="Q26" s="13" cm="1">
        <f t="array" ref="Q26">IFERROR(CommonWorkdays($D26,$E26,Q$10,EOMONTH(Q$10,0)+1,holidays),0)</f>
        <v>0</v>
      </c>
      <c r="R26" s="13" cm="1">
        <f t="array" ref="R26">IFERROR(CommonWorkdays($D26,$E26,R$10,EOMONTH(R$10,0)+1,holidays),0)</f>
        <v>0</v>
      </c>
      <c r="S26" s="13" cm="1">
        <f t="array" ref="S26">IFERROR(CommonWorkdays($D26,$E26,S$10,EOMONTH(S$10,0)+1,holidays),0)</f>
        <v>0</v>
      </c>
      <c r="T26" s="13" cm="1">
        <f t="array" ref="T26">IFERROR(CommonWorkdays($D26,$E26,T$10,EOMONTH(T$10,0)+1,holidays),0)</f>
        <v>0</v>
      </c>
      <c r="U26" s="13" cm="1">
        <f t="array" ref="U26">IFERROR(CommonWorkdays($D26,$E26,U$10,EOMONTH(U$10,0)+1,holidays),0)</f>
        <v>0</v>
      </c>
      <c r="V26" s="13" cm="1">
        <f t="array" ref="V26">IFERROR(CommonWorkdays($D26,$E26,V$10,EOMONTH(V$10,0)+1,holidays),0)</f>
        <v>0</v>
      </c>
      <c r="W26" s="13" cm="1">
        <f t="array" ref="W26">IFERROR(CommonWorkdays($D26,$E26,W$10,EOMONTH(W$10,0)+1,holidays),0)</f>
        <v>0</v>
      </c>
      <c r="X26" s="13" cm="1">
        <f t="array" ref="X26">IFERROR(CommonWorkdays($D26,$E26,X$10,EOMONTH(X$10,0)+1,holidays),0)</f>
        <v>0</v>
      </c>
      <c r="Y26" s="13" cm="1">
        <f t="array" ref="Y26">IFERROR(CommonWorkdays($D26,$E26,Y$10,EOMONTH(Y$10,0)+1,holidays),0)</f>
        <v>0</v>
      </c>
      <c r="Z26" s="13" cm="1">
        <f t="array" ref="Z26">IFERROR(CommonWorkdays($D26,$E26,Z$10,EOMONTH(Z$10,0)+1,holidays),0)</f>
        <v>0</v>
      </c>
      <c r="AA26" s="13" cm="1">
        <f t="array" ref="AA26">IFERROR(CommonWorkdays($D26,$E26,AA$10,EOMONTH(AA$10,0)+1,holidays),0)</f>
        <v>0</v>
      </c>
      <c r="AB26" s="13" cm="1">
        <f t="array" ref="AB26">IFERROR(CommonWorkdays($D26,$E26,AB$10,EOMONTH(AB$10,0)+1,holidays),0)</f>
        <v>0</v>
      </c>
      <c r="AC26" s="85" cm="1">
        <f t="array" ref="AC26">IFERROR(CommonWorkdays($D26,$E26,AC$10,EOMONTH(AC$10,0)+1,holidays),0)</f>
        <v>0</v>
      </c>
    </row>
    <row r="27" spans="2:29" x14ac:dyDescent="0.3">
      <c r="B27" s="9">
        <f t="shared" si="2"/>
        <v>16</v>
      </c>
      <c r="C27" s="29" t="s">
        <v>91</v>
      </c>
      <c r="D27" s="12">
        <v>45877</v>
      </c>
      <c r="E27" s="12">
        <v>45895</v>
      </c>
      <c r="F27" s="65">
        <f t="shared" si="3"/>
        <v>10</v>
      </c>
      <c r="G27" s="13" cm="1">
        <f t="array" ref="G27">IFERROR(CommonWorkdays($D27,$E27,G$10,EOMONTH(G$10,0)+1,holidays),0)</f>
        <v>0</v>
      </c>
      <c r="H27" s="13" cm="1">
        <f t="array" ref="H27">IFERROR(CommonWorkdays($D27,$E27,H$10,EOMONTH(H$10,0)+1,holidays),0)</f>
        <v>0</v>
      </c>
      <c r="I27" s="13" cm="1">
        <f t="array" ref="I27">IFERROR(CommonWorkdays($D27,$E27,I$10,EOMONTH(I$10,0)+1,holidays),0)</f>
        <v>0</v>
      </c>
      <c r="J27" s="13" cm="1">
        <f t="array" ref="J27">IFERROR(CommonWorkdays($D27,$E27,J$10,EOMONTH(J$10,0)+1,holidays),0)</f>
        <v>10</v>
      </c>
      <c r="K27" s="13" cm="1">
        <f t="array" ref="K27">IFERROR(CommonWorkdays($D27,$E27,K$10,EOMONTH(K$10,0)+1,holidays),0)</f>
        <v>0</v>
      </c>
      <c r="L27" s="13" cm="1">
        <f t="array" ref="L27">IFERROR(CommonWorkdays($D27,$E27,L$10,EOMONTH(L$10,0)+1,holidays),0)</f>
        <v>0</v>
      </c>
      <c r="M27" s="13" cm="1">
        <f t="array" ref="M27">IFERROR(CommonWorkdays($D27,$E27,M$10,EOMONTH(M$10,0)+1,holidays),0)</f>
        <v>0</v>
      </c>
      <c r="N27" s="13" cm="1">
        <f t="array" ref="N27">IFERROR(CommonWorkdays($D27,$E27,N$10,EOMONTH(N$10,0)+1,holidays),0)</f>
        <v>0</v>
      </c>
      <c r="O27" s="13" cm="1">
        <f t="array" ref="O27">IFERROR(CommonWorkdays($D27,$E27,O$10,EOMONTH(O$10,0)+1,holidays),0)</f>
        <v>0</v>
      </c>
      <c r="P27" s="13" cm="1">
        <f t="array" ref="P27">IFERROR(CommonWorkdays($D27,$E27,P$10,EOMONTH(P$10,0)+1,holidays),0)</f>
        <v>0</v>
      </c>
      <c r="Q27" s="13" cm="1">
        <f t="array" ref="Q27">IFERROR(CommonWorkdays($D27,$E27,Q$10,EOMONTH(Q$10,0)+1,holidays),0)</f>
        <v>0</v>
      </c>
      <c r="R27" s="13" cm="1">
        <f t="array" ref="R27">IFERROR(CommonWorkdays($D27,$E27,R$10,EOMONTH(R$10,0)+1,holidays),0)</f>
        <v>0</v>
      </c>
      <c r="S27" s="13" cm="1">
        <f t="array" ref="S27">IFERROR(CommonWorkdays($D27,$E27,S$10,EOMONTH(S$10,0)+1,holidays),0)</f>
        <v>0</v>
      </c>
      <c r="T27" s="13" cm="1">
        <f t="array" ref="T27">IFERROR(CommonWorkdays($D27,$E27,T$10,EOMONTH(T$10,0)+1,holidays),0)</f>
        <v>0</v>
      </c>
      <c r="U27" s="13" cm="1">
        <f t="array" ref="U27">IFERROR(CommonWorkdays($D27,$E27,U$10,EOMONTH(U$10,0)+1,holidays),0)</f>
        <v>0</v>
      </c>
      <c r="V27" s="13" cm="1">
        <f t="array" ref="V27">IFERROR(CommonWorkdays($D27,$E27,V$10,EOMONTH(V$10,0)+1,holidays),0)</f>
        <v>0</v>
      </c>
      <c r="W27" s="13" cm="1">
        <f t="array" ref="W27">IFERROR(CommonWorkdays($D27,$E27,W$10,EOMONTH(W$10,0)+1,holidays),0)</f>
        <v>0</v>
      </c>
      <c r="X27" s="13" cm="1">
        <f t="array" ref="X27">IFERROR(CommonWorkdays($D27,$E27,X$10,EOMONTH(X$10,0)+1,holidays),0)</f>
        <v>0</v>
      </c>
      <c r="Y27" s="13" cm="1">
        <f t="array" ref="Y27">IFERROR(CommonWorkdays($D27,$E27,Y$10,EOMONTH(Y$10,0)+1,holidays),0)</f>
        <v>0</v>
      </c>
      <c r="Z27" s="13" cm="1">
        <f t="array" ref="Z27">IFERROR(CommonWorkdays($D27,$E27,Z$10,EOMONTH(Z$10,0)+1,holidays),0)</f>
        <v>0</v>
      </c>
      <c r="AA27" s="13" cm="1">
        <f t="array" ref="AA27">IFERROR(CommonWorkdays($D27,$E27,AA$10,EOMONTH(AA$10,0)+1,holidays),0)</f>
        <v>0</v>
      </c>
      <c r="AB27" s="13" cm="1">
        <f t="array" ref="AB27">IFERROR(CommonWorkdays($D27,$E27,AB$10,EOMONTH(AB$10,0)+1,holidays),0)</f>
        <v>0</v>
      </c>
      <c r="AC27" s="85" cm="1">
        <f t="array" ref="AC27">IFERROR(CommonWorkdays($D27,$E27,AC$10,EOMONTH(AC$10,0)+1,holidays),0)</f>
        <v>0</v>
      </c>
    </row>
    <row r="28" spans="2:29" x14ac:dyDescent="0.3">
      <c r="B28" s="9">
        <f t="shared" si="2"/>
        <v>17</v>
      </c>
      <c r="C28" s="29" t="s">
        <v>122</v>
      </c>
      <c r="D28" s="12">
        <v>45895</v>
      </c>
      <c r="E28" s="12">
        <v>45902</v>
      </c>
      <c r="F28" s="65">
        <f t="shared" si="3"/>
        <v>5</v>
      </c>
      <c r="G28" s="13" cm="1">
        <f t="array" ref="G28">IFERROR(CommonWorkdays($D28,$E28,G$10,EOMONTH(G$10,0)+1,holidays),0)</f>
        <v>0</v>
      </c>
      <c r="H28" s="13" cm="1">
        <f t="array" ref="H28">IFERROR(CommonWorkdays($D28,$E28,H$10,EOMONTH(H$10,0)+1,holidays),0)</f>
        <v>0</v>
      </c>
      <c r="I28" s="13" cm="1">
        <f t="array" ref="I28">IFERROR(CommonWorkdays($D28,$E28,I$10,EOMONTH(I$10,0)+1,holidays),0)</f>
        <v>0</v>
      </c>
      <c r="J28" s="13" cm="1">
        <f t="array" ref="J28">IFERROR(CommonWorkdays($D28,$E28,J$10,EOMONTH(J$10,0)+1,holidays),0)</f>
        <v>4</v>
      </c>
      <c r="K28" s="13" cm="1">
        <f t="array" ref="K28">IFERROR(CommonWorkdays($D28,$E28,K$10,EOMONTH(K$10,0)+1,holidays),0)</f>
        <v>1</v>
      </c>
      <c r="L28" s="13" cm="1">
        <f t="array" ref="L28">IFERROR(CommonWorkdays($D28,$E28,L$10,EOMONTH(L$10,0)+1,holidays),0)</f>
        <v>0</v>
      </c>
      <c r="M28" s="13" cm="1">
        <f t="array" ref="M28">IFERROR(CommonWorkdays($D28,$E28,M$10,EOMONTH(M$10,0)+1,holidays),0)</f>
        <v>0</v>
      </c>
      <c r="N28" s="13" cm="1">
        <f t="array" ref="N28">IFERROR(CommonWorkdays($D28,$E28,N$10,EOMONTH(N$10,0)+1,holidays),0)</f>
        <v>0</v>
      </c>
      <c r="O28" s="13" cm="1">
        <f t="array" ref="O28">IFERROR(CommonWorkdays($D28,$E28,O$10,EOMONTH(O$10,0)+1,holidays),0)</f>
        <v>0</v>
      </c>
      <c r="P28" s="13" cm="1">
        <f t="array" ref="P28">IFERROR(CommonWorkdays($D28,$E28,P$10,EOMONTH(P$10,0)+1,holidays),0)</f>
        <v>0</v>
      </c>
      <c r="Q28" s="13" cm="1">
        <f t="array" ref="Q28">IFERROR(CommonWorkdays($D28,$E28,Q$10,EOMONTH(Q$10,0)+1,holidays),0)</f>
        <v>0</v>
      </c>
      <c r="R28" s="13" cm="1">
        <f t="array" ref="R28">IFERROR(CommonWorkdays($D28,$E28,R$10,EOMONTH(R$10,0)+1,holidays),0)</f>
        <v>0</v>
      </c>
      <c r="S28" s="13" cm="1">
        <f t="array" ref="S28">IFERROR(CommonWorkdays($D28,$E28,S$10,EOMONTH(S$10,0)+1,holidays),0)</f>
        <v>0</v>
      </c>
      <c r="T28" s="13" cm="1">
        <f t="array" ref="T28">IFERROR(CommonWorkdays($D28,$E28,T$10,EOMONTH(T$10,0)+1,holidays),0)</f>
        <v>0</v>
      </c>
      <c r="U28" s="13" cm="1">
        <f t="array" ref="U28">IFERROR(CommonWorkdays($D28,$E28,U$10,EOMONTH(U$10,0)+1,holidays),0)</f>
        <v>0</v>
      </c>
      <c r="V28" s="13" cm="1">
        <f t="array" ref="V28">IFERROR(CommonWorkdays($D28,$E28,V$10,EOMONTH(V$10,0)+1,holidays),0)</f>
        <v>0</v>
      </c>
      <c r="W28" s="13" cm="1">
        <f t="array" ref="W28">IFERROR(CommonWorkdays($D28,$E28,W$10,EOMONTH(W$10,0)+1,holidays),0)</f>
        <v>0</v>
      </c>
      <c r="X28" s="13" cm="1">
        <f t="array" ref="X28">IFERROR(CommonWorkdays($D28,$E28,X$10,EOMONTH(X$10,0)+1,holidays),0)</f>
        <v>0</v>
      </c>
      <c r="Y28" s="13" cm="1">
        <f t="array" ref="Y28">IFERROR(CommonWorkdays($D28,$E28,Y$10,EOMONTH(Y$10,0)+1,holidays),0)</f>
        <v>0</v>
      </c>
      <c r="Z28" s="13" cm="1">
        <f t="array" ref="Z28">IFERROR(CommonWorkdays($D28,$E28,Z$10,EOMONTH(Z$10,0)+1,holidays),0)</f>
        <v>0</v>
      </c>
      <c r="AA28" s="13" cm="1">
        <f t="array" ref="AA28">IFERROR(CommonWorkdays($D28,$E28,AA$10,EOMONTH(AA$10,0)+1,holidays),0)</f>
        <v>0</v>
      </c>
      <c r="AB28" s="13" cm="1">
        <f t="array" ref="AB28">IFERROR(CommonWorkdays($D28,$E28,AB$10,EOMONTH(AB$10,0)+1,holidays),0)</f>
        <v>0</v>
      </c>
      <c r="AC28" s="85" cm="1">
        <f t="array" ref="AC28">IFERROR(CommonWorkdays($D28,$E28,AC$10,EOMONTH(AC$10,0)+1,holidays),0)</f>
        <v>0</v>
      </c>
    </row>
    <row r="29" spans="2:29" x14ac:dyDescent="0.3">
      <c r="B29" s="9">
        <f t="shared" si="2"/>
        <v>18</v>
      </c>
      <c r="C29" s="29" t="s">
        <v>95</v>
      </c>
      <c r="D29" s="12">
        <v>45902</v>
      </c>
      <c r="E29" s="12">
        <v>45909</v>
      </c>
      <c r="F29" s="65">
        <f t="shared" si="3"/>
        <v>5</v>
      </c>
      <c r="G29" s="13" cm="1">
        <f t="array" ref="G29">IFERROR(CommonWorkdays($D29,$E29,G$10,EOMONTH(G$10,0)+1,holidays),0)</f>
        <v>0</v>
      </c>
      <c r="H29" s="13" cm="1">
        <f t="array" ref="H29">IFERROR(CommonWorkdays($D29,$E29,H$10,EOMONTH(H$10,0)+1,holidays),0)</f>
        <v>0</v>
      </c>
      <c r="I29" s="13" cm="1">
        <f t="array" ref="I29">IFERROR(CommonWorkdays($D29,$E29,I$10,EOMONTH(I$10,0)+1,holidays),0)</f>
        <v>0</v>
      </c>
      <c r="J29" s="13" cm="1">
        <f t="array" ref="J29">IFERROR(CommonWorkdays($D29,$E29,J$10,EOMONTH(J$10,0)+1,holidays),0)</f>
        <v>0</v>
      </c>
      <c r="K29" s="13" cm="1">
        <f t="array" ref="K29">IFERROR(CommonWorkdays($D29,$E29,K$10,EOMONTH(K$10,0)+1,holidays),0)</f>
        <v>5</v>
      </c>
      <c r="L29" s="13" cm="1">
        <f t="array" ref="L29">IFERROR(CommonWorkdays($D29,$E29,L$10,EOMONTH(L$10,0)+1,holidays),0)</f>
        <v>0</v>
      </c>
      <c r="M29" s="13" cm="1">
        <f t="array" ref="M29">IFERROR(CommonWorkdays($D29,$E29,M$10,EOMONTH(M$10,0)+1,holidays),0)</f>
        <v>0</v>
      </c>
      <c r="N29" s="13" cm="1">
        <f t="array" ref="N29">IFERROR(CommonWorkdays($D29,$E29,N$10,EOMONTH(N$10,0)+1,holidays),0)</f>
        <v>0</v>
      </c>
      <c r="O29" s="13" cm="1">
        <f t="array" ref="O29">IFERROR(CommonWorkdays($D29,$E29,O$10,EOMONTH(O$10,0)+1,holidays),0)</f>
        <v>0</v>
      </c>
      <c r="P29" s="13" cm="1">
        <f t="array" ref="P29">IFERROR(CommonWorkdays($D29,$E29,P$10,EOMONTH(P$10,0)+1,holidays),0)</f>
        <v>0</v>
      </c>
      <c r="Q29" s="13" cm="1">
        <f t="array" ref="Q29">IFERROR(CommonWorkdays($D29,$E29,Q$10,EOMONTH(Q$10,0)+1,holidays),0)</f>
        <v>0</v>
      </c>
      <c r="R29" s="13" cm="1">
        <f t="array" ref="R29">IFERROR(CommonWorkdays($D29,$E29,R$10,EOMONTH(R$10,0)+1,holidays),0)</f>
        <v>0</v>
      </c>
      <c r="S29" s="13" cm="1">
        <f t="array" ref="S29">IFERROR(CommonWorkdays($D29,$E29,S$10,EOMONTH(S$10,0)+1,holidays),0)</f>
        <v>0</v>
      </c>
      <c r="T29" s="13" cm="1">
        <f t="array" ref="T29">IFERROR(CommonWorkdays($D29,$E29,T$10,EOMONTH(T$10,0)+1,holidays),0)</f>
        <v>0</v>
      </c>
      <c r="U29" s="13" cm="1">
        <f t="array" ref="U29">IFERROR(CommonWorkdays($D29,$E29,U$10,EOMONTH(U$10,0)+1,holidays),0)</f>
        <v>0</v>
      </c>
      <c r="V29" s="13" cm="1">
        <f t="array" ref="V29">IFERROR(CommonWorkdays($D29,$E29,V$10,EOMONTH(V$10,0)+1,holidays),0)</f>
        <v>0</v>
      </c>
      <c r="W29" s="13" cm="1">
        <f t="array" ref="W29">IFERROR(CommonWorkdays($D29,$E29,W$10,EOMONTH(W$10,0)+1,holidays),0)</f>
        <v>0</v>
      </c>
      <c r="X29" s="13" cm="1">
        <f t="array" ref="X29">IFERROR(CommonWorkdays($D29,$E29,X$10,EOMONTH(X$10,0)+1,holidays),0)</f>
        <v>0</v>
      </c>
      <c r="Y29" s="13" cm="1">
        <f t="array" ref="Y29">IFERROR(CommonWorkdays($D29,$E29,Y$10,EOMONTH(Y$10,0)+1,holidays),0)</f>
        <v>0</v>
      </c>
      <c r="Z29" s="13" cm="1">
        <f t="array" ref="Z29">IFERROR(CommonWorkdays($D29,$E29,Z$10,EOMONTH(Z$10,0)+1,holidays),0)</f>
        <v>0</v>
      </c>
      <c r="AA29" s="13" cm="1">
        <f t="array" ref="AA29">IFERROR(CommonWorkdays($D29,$E29,AA$10,EOMONTH(AA$10,0)+1,holidays),0)</f>
        <v>0</v>
      </c>
      <c r="AB29" s="13" cm="1">
        <f t="array" ref="AB29">IFERROR(CommonWorkdays($D29,$E29,AB$10,EOMONTH(AB$10,0)+1,holidays),0)</f>
        <v>0</v>
      </c>
      <c r="AC29" s="85" cm="1">
        <f t="array" ref="AC29">IFERROR(CommonWorkdays($D29,$E29,AC$10,EOMONTH(AC$10,0)+1,holidays),0)</f>
        <v>0</v>
      </c>
    </row>
    <row r="30" spans="2:29" x14ac:dyDescent="0.3">
      <c r="B30" s="15">
        <f t="shared" si="2"/>
        <v>19</v>
      </c>
      <c r="C30" s="30" t="s">
        <v>123</v>
      </c>
      <c r="D30" s="18">
        <v>45909</v>
      </c>
      <c r="E30" s="18">
        <v>45930</v>
      </c>
      <c r="F30" s="67">
        <f t="shared" si="3"/>
        <v>15</v>
      </c>
      <c r="G30" s="19" cm="1">
        <f t="array" ref="G30">IFERROR(CommonWorkdays($D30,$E30,G$10,EOMONTH(G$10,0)+1,holidays),0)</f>
        <v>0</v>
      </c>
      <c r="H30" s="19" cm="1">
        <f t="array" ref="H30">IFERROR(CommonWorkdays($D30,$E30,H$10,EOMONTH(H$10,0)+1,holidays),0)</f>
        <v>0</v>
      </c>
      <c r="I30" s="19" cm="1">
        <f t="array" ref="I30">IFERROR(CommonWorkdays($D30,$E30,I$10,EOMONTH(I$10,0)+1,holidays),0)</f>
        <v>0</v>
      </c>
      <c r="J30" s="19" cm="1">
        <f t="array" ref="J30">IFERROR(CommonWorkdays($D30,$E30,J$10,EOMONTH(J$10,0)+1,holidays),0)</f>
        <v>0</v>
      </c>
      <c r="K30" s="19" cm="1">
        <f t="array" ref="K30">IFERROR(CommonWorkdays($D30,$E30,K$10,EOMONTH(K$10,0)+1,holidays),0)</f>
        <v>15</v>
      </c>
      <c r="L30" s="19" cm="1">
        <f t="array" ref="L30">IFERROR(CommonWorkdays($D30,$E30,L$10,EOMONTH(L$10,0)+1,holidays),0)</f>
        <v>0</v>
      </c>
      <c r="M30" s="19" cm="1">
        <f t="array" ref="M30">IFERROR(CommonWorkdays($D30,$E30,M$10,EOMONTH(M$10,0)+1,holidays),0)</f>
        <v>0</v>
      </c>
      <c r="N30" s="19" cm="1">
        <f t="array" ref="N30">IFERROR(CommonWorkdays($D30,$E30,N$10,EOMONTH(N$10,0)+1,holidays),0)</f>
        <v>0</v>
      </c>
      <c r="O30" s="19" cm="1">
        <f t="array" ref="O30">IFERROR(CommonWorkdays($D30,$E30,O$10,EOMONTH(O$10,0)+1,holidays),0)</f>
        <v>0</v>
      </c>
      <c r="P30" s="19" cm="1">
        <f t="array" ref="P30">IFERROR(CommonWorkdays($D30,$E30,P$10,EOMONTH(P$10,0)+1,holidays),0)</f>
        <v>0</v>
      </c>
      <c r="Q30" s="19" cm="1">
        <f t="array" ref="Q30">IFERROR(CommonWorkdays($D30,$E30,Q$10,EOMONTH(Q$10,0)+1,holidays),0)</f>
        <v>0</v>
      </c>
      <c r="R30" s="19" cm="1">
        <f t="array" ref="R30">IFERROR(CommonWorkdays($D30,$E30,R$10,EOMONTH(R$10,0)+1,holidays),0)</f>
        <v>0</v>
      </c>
      <c r="S30" s="19" cm="1">
        <f t="array" ref="S30">IFERROR(CommonWorkdays($D30,$E30,S$10,EOMONTH(S$10,0)+1,holidays),0)</f>
        <v>0</v>
      </c>
      <c r="T30" s="19" cm="1">
        <f t="array" ref="T30">IFERROR(CommonWorkdays($D30,$E30,T$10,EOMONTH(T$10,0)+1,holidays),0)</f>
        <v>0</v>
      </c>
      <c r="U30" s="19" cm="1">
        <f t="array" ref="U30">IFERROR(CommonWorkdays($D30,$E30,U$10,EOMONTH(U$10,0)+1,holidays),0)</f>
        <v>0</v>
      </c>
      <c r="V30" s="19" cm="1">
        <f t="array" ref="V30">IFERROR(CommonWorkdays($D30,$E30,V$10,EOMONTH(V$10,0)+1,holidays),0)</f>
        <v>0</v>
      </c>
      <c r="W30" s="19" cm="1">
        <f t="array" ref="W30">IFERROR(CommonWorkdays($D30,$E30,W$10,EOMONTH(W$10,0)+1,holidays),0)</f>
        <v>0</v>
      </c>
      <c r="X30" s="19" cm="1">
        <f t="array" ref="X30">IFERROR(CommonWorkdays($D30,$E30,X$10,EOMONTH(X$10,0)+1,holidays),0)</f>
        <v>0</v>
      </c>
      <c r="Y30" s="19" cm="1">
        <f t="array" ref="Y30">IFERROR(CommonWorkdays($D30,$E30,Y$10,EOMONTH(Y$10,0)+1,holidays),0)</f>
        <v>0</v>
      </c>
      <c r="Z30" s="19" cm="1">
        <f t="array" ref="Z30">IFERROR(CommonWorkdays($D30,$E30,Z$10,EOMONTH(Z$10,0)+1,holidays),0)</f>
        <v>0</v>
      </c>
      <c r="AA30" s="19" cm="1">
        <f t="array" ref="AA30">IFERROR(CommonWorkdays($D30,$E30,AA$10,EOMONTH(AA$10,0)+1,holidays),0)</f>
        <v>0</v>
      </c>
      <c r="AB30" s="19" cm="1">
        <f t="array" ref="AB30">IFERROR(CommonWorkdays($D30,$E30,AB$10,EOMONTH(AB$10,0)+1,holidays),0)</f>
        <v>0</v>
      </c>
      <c r="AC30" s="105" cm="1">
        <f t="array" ref="AC30">IFERROR(CommonWorkdays($D30,$E30,AC$10,EOMONTH(AC$10,0)+1,holidays),0)</f>
        <v>0</v>
      </c>
    </row>
    <row r="31" spans="2:29" x14ac:dyDescent="0.3">
      <c r="B31" s="70">
        <f t="shared" si="2"/>
        <v>20</v>
      </c>
      <c r="C31" s="71" t="s">
        <v>135</v>
      </c>
      <c r="D31" s="72">
        <v>45877</v>
      </c>
      <c r="E31" s="72">
        <v>46010</v>
      </c>
      <c r="F31" s="73">
        <f t="shared" si="3"/>
        <v>89</v>
      </c>
      <c r="G31" s="78" cm="1">
        <f t="array" ref="G31">IFERROR(CommonWorkdays($D31,$E31,G$10,EOMONTH(G$10,0)+1,holidays),0)</f>
        <v>0</v>
      </c>
      <c r="H31" s="78" cm="1">
        <f t="array" ref="H31">IFERROR(CommonWorkdays($D31,$E31,H$10,EOMONTH(H$10,0)+1,holidays),0)</f>
        <v>0</v>
      </c>
      <c r="I31" s="78" cm="1">
        <f t="array" ref="I31">IFERROR(CommonWorkdays($D31,$E31,I$10,EOMONTH(I$10,0)+1,holidays),0)</f>
        <v>0</v>
      </c>
      <c r="J31" s="78" cm="1">
        <f t="array" ref="J31">IFERROR(CommonWorkdays($D31,$E31,J$10,EOMONTH(J$10,0)+1,holidays),0)</f>
        <v>14</v>
      </c>
      <c r="K31" s="78" cm="1">
        <f t="array" ref="K31">IFERROR(CommonWorkdays($D31,$E31,K$10,EOMONTH(K$10,0)+1,holidays),0)</f>
        <v>22</v>
      </c>
      <c r="L31" s="78" cm="1">
        <f t="array" ref="L31">IFERROR(CommonWorkdays($D31,$E31,L$10,EOMONTH(L$10,0)+1,holidays),0)</f>
        <v>21</v>
      </c>
      <c r="M31" s="78" cm="1">
        <f t="array" ref="M31">IFERROR(CommonWorkdays($D31,$E31,M$10,EOMONTH(M$10,0)+1,holidays),0)</f>
        <v>20</v>
      </c>
      <c r="N31" s="78" cm="1">
        <f t="array" ref="N31">IFERROR(CommonWorkdays($D31,$E31,N$10,EOMONTH(N$10,0)+1,holidays),0)</f>
        <v>12</v>
      </c>
      <c r="O31" s="78" cm="1">
        <f t="array" ref="O31">IFERROR(CommonWorkdays($D31,$E31,O$10,EOMONTH(O$10,0)+1,holidays),0)</f>
        <v>0</v>
      </c>
      <c r="P31" s="78" cm="1">
        <f t="array" ref="P31">IFERROR(CommonWorkdays($D31,$E31,P$10,EOMONTH(P$10,0)+1,holidays),0)</f>
        <v>0</v>
      </c>
      <c r="Q31" s="78" cm="1">
        <f t="array" ref="Q31">IFERROR(CommonWorkdays($D31,$E31,Q$10,EOMONTH(Q$10,0)+1,holidays),0)</f>
        <v>0</v>
      </c>
      <c r="R31" s="78" cm="1">
        <f t="array" ref="R31">IFERROR(CommonWorkdays($D31,$E31,R$10,EOMONTH(R$10,0)+1,holidays),0)</f>
        <v>0</v>
      </c>
      <c r="S31" s="78" cm="1">
        <f t="array" ref="S31">IFERROR(CommonWorkdays($D31,$E31,S$10,EOMONTH(S$10,0)+1,holidays),0)</f>
        <v>0</v>
      </c>
      <c r="T31" s="78" cm="1">
        <f t="array" ref="T31">IFERROR(CommonWorkdays($D31,$E31,T$10,EOMONTH(T$10,0)+1,holidays),0)</f>
        <v>0</v>
      </c>
      <c r="U31" s="78" cm="1">
        <f t="array" ref="U31">IFERROR(CommonWorkdays($D31,$E31,U$10,EOMONTH(U$10,0)+1,holidays),0)</f>
        <v>0</v>
      </c>
      <c r="V31" s="78" cm="1">
        <f t="array" ref="V31">IFERROR(CommonWorkdays($D31,$E31,V$10,EOMONTH(V$10,0)+1,holidays),0)</f>
        <v>0</v>
      </c>
      <c r="W31" s="78" cm="1">
        <f t="array" ref="W31">IFERROR(CommonWorkdays($D31,$E31,W$10,EOMONTH(W$10,0)+1,holidays),0)</f>
        <v>0</v>
      </c>
      <c r="X31" s="78" cm="1">
        <f t="array" ref="X31">IFERROR(CommonWorkdays($D31,$E31,X$10,EOMONTH(X$10,0)+1,holidays),0)</f>
        <v>0</v>
      </c>
      <c r="Y31" s="78" cm="1">
        <f t="array" ref="Y31">IFERROR(CommonWorkdays($D31,$E31,Y$10,EOMONTH(Y$10,0)+1,holidays),0)</f>
        <v>0</v>
      </c>
      <c r="Z31" s="78" cm="1">
        <f t="array" ref="Z31">IFERROR(CommonWorkdays($D31,$E31,Z$10,EOMONTH(Z$10,0)+1,holidays),0)</f>
        <v>0</v>
      </c>
      <c r="AA31" s="78" cm="1">
        <f t="array" ref="AA31">IFERROR(CommonWorkdays($D31,$E31,AA$10,EOMONTH(AA$10,0)+1,holidays),0)</f>
        <v>0</v>
      </c>
      <c r="AB31" s="78" cm="1">
        <f t="array" ref="AB31">IFERROR(CommonWorkdays($D31,$E31,AB$10,EOMONTH(AB$10,0)+1,holidays),0)</f>
        <v>0</v>
      </c>
      <c r="AC31" s="109" cm="1">
        <f t="array" ref="AC31">IFERROR(CommonWorkdays($D31,$E31,AC$10,EOMONTH(AC$10,0)+1,holidays),0)</f>
        <v>0</v>
      </c>
    </row>
    <row r="32" spans="2:29" x14ac:dyDescent="0.3">
      <c r="B32" s="9">
        <f t="shared" si="2"/>
        <v>21</v>
      </c>
      <c r="C32" s="29" t="s">
        <v>125</v>
      </c>
      <c r="D32" s="12">
        <v>45877</v>
      </c>
      <c r="E32" s="12">
        <v>45888</v>
      </c>
      <c r="F32" s="65">
        <f t="shared" si="3"/>
        <v>5</v>
      </c>
      <c r="G32" s="13" cm="1">
        <f t="array" ref="G32">IFERROR(CommonWorkdays($D32,$E32,G$10,EOMONTH(G$10,0)+1,holidays),0)</f>
        <v>0</v>
      </c>
      <c r="H32" s="13" cm="1">
        <f t="array" ref="H32">IFERROR(CommonWorkdays($D32,$E32,H$10,EOMONTH(H$10,0)+1,holidays),0)</f>
        <v>0</v>
      </c>
      <c r="I32" s="13" cm="1">
        <f t="array" ref="I32">IFERROR(CommonWorkdays($D32,$E32,I$10,EOMONTH(I$10,0)+1,holidays),0)</f>
        <v>0</v>
      </c>
      <c r="J32" s="13" cm="1">
        <f t="array" ref="J32">IFERROR(CommonWorkdays($D32,$E32,J$10,EOMONTH(J$10,0)+1,holidays),0)</f>
        <v>5</v>
      </c>
      <c r="K32" s="13" cm="1">
        <f t="array" ref="K32">IFERROR(CommonWorkdays($D32,$E32,K$10,EOMONTH(K$10,0)+1,holidays),0)</f>
        <v>0</v>
      </c>
      <c r="L32" s="13" cm="1">
        <f t="array" ref="L32">IFERROR(CommonWorkdays($D32,$E32,L$10,EOMONTH(L$10,0)+1,holidays),0)</f>
        <v>0</v>
      </c>
      <c r="M32" s="13" cm="1">
        <f t="array" ref="M32">IFERROR(CommonWorkdays($D32,$E32,M$10,EOMONTH(M$10,0)+1,holidays),0)</f>
        <v>0</v>
      </c>
      <c r="N32" s="13" cm="1">
        <f t="array" ref="N32">IFERROR(CommonWorkdays($D32,$E32,N$10,EOMONTH(N$10,0)+1,holidays),0)</f>
        <v>0</v>
      </c>
      <c r="O32" s="13" cm="1">
        <f t="array" ref="O32">IFERROR(CommonWorkdays($D32,$E32,O$10,EOMONTH(O$10,0)+1,holidays),0)</f>
        <v>0</v>
      </c>
      <c r="P32" s="13" cm="1">
        <f t="array" ref="P32">IFERROR(CommonWorkdays($D32,$E32,P$10,EOMONTH(P$10,0)+1,holidays),0)</f>
        <v>0</v>
      </c>
      <c r="Q32" s="13" cm="1">
        <f t="array" ref="Q32">IFERROR(CommonWorkdays($D32,$E32,Q$10,EOMONTH(Q$10,0)+1,holidays),0)</f>
        <v>0</v>
      </c>
      <c r="R32" s="13" cm="1">
        <f t="array" ref="R32">IFERROR(CommonWorkdays($D32,$E32,R$10,EOMONTH(R$10,0)+1,holidays),0)</f>
        <v>0</v>
      </c>
      <c r="S32" s="13" cm="1">
        <f t="array" ref="S32">IFERROR(CommonWorkdays($D32,$E32,S$10,EOMONTH(S$10,0)+1,holidays),0)</f>
        <v>0</v>
      </c>
      <c r="T32" s="13" cm="1">
        <f t="array" ref="T32">IFERROR(CommonWorkdays($D32,$E32,T$10,EOMONTH(T$10,0)+1,holidays),0)</f>
        <v>0</v>
      </c>
      <c r="U32" s="13" cm="1">
        <f t="array" ref="U32">IFERROR(CommonWorkdays($D32,$E32,U$10,EOMONTH(U$10,0)+1,holidays),0)</f>
        <v>0</v>
      </c>
      <c r="V32" s="13" cm="1">
        <f t="array" ref="V32">IFERROR(CommonWorkdays($D32,$E32,V$10,EOMONTH(V$10,0)+1,holidays),0)</f>
        <v>0</v>
      </c>
      <c r="W32" s="13" cm="1">
        <f t="array" ref="W32">IFERROR(CommonWorkdays($D32,$E32,W$10,EOMONTH(W$10,0)+1,holidays),0)</f>
        <v>0</v>
      </c>
      <c r="X32" s="13" cm="1">
        <f t="array" ref="X32">IFERROR(CommonWorkdays($D32,$E32,X$10,EOMONTH(X$10,0)+1,holidays),0)</f>
        <v>0</v>
      </c>
      <c r="Y32" s="13" cm="1">
        <f t="array" ref="Y32">IFERROR(CommonWorkdays($D32,$E32,Y$10,EOMONTH(Y$10,0)+1,holidays),0)</f>
        <v>0</v>
      </c>
      <c r="Z32" s="13" cm="1">
        <f t="array" ref="Z32">IFERROR(CommonWorkdays($D32,$E32,Z$10,EOMONTH(Z$10,0)+1,holidays),0)</f>
        <v>0</v>
      </c>
      <c r="AA32" s="13" cm="1">
        <f t="array" ref="AA32">IFERROR(CommonWorkdays($D32,$E32,AA$10,EOMONTH(AA$10,0)+1,holidays),0)</f>
        <v>0</v>
      </c>
      <c r="AB32" s="13" cm="1">
        <f t="array" ref="AB32">IFERROR(CommonWorkdays($D32,$E32,AB$10,EOMONTH(AB$10,0)+1,holidays),0)</f>
        <v>0</v>
      </c>
      <c r="AC32" s="85" cm="1">
        <f t="array" ref="AC32">IFERROR(CommonWorkdays($D32,$E32,AC$10,EOMONTH(AC$10,0)+1,holidays),0)</f>
        <v>0</v>
      </c>
    </row>
    <row r="33" spans="2:29" x14ac:dyDescent="0.3">
      <c r="B33" s="9">
        <f t="shared" si="2"/>
        <v>22</v>
      </c>
      <c r="C33" s="29" t="s">
        <v>130</v>
      </c>
      <c r="D33" s="12">
        <v>45877</v>
      </c>
      <c r="E33" s="12">
        <v>45888</v>
      </c>
      <c r="F33" s="65">
        <f t="shared" si="3"/>
        <v>5</v>
      </c>
      <c r="G33" s="13" cm="1">
        <f t="array" ref="G33">IFERROR(CommonWorkdays($D33,$E33,G$10,EOMONTH(G$10,0)+1,holidays),0)</f>
        <v>0</v>
      </c>
      <c r="H33" s="13" cm="1">
        <f t="array" ref="H33">IFERROR(CommonWorkdays($D33,$E33,H$10,EOMONTH(H$10,0)+1,holidays),0)</f>
        <v>0</v>
      </c>
      <c r="I33" s="13" cm="1">
        <f t="array" ref="I33">IFERROR(CommonWorkdays($D33,$E33,I$10,EOMONTH(I$10,0)+1,holidays),0)</f>
        <v>0</v>
      </c>
      <c r="J33" s="13" cm="1">
        <f t="array" ref="J33">IFERROR(CommonWorkdays($D33,$E33,J$10,EOMONTH(J$10,0)+1,holidays),0)</f>
        <v>5</v>
      </c>
      <c r="K33" s="13" cm="1">
        <f t="array" ref="K33">IFERROR(CommonWorkdays($D33,$E33,K$10,EOMONTH(K$10,0)+1,holidays),0)</f>
        <v>0</v>
      </c>
      <c r="L33" s="13" cm="1">
        <f t="array" ref="L33">IFERROR(CommonWorkdays($D33,$E33,L$10,EOMONTH(L$10,0)+1,holidays),0)</f>
        <v>0</v>
      </c>
      <c r="M33" s="13" cm="1">
        <f t="array" ref="M33">IFERROR(CommonWorkdays($D33,$E33,M$10,EOMONTH(M$10,0)+1,holidays),0)</f>
        <v>0</v>
      </c>
      <c r="N33" s="13" cm="1">
        <f t="array" ref="N33">IFERROR(CommonWorkdays($D33,$E33,N$10,EOMONTH(N$10,0)+1,holidays),0)</f>
        <v>0</v>
      </c>
      <c r="O33" s="13" cm="1">
        <f t="array" ref="O33">IFERROR(CommonWorkdays($D33,$E33,O$10,EOMONTH(O$10,0)+1,holidays),0)</f>
        <v>0</v>
      </c>
      <c r="P33" s="13" cm="1">
        <f t="array" ref="P33">IFERROR(CommonWorkdays($D33,$E33,P$10,EOMONTH(P$10,0)+1,holidays),0)</f>
        <v>0</v>
      </c>
      <c r="Q33" s="13" cm="1">
        <f t="array" ref="Q33">IFERROR(CommonWorkdays($D33,$E33,Q$10,EOMONTH(Q$10,0)+1,holidays),0)</f>
        <v>0</v>
      </c>
      <c r="R33" s="13" cm="1">
        <f t="array" ref="R33">IFERROR(CommonWorkdays($D33,$E33,R$10,EOMONTH(R$10,0)+1,holidays),0)</f>
        <v>0</v>
      </c>
      <c r="S33" s="13" cm="1">
        <f t="array" ref="S33">IFERROR(CommonWorkdays($D33,$E33,S$10,EOMONTH(S$10,0)+1,holidays),0)</f>
        <v>0</v>
      </c>
      <c r="T33" s="13" cm="1">
        <f t="array" ref="T33">IFERROR(CommonWorkdays($D33,$E33,T$10,EOMONTH(T$10,0)+1,holidays),0)</f>
        <v>0</v>
      </c>
      <c r="U33" s="13" cm="1">
        <f t="array" ref="U33">IFERROR(CommonWorkdays($D33,$E33,U$10,EOMONTH(U$10,0)+1,holidays),0)</f>
        <v>0</v>
      </c>
      <c r="V33" s="13" cm="1">
        <f t="array" ref="V33">IFERROR(CommonWorkdays($D33,$E33,V$10,EOMONTH(V$10,0)+1,holidays),0)</f>
        <v>0</v>
      </c>
      <c r="W33" s="13" cm="1">
        <f t="array" ref="W33">IFERROR(CommonWorkdays($D33,$E33,W$10,EOMONTH(W$10,0)+1,holidays),0)</f>
        <v>0</v>
      </c>
      <c r="X33" s="13" cm="1">
        <f t="array" ref="X33">IFERROR(CommonWorkdays($D33,$E33,X$10,EOMONTH(X$10,0)+1,holidays),0)</f>
        <v>0</v>
      </c>
      <c r="Y33" s="13" cm="1">
        <f t="array" ref="Y33">IFERROR(CommonWorkdays($D33,$E33,Y$10,EOMONTH(Y$10,0)+1,holidays),0)</f>
        <v>0</v>
      </c>
      <c r="Z33" s="13" cm="1">
        <f t="array" ref="Z33">IFERROR(CommonWorkdays($D33,$E33,Z$10,EOMONTH(Z$10,0)+1,holidays),0)</f>
        <v>0</v>
      </c>
      <c r="AA33" s="13" cm="1">
        <f t="array" ref="AA33">IFERROR(CommonWorkdays($D33,$E33,AA$10,EOMONTH(AA$10,0)+1,holidays),0)</f>
        <v>0</v>
      </c>
      <c r="AB33" s="13" cm="1">
        <f t="array" ref="AB33">IFERROR(CommonWorkdays($D33,$E33,AB$10,EOMONTH(AB$10,0)+1,holidays),0)</f>
        <v>0</v>
      </c>
      <c r="AC33" s="85" cm="1">
        <f t="array" ref="AC33">IFERROR(CommonWorkdays($D33,$E33,AC$10,EOMONTH(AC$10,0)+1,holidays),0)</f>
        <v>0</v>
      </c>
    </row>
    <row r="34" spans="2:29" x14ac:dyDescent="0.3">
      <c r="B34" s="9">
        <f t="shared" si="2"/>
        <v>23</v>
      </c>
      <c r="C34" s="29" t="s">
        <v>84</v>
      </c>
      <c r="D34" s="12">
        <v>45888</v>
      </c>
      <c r="E34" s="12">
        <v>45895</v>
      </c>
      <c r="F34" s="65">
        <f t="shared" si="3"/>
        <v>5</v>
      </c>
      <c r="G34" s="13" cm="1">
        <f t="array" ref="G34">IFERROR(CommonWorkdays($D34,$E34,G$10,EOMONTH(G$10,0)+1,holidays),0)</f>
        <v>0</v>
      </c>
      <c r="H34" s="13" cm="1">
        <f t="array" ref="H34">IFERROR(CommonWorkdays($D34,$E34,H$10,EOMONTH(H$10,0)+1,holidays),0)</f>
        <v>0</v>
      </c>
      <c r="I34" s="13" cm="1">
        <f t="array" ref="I34">IFERROR(CommonWorkdays($D34,$E34,I$10,EOMONTH(I$10,0)+1,holidays),0)</f>
        <v>0</v>
      </c>
      <c r="J34" s="13" cm="1">
        <f t="array" ref="J34">IFERROR(CommonWorkdays($D34,$E34,J$10,EOMONTH(J$10,0)+1,holidays),0)</f>
        <v>5</v>
      </c>
      <c r="K34" s="13" cm="1">
        <f t="array" ref="K34">IFERROR(CommonWorkdays($D34,$E34,K$10,EOMONTH(K$10,0)+1,holidays),0)</f>
        <v>0</v>
      </c>
      <c r="L34" s="13" cm="1">
        <f t="array" ref="L34">IFERROR(CommonWorkdays($D34,$E34,L$10,EOMONTH(L$10,0)+1,holidays),0)</f>
        <v>0</v>
      </c>
      <c r="M34" s="13" cm="1">
        <f t="array" ref="M34">IFERROR(CommonWorkdays($D34,$E34,M$10,EOMONTH(M$10,0)+1,holidays),0)</f>
        <v>0</v>
      </c>
      <c r="N34" s="13" cm="1">
        <f t="array" ref="N34">IFERROR(CommonWorkdays($D34,$E34,N$10,EOMONTH(N$10,0)+1,holidays),0)</f>
        <v>0</v>
      </c>
      <c r="O34" s="13" cm="1">
        <f t="array" ref="O34">IFERROR(CommonWorkdays($D34,$E34,O$10,EOMONTH(O$10,0)+1,holidays),0)</f>
        <v>0</v>
      </c>
      <c r="P34" s="13" cm="1">
        <f t="array" ref="P34">IFERROR(CommonWorkdays($D34,$E34,P$10,EOMONTH(P$10,0)+1,holidays),0)</f>
        <v>0</v>
      </c>
      <c r="Q34" s="13" cm="1">
        <f t="array" ref="Q34">IFERROR(CommonWorkdays($D34,$E34,Q$10,EOMONTH(Q$10,0)+1,holidays),0)</f>
        <v>0</v>
      </c>
      <c r="R34" s="13" cm="1">
        <f t="array" ref="R34">IFERROR(CommonWorkdays($D34,$E34,R$10,EOMONTH(R$10,0)+1,holidays),0)</f>
        <v>0</v>
      </c>
      <c r="S34" s="13" cm="1">
        <f t="array" ref="S34">IFERROR(CommonWorkdays($D34,$E34,S$10,EOMONTH(S$10,0)+1,holidays),0)</f>
        <v>0</v>
      </c>
      <c r="T34" s="13" cm="1">
        <f t="array" ref="T34">IFERROR(CommonWorkdays($D34,$E34,T$10,EOMONTH(T$10,0)+1,holidays),0)</f>
        <v>0</v>
      </c>
      <c r="U34" s="13" cm="1">
        <f t="array" ref="U34">IFERROR(CommonWorkdays($D34,$E34,U$10,EOMONTH(U$10,0)+1,holidays),0)</f>
        <v>0</v>
      </c>
      <c r="V34" s="13" cm="1">
        <f t="array" ref="V34">IFERROR(CommonWorkdays($D34,$E34,V$10,EOMONTH(V$10,0)+1,holidays),0)</f>
        <v>0</v>
      </c>
      <c r="W34" s="13" cm="1">
        <f t="array" ref="W34">IFERROR(CommonWorkdays($D34,$E34,W$10,EOMONTH(W$10,0)+1,holidays),0)</f>
        <v>0</v>
      </c>
      <c r="X34" s="13" cm="1">
        <f t="array" ref="X34">IFERROR(CommonWorkdays($D34,$E34,X$10,EOMONTH(X$10,0)+1,holidays),0)</f>
        <v>0</v>
      </c>
      <c r="Y34" s="13" cm="1">
        <f t="array" ref="Y34">IFERROR(CommonWorkdays($D34,$E34,Y$10,EOMONTH(Y$10,0)+1,holidays),0)</f>
        <v>0</v>
      </c>
      <c r="Z34" s="13" cm="1">
        <f t="array" ref="Z34">IFERROR(CommonWorkdays($D34,$E34,Z$10,EOMONTH(Z$10,0)+1,holidays),0)</f>
        <v>0</v>
      </c>
      <c r="AA34" s="13" cm="1">
        <f t="array" ref="AA34">IFERROR(CommonWorkdays($D34,$E34,AA$10,EOMONTH(AA$10,0)+1,holidays),0)</f>
        <v>0</v>
      </c>
      <c r="AB34" s="13" cm="1">
        <f t="array" ref="AB34">IFERROR(CommonWorkdays($D34,$E34,AB$10,EOMONTH(AB$10,0)+1,holidays),0)</f>
        <v>0</v>
      </c>
      <c r="AC34" s="85" cm="1">
        <f t="array" ref="AC34">IFERROR(CommonWorkdays($D34,$E34,AC$10,EOMONTH(AC$10,0)+1,holidays),0)</f>
        <v>0</v>
      </c>
    </row>
    <row r="35" spans="2:29" x14ac:dyDescent="0.3">
      <c r="B35" s="9">
        <f t="shared" si="2"/>
        <v>24</v>
      </c>
      <c r="C35" s="29" t="s">
        <v>86</v>
      </c>
      <c r="D35" s="12">
        <v>45895</v>
      </c>
      <c r="E35" s="12">
        <v>45902</v>
      </c>
      <c r="F35" s="65">
        <f t="shared" si="3"/>
        <v>5</v>
      </c>
      <c r="G35" s="13" cm="1">
        <f t="array" ref="G35">IFERROR(CommonWorkdays($D35,$E35,G$10,EOMONTH(G$10,0)+1,holidays),0)</f>
        <v>0</v>
      </c>
      <c r="H35" s="13" cm="1">
        <f t="array" ref="H35">IFERROR(CommonWorkdays($D35,$E35,H$10,EOMONTH(H$10,0)+1,holidays),0)</f>
        <v>0</v>
      </c>
      <c r="I35" s="13" cm="1">
        <f t="array" ref="I35">IFERROR(CommonWorkdays($D35,$E35,I$10,EOMONTH(I$10,0)+1,holidays),0)</f>
        <v>0</v>
      </c>
      <c r="J35" s="13" cm="1">
        <f t="array" ref="J35">IFERROR(CommonWorkdays($D35,$E35,J$10,EOMONTH(J$10,0)+1,holidays),0)</f>
        <v>4</v>
      </c>
      <c r="K35" s="13" cm="1">
        <f t="array" ref="K35">IFERROR(CommonWorkdays($D35,$E35,K$10,EOMONTH(K$10,0)+1,holidays),0)</f>
        <v>1</v>
      </c>
      <c r="L35" s="13" cm="1">
        <f t="array" ref="L35">IFERROR(CommonWorkdays($D35,$E35,L$10,EOMONTH(L$10,0)+1,holidays),0)</f>
        <v>0</v>
      </c>
      <c r="M35" s="13" cm="1">
        <f t="array" ref="M35">IFERROR(CommonWorkdays($D35,$E35,M$10,EOMONTH(M$10,0)+1,holidays),0)</f>
        <v>0</v>
      </c>
      <c r="N35" s="13" cm="1">
        <f t="array" ref="N35">IFERROR(CommonWorkdays($D35,$E35,N$10,EOMONTH(N$10,0)+1,holidays),0)</f>
        <v>0</v>
      </c>
      <c r="O35" s="13" cm="1">
        <f t="array" ref="O35">IFERROR(CommonWorkdays($D35,$E35,O$10,EOMONTH(O$10,0)+1,holidays),0)</f>
        <v>0</v>
      </c>
      <c r="P35" s="13" cm="1">
        <f t="array" ref="P35">IFERROR(CommonWorkdays($D35,$E35,P$10,EOMONTH(P$10,0)+1,holidays),0)</f>
        <v>0</v>
      </c>
      <c r="Q35" s="13" cm="1">
        <f t="array" ref="Q35">IFERROR(CommonWorkdays($D35,$E35,Q$10,EOMONTH(Q$10,0)+1,holidays),0)</f>
        <v>0</v>
      </c>
      <c r="R35" s="13" cm="1">
        <f t="array" ref="R35">IFERROR(CommonWorkdays($D35,$E35,R$10,EOMONTH(R$10,0)+1,holidays),0)</f>
        <v>0</v>
      </c>
      <c r="S35" s="13" cm="1">
        <f t="array" ref="S35">IFERROR(CommonWorkdays($D35,$E35,S$10,EOMONTH(S$10,0)+1,holidays),0)</f>
        <v>0</v>
      </c>
      <c r="T35" s="13" cm="1">
        <f t="array" ref="T35">IFERROR(CommonWorkdays($D35,$E35,T$10,EOMONTH(T$10,0)+1,holidays),0)</f>
        <v>0</v>
      </c>
      <c r="U35" s="13" cm="1">
        <f t="array" ref="U35">IFERROR(CommonWorkdays($D35,$E35,U$10,EOMONTH(U$10,0)+1,holidays),0)</f>
        <v>0</v>
      </c>
      <c r="V35" s="13" cm="1">
        <f t="array" ref="V35">IFERROR(CommonWorkdays($D35,$E35,V$10,EOMONTH(V$10,0)+1,holidays),0)</f>
        <v>0</v>
      </c>
      <c r="W35" s="13" cm="1">
        <f t="array" ref="W35">IFERROR(CommonWorkdays($D35,$E35,W$10,EOMONTH(W$10,0)+1,holidays),0)</f>
        <v>0</v>
      </c>
      <c r="X35" s="13" cm="1">
        <f t="array" ref="X35">IFERROR(CommonWorkdays($D35,$E35,X$10,EOMONTH(X$10,0)+1,holidays),0)</f>
        <v>0</v>
      </c>
      <c r="Y35" s="13" cm="1">
        <f t="array" ref="Y35">IFERROR(CommonWorkdays($D35,$E35,Y$10,EOMONTH(Y$10,0)+1,holidays),0)</f>
        <v>0</v>
      </c>
      <c r="Z35" s="13" cm="1">
        <f t="array" ref="Z35">IFERROR(CommonWorkdays($D35,$E35,Z$10,EOMONTH(Z$10,0)+1,holidays),0)</f>
        <v>0</v>
      </c>
      <c r="AA35" s="13" cm="1">
        <f t="array" ref="AA35">IFERROR(CommonWorkdays($D35,$E35,AA$10,EOMONTH(AA$10,0)+1,holidays),0)</f>
        <v>0</v>
      </c>
      <c r="AB35" s="13" cm="1">
        <f t="array" ref="AB35">IFERROR(CommonWorkdays($D35,$E35,AB$10,EOMONTH(AB$10,0)+1,holidays),0)</f>
        <v>0</v>
      </c>
      <c r="AC35" s="85" cm="1">
        <f t="array" ref="AC35">IFERROR(CommonWorkdays($D35,$E35,AC$10,EOMONTH(AC$10,0)+1,holidays),0)</f>
        <v>0</v>
      </c>
    </row>
    <row r="36" spans="2:29" x14ac:dyDescent="0.3">
      <c r="B36" s="9">
        <f t="shared" si="2"/>
        <v>25</v>
      </c>
      <c r="C36" s="29" t="s">
        <v>152</v>
      </c>
      <c r="D36" s="12">
        <v>45902</v>
      </c>
      <c r="E36" s="12">
        <v>45916</v>
      </c>
      <c r="F36" s="65">
        <f t="shared" si="3"/>
        <v>10</v>
      </c>
      <c r="G36" s="13" cm="1">
        <f t="array" ref="G36">IFERROR(CommonWorkdays($D36,$E36,G$10,EOMONTH(G$10,0)+1,holidays),0)</f>
        <v>0</v>
      </c>
      <c r="H36" s="13" cm="1">
        <f t="array" ref="H36">IFERROR(CommonWorkdays($D36,$E36,H$10,EOMONTH(H$10,0)+1,holidays),0)</f>
        <v>0</v>
      </c>
      <c r="I36" s="13" cm="1">
        <f t="array" ref="I36">IFERROR(CommonWorkdays($D36,$E36,I$10,EOMONTH(I$10,0)+1,holidays),0)</f>
        <v>0</v>
      </c>
      <c r="J36" s="13" cm="1">
        <f t="array" ref="J36">IFERROR(CommonWorkdays($D36,$E36,J$10,EOMONTH(J$10,0)+1,holidays),0)</f>
        <v>0</v>
      </c>
      <c r="K36" s="13" cm="1">
        <f t="array" ref="K36">IFERROR(CommonWorkdays($D36,$E36,K$10,EOMONTH(K$10,0)+1,holidays),0)</f>
        <v>10</v>
      </c>
      <c r="L36" s="13" cm="1">
        <f t="array" ref="L36">IFERROR(CommonWorkdays($D36,$E36,L$10,EOMONTH(L$10,0)+1,holidays),0)</f>
        <v>0</v>
      </c>
      <c r="M36" s="13" cm="1">
        <f t="array" ref="M36">IFERROR(CommonWorkdays($D36,$E36,M$10,EOMONTH(M$10,0)+1,holidays),0)</f>
        <v>0</v>
      </c>
      <c r="N36" s="13" cm="1">
        <f t="array" ref="N36">IFERROR(CommonWorkdays($D36,$E36,N$10,EOMONTH(N$10,0)+1,holidays),0)</f>
        <v>0</v>
      </c>
      <c r="O36" s="13" cm="1">
        <f t="array" ref="O36">IFERROR(CommonWorkdays($D36,$E36,O$10,EOMONTH(O$10,0)+1,holidays),0)</f>
        <v>0</v>
      </c>
      <c r="P36" s="13" cm="1">
        <f t="array" ref="P36">IFERROR(CommonWorkdays($D36,$E36,P$10,EOMONTH(P$10,0)+1,holidays),0)</f>
        <v>0</v>
      </c>
      <c r="Q36" s="13" cm="1">
        <f t="array" ref="Q36">IFERROR(CommonWorkdays($D36,$E36,Q$10,EOMONTH(Q$10,0)+1,holidays),0)</f>
        <v>0</v>
      </c>
      <c r="R36" s="13" cm="1">
        <f t="array" ref="R36">IFERROR(CommonWorkdays($D36,$E36,R$10,EOMONTH(R$10,0)+1,holidays),0)</f>
        <v>0</v>
      </c>
      <c r="S36" s="13" cm="1">
        <f t="array" ref="S36">IFERROR(CommonWorkdays($D36,$E36,S$10,EOMONTH(S$10,0)+1,holidays),0)</f>
        <v>0</v>
      </c>
      <c r="T36" s="13" cm="1">
        <f t="array" ref="T36">IFERROR(CommonWorkdays($D36,$E36,T$10,EOMONTH(T$10,0)+1,holidays),0)</f>
        <v>0</v>
      </c>
      <c r="U36" s="13" cm="1">
        <f t="array" ref="U36">IFERROR(CommonWorkdays($D36,$E36,U$10,EOMONTH(U$10,0)+1,holidays),0)</f>
        <v>0</v>
      </c>
      <c r="V36" s="13" cm="1">
        <f t="array" ref="V36">IFERROR(CommonWorkdays($D36,$E36,V$10,EOMONTH(V$10,0)+1,holidays),0)</f>
        <v>0</v>
      </c>
      <c r="W36" s="13" cm="1">
        <f t="array" ref="W36">IFERROR(CommonWorkdays($D36,$E36,W$10,EOMONTH(W$10,0)+1,holidays),0)</f>
        <v>0</v>
      </c>
      <c r="X36" s="13" cm="1">
        <f t="array" ref="X36">IFERROR(CommonWorkdays($D36,$E36,X$10,EOMONTH(X$10,0)+1,holidays),0)</f>
        <v>0</v>
      </c>
      <c r="Y36" s="13" cm="1">
        <f t="array" ref="Y36">IFERROR(CommonWorkdays($D36,$E36,Y$10,EOMONTH(Y$10,0)+1,holidays),0)</f>
        <v>0</v>
      </c>
      <c r="Z36" s="13" cm="1">
        <f t="array" ref="Z36">IFERROR(CommonWorkdays($D36,$E36,Z$10,EOMONTH(Z$10,0)+1,holidays),0)</f>
        <v>0</v>
      </c>
      <c r="AA36" s="13" cm="1">
        <f t="array" ref="AA36">IFERROR(CommonWorkdays($D36,$E36,AA$10,EOMONTH(AA$10,0)+1,holidays),0)</f>
        <v>0</v>
      </c>
      <c r="AB36" s="13" cm="1">
        <f t="array" ref="AB36">IFERROR(CommonWorkdays($D36,$E36,AB$10,EOMONTH(AB$10,0)+1,holidays),0)</f>
        <v>0</v>
      </c>
      <c r="AC36" s="85" cm="1">
        <f t="array" ref="AC36">IFERROR(CommonWorkdays($D36,$E36,AC$10,EOMONTH(AC$10,0)+1,holidays),0)</f>
        <v>0</v>
      </c>
    </row>
    <row r="37" spans="2:29" x14ac:dyDescent="0.3">
      <c r="B37" s="9">
        <f t="shared" si="2"/>
        <v>26</v>
      </c>
      <c r="C37" s="29" t="s">
        <v>151</v>
      </c>
      <c r="D37" s="12">
        <v>45902</v>
      </c>
      <c r="E37" s="12">
        <v>45916</v>
      </c>
      <c r="F37" s="65">
        <f t="shared" si="3"/>
        <v>10</v>
      </c>
      <c r="G37" s="13" cm="1">
        <f t="array" ref="G37">IFERROR(CommonWorkdays($D37,$E37,G$10,EOMONTH(G$10,0)+1,holidays),0)</f>
        <v>0</v>
      </c>
      <c r="H37" s="13" cm="1">
        <f t="array" ref="H37">IFERROR(CommonWorkdays($D37,$E37,H$10,EOMONTH(H$10,0)+1,holidays),0)</f>
        <v>0</v>
      </c>
      <c r="I37" s="13" cm="1">
        <f t="array" ref="I37">IFERROR(CommonWorkdays($D37,$E37,I$10,EOMONTH(I$10,0)+1,holidays),0)</f>
        <v>0</v>
      </c>
      <c r="J37" s="13" cm="1">
        <f t="array" ref="J37">IFERROR(CommonWorkdays($D37,$E37,J$10,EOMONTH(J$10,0)+1,holidays),0)</f>
        <v>0</v>
      </c>
      <c r="K37" s="13" cm="1">
        <f t="array" ref="K37">IFERROR(CommonWorkdays($D37,$E37,K$10,EOMONTH(K$10,0)+1,holidays),0)</f>
        <v>10</v>
      </c>
      <c r="L37" s="13" cm="1">
        <f t="array" ref="L37">IFERROR(CommonWorkdays($D37,$E37,L$10,EOMONTH(L$10,0)+1,holidays),0)</f>
        <v>0</v>
      </c>
      <c r="M37" s="13" cm="1">
        <f t="array" ref="M37">IFERROR(CommonWorkdays($D37,$E37,M$10,EOMONTH(M$10,0)+1,holidays),0)</f>
        <v>0</v>
      </c>
      <c r="N37" s="13" cm="1">
        <f t="array" ref="N37">IFERROR(CommonWorkdays($D37,$E37,N$10,EOMONTH(N$10,0)+1,holidays),0)</f>
        <v>0</v>
      </c>
      <c r="O37" s="13" cm="1">
        <f t="array" ref="O37">IFERROR(CommonWorkdays($D37,$E37,O$10,EOMONTH(O$10,0)+1,holidays),0)</f>
        <v>0</v>
      </c>
      <c r="P37" s="13" cm="1">
        <f t="array" ref="P37">IFERROR(CommonWorkdays($D37,$E37,P$10,EOMONTH(P$10,0)+1,holidays),0)</f>
        <v>0</v>
      </c>
      <c r="Q37" s="13" cm="1">
        <f t="array" ref="Q37">IFERROR(CommonWorkdays($D37,$E37,Q$10,EOMONTH(Q$10,0)+1,holidays),0)</f>
        <v>0</v>
      </c>
      <c r="R37" s="13" cm="1">
        <f t="array" ref="R37">IFERROR(CommonWorkdays($D37,$E37,R$10,EOMONTH(R$10,0)+1,holidays),0)</f>
        <v>0</v>
      </c>
      <c r="S37" s="13" cm="1">
        <f t="array" ref="S37">IFERROR(CommonWorkdays($D37,$E37,S$10,EOMONTH(S$10,0)+1,holidays),0)</f>
        <v>0</v>
      </c>
      <c r="T37" s="13" cm="1">
        <f t="array" ref="T37">IFERROR(CommonWorkdays($D37,$E37,T$10,EOMONTH(T$10,0)+1,holidays),0)</f>
        <v>0</v>
      </c>
      <c r="U37" s="13" cm="1">
        <f t="array" ref="U37">IFERROR(CommonWorkdays($D37,$E37,U$10,EOMONTH(U$10,0)+1,holidays),0)</f>
        <v>0</v>
      </c>
      <c r="V37" s="13" cm="1">
        <f t="array" ref="V37">IFERROR(CommonWorkdays($D37,$E37,V$10,EOMONTH(V$10,0)+1,holidays),0)</f>
        <v>0</v>
      </c>
      <c r="W37" s="13" cm="1">
        <f t="array" ref="W37">IFERROR(CommonWorkdays($D37,$E37,W$10,EOMONTH(W$10,0)+1,holidays),0)</f>
        <v>0</v>
      </c>
      <c r="X37" s="13" cm="1">
        <f t="array" ref="X37">IFERROR(CommonWorkdays($D37,$E37,X$10,EOMONTH(X$10,0)+1,holidays),0)</f>
        <v>0</v>
      </c>
      <c r="Y37" s="13" cm="1">
        <f t="array" ref="Y37">IFERROR(CommonWorkdays($D37,$E37,Y$10,EOMONTH(Y$10,0)+1,holidays),0)</f>
        <v>0</v>
      </c>
      <c r="Z37" s="13" cm="1">
        <f t="array" ref="Z37">IFERROR(CommonWorkdays($D37,$E37,Z$10,EOMONTH(Z$10,0)+1,holidays),0)</f>
        <v>0</v>
      </c>
      <c r="AA37" s="13" cm="1">
        <f t="array" ref="AA37">IFERROR(CommonWorkdays($D37,$E37,AA$10,EOMONTH(AA$10,0)+1,holidays),0)</f>
        <v>0</v>
      </c>
      <c r="AB37" s="13" cm="1">
        <f t="array" ref="AB37">IFERROR(CommonWorkdays($D37,$E37,AB$10,EOMONTH(AB$10,0)+1,holidays),0)</f>
        <v>0</v>
      </c>
      <c r="AC37" s="85" cm="1">
        <f t="array" ref="AC37">IFERROR(CommonWorkdays($D37,$E37,AC$10,EOMONTH(AC$10,0)+1,holidays),0)</f>
        <v>0</v>
      </c>
    </row>
    <row r="38" spans="2:29" x14ac:dyDescent="0.3">
      <c r="B38" s="9">
        <f t="shared" si="2"/>
        <v>27</v>
      </c>
      <c r="C38" s="29" t="s">
        <v>89</v>
      </c>
      <c r="D38" s="12">
        <v>45916</v>
      </c>
      <c r="E38" s="12">
        <v>45930</v>
      </c>
      <c r="F38" s="65">
        <f t="shared" si="3"/>
        <v>10</v>
      </c>
      <c r="G38" s="13" cm="1">
        <f t="array" ref="G38">IFERROR(CommonWorkdays($D38,$E38,G$10,EOMONTH(G$10,0)+1,holidays),0)</f>
        <v>0</v>
      </c>
      <c r="H38" s="13" cm="1">
        <f t="array" ref="H38">IFERROR(CommonWorkdays($D38,$E38,H$10,EOMONTH(H$10,0)+1,holidays),0)</f>
        <v>0</v>
      </c>
      <c r="I38" s="13" cm="1">
        <f t="array" ref="I38">IFERROR(CommonWorkdays($D38,$E38,I$10,EOMONTH(I$10,0)+1,holidays),0)</f>
        <v>0</v>
      </c>
      <c r="J38" s="13" cm="1">
        <f t="array" ref="J38">IFERROR(CommonWorkdays($D38,$E38,J$10,EOMONTH(J$10,0)+1,holidays),0)</f>
        <v>0</v>
      </c>
      <c r="K38" s="13" cm="1">
        <f t="array" ref="K38">IFERROR(CommonWorkdays($D38,$E38,K$10,EOMONTH(K$10,0)+1,holidays),0)</f>
        <v>10</v>
      </c>
      <c r="L38" s="13" cm="1">
        <f t="array" ref="L38">IFERROR(CommonWorkdays($D38,$E38,L$10,EOMONTH(L$10,0)+1,holidays),0)</f>
        <v>0</v>
      </c>
      <c r="M38" s="13" cm="1">
        <f t="array" ref="M38">IFERROR(CommonWorkdays($D38,$E38,M$10,EOMONTH(M$10,0)+1,holidays),0)</f>
        <v>0</v>
      </c>
      <c r="N38" s="13" cm="1">
        <f t="array" ref="N38">IFERROR(CommonWorkdays($D38,$E38,N$10,EOMONTH(N$10,0)+1,holidays),0)</f>
        <v>0</v>
      </c>
      <c r="O38" s="13" cm="1">
        <f t="array" ref="O38">IFERROR(CommonWorkdays($D38,$E38,O$10,EOMONTH(O$10,0)+1,holidays),0)</f>
        <v>0</v>
      </c>
      <c r="P38" s="13" cm="1">
        <f t="array" ref="P38">IFERROR(CommonWorkdays($D38,$E38,P$10,EOMONTH(P$10,0)+1,holidays),0)</f>
        <v>0</v>
      </c>
      <c r="Q38" s="13" cm="1">
        <f t="array" ref="Q38">IFERROR(CommonWorkdays($D38,$E38,Q$10,EOMONTH(Q$10,0)+1,holidays),0)</f>
        <v>0</v>
      </c>
      <c r="R38" s="13" cm="1">
        <f t="array" ref="R38">IFERROR(CommonWorkdays($D38,$E38,R$10,EOMONTH(R$10,0)+1,holidays),0)</f>
        <v>0</v>
      </c>
      <c r="S38" s="13" cm="1">
        <f t="array" ref="S38">IFERROR(CommonWorkdays($D38,$E38,S$10,EOMONTH(S$10,0)+1,holidays),0)</f>
        <v>0</v>
      </c>
      <c r="T38" s="13" cm="1">
        <f t="array" ref="T38">IFERROR(CommonWorkdays($D38,$E38,T$10,EOMONTH(T$10,0)+1,holidays),0)</f>
        <v>0</v>
      </c>
      <c r="U38" s="13" cm="1">
        <f t="array" ref="U38">IFERROR(CommonWorkdays($D38,$E38,U$10,EOMONTH(U$10,0)+1,holidays),0)</f>
        <v>0</v>
      </c>
      <c r="V38" s="13" cm="1">
        <f t="array" ref="V38">IFERROR(CommonWorkdays($D38,$E38,V$10,EOMONTH(V$10,0)+1,holidays),0)</f>
        <v>0</v>
      </c>
      <c r="W38" s="13" cm="1">
        <f t="array" ref="W38">IFERROR(CommonWorkdays($D38,$E38,W$10,EOMONTH(W$10,0)+1,holidays),0)</f>
        <v>0</v>
      </c>
      <c r="X38" s="13" cm="1">
        <f t="array" ref="X38">IFERROR(CommonWorkdays($D38,$E38,X$10,EOMONTH(X$10,0)+1,holidays),0)</f>
        <v>0</v>
      </c>
      <c r="Y38" s="13" cm="1">
        <f t="array" ref="Y38">IFERROR(CommonWorkdays($D38,$E38,Y$10,EOMONTH(Y$10,0)+1,holidays),0)</f>
        <v>0</v>
      </c>
      <c r="Z38" s="13" cm="1">
        <f t="array" ref="Z38">IFERROR(CommonWorkdays($D38,$E38,Z$10,EOMONTH(Z$10,0)+1,holidays),0)</f>
        <v>0</v>
      </c>
      <c r="AA38" s="13" cm="1">
        <f t="array" ref="AA38">IFERROR(CommonWorkdays($D38,$E38,AA$10,EOMONTH(AA$10,0)+1,holidays),0)</f>
        <v>0</v>
      </c>
      <c r="AB38" s="13" cm="1">
        <f t="array" ref="AB38">IFERROR(CommonWorkdays($D38,$E38,AB$10,EOMONTH(AB$10,0)+1,holidays),0)</f>
        <v>0</v>
      </c>
      <c r="AC38" s="85" cm="1">
        <f t="array" ref="AC38">IFERROR(CommonWorkdays($D38,$E38,AC$10,EOMONTH(AC$10,0)+1,holidays),0)</f>
        <v>0</v>
      </c>
    </row>
    <row r="39" spans="2:29" x14ac:dyDescent="0.3">
      <c r="B39" s="9">
        <f t="shared" si="2"/>
        <v>28</v>
      </c>
      <c r="C39" s="29" t="s">
        <v>91</v>
      </c>
      <c r="D39" s="12">
        <v>45930</v>
      </c>
      <c r="E39" s="12">
        <v>45952</v>
      </c>
      <c r="F39" s="65">
        <f t="shared" si="3"/>
        <v>15</v>
      </c>
      <c r="G39" s="13" cm="1">
        <f t="array" ref="G39">IFERROR(CommonWorkdays($D39,$E39,G$10,EOMONTH(G$10,0)+1,holidays),0)</f>
        <v>0</v>
      </c>
      <c r="H39" s="13" cm="1">
        <f t="array" ref="H39">IFERROR(CommonWorkdays($D39,$E39,H$10,EOMONTH(H$10,0)+1,holidays),0)</f>
        <v>0</v>
      </c>
      <c r="I39" s="13" cm="1">
        <f t="array" ref="I39">IFERROR(CommonWorkdays($D39,$E39,I$10,EOMONTH(I$10,0)+1,holidays),0)</f>
        <v>0</v>
      </c>
      <c r="J39" s="13" cm="1">
        <f t="array" ref="J39">IFERROR(CommonWorkdays($D39,$E39,J$10,EOMONTH(J$10,0)+1,holidays),0)</f>
        <v>0</v>
      </c>
      <c r="K39" s="13" cm="1">
        <f t="array" ref="K39">IFERROR(CommonWorkdays($D39,$E39,K$10,EOMONTH(K$10,0)+1,holidays),0)</f>
        <v>1</v>
      </c>
      <c r="L39" s="13" cm="1">
        <f t="array" ref="L39">IFERROR(CommonWorkdays($D39,$E39,L$10,EOMONTH(L$10,0)+1,holidays),0)</f>
        <v>14</v>
      </c>
      <c r="M39" s="13" cm="1">
        <f t="array" ref="M39">IFERROR(CommonWorkdays($D39,$E39,M$10,EOMONTH(M$10,0)+1,holidays),0)</f>
        <v>0</v>
      </c>
      <c r="N39" s="13" cm="1">
        <f t="array" ref="N39">IFERROR(CommonWorkdays($D39,$E39,N$10,EOMONTH(N$10,0)+1,holidays),0)</f>
        <v>0</v>
      </c>
      <c r="O39" s="13" cm="1">
        <f t="array" ref="O39">IFERROR(CommonWorkdays($D39,$E39,O$10,EOMONTH(O$10,0)+1,holidays),0)</f>
        <v>0</v>
      </c>
      <c r="P39" s="13" cm="1">
        <f t="array" ref="P39">IFERROR(CommonWorkdays($D39,$E39,P$10,EOMONTH(P$10,0)+1,holidays),0)</f>
        <v>0</v>
      </c>
      <c r="Q39" s="13" cm="1">
        <f t="array" ref="Q39">IFERROR(CommonWorkdays($D39,$E39,Q$10,EOMONTH(Q$10,0)+1,holidays),0)</f>
        <v>0</v>
      </c>
      <c r="R39" s="13" cm="1">
        <f t="array" ref="R39">IFERROR(CommonWorkdays($D39,$E39,R$10,EOMONTH(R$10,0)+1,holidays),0)</f>
        <v>0</v>
      </c>
      <c r="S39" s="13" cm="1">
        <f t="array" ref="S39">IFERROR(CommonWorkdays($D39,$E39,S$10,EOMONTH(S$10,0)+1,holidays),0)</f>
        <v>0</v>
      </c>
      <c r="T39" s="13" cm="1">
        <f t="array" ref="T39">IFERROR(CommonWorkdays($D39,$E39,T$10,EOMONTH(T$10,0)+1,holidays),0)</f>
        <v>0</v>
      </c>
      <c r="U39" s="13" cm="1">
        <f t="array" ref="U39">IFERROR(CommonWorkdays($D39,$E39,U$10,EOMONTH(U$10,0)+1,holidays),0)</f>
        <v>0</v>
      </c>
      <c r="V39" s="13" cm="1">
        <f t="array" ref="V39">IFERROR(CommonWorkdays($D39,$E39,V$10,EOMONTH(V$10,0)+1,holidays),0)</f>
        <v>0</v>
      </c>
      <c r="W39" s="13" cm="1">
        <f t="array" ref="W39">IFERROR(CommonWorkdays($D39,$E39,W$10,EOMONTH(W$10,0)+1,holidays),0)</f>
        <v>0</v>
      </c>
      <c r="X39" s="13" cm="1">
        <f t="array" ref="X39">IFERROR(CommonWorkdays($D39,$E39,X$10,EOMONTH(X$10,0)+1,holidays),0)</f>
        <v>0</v>
      </c>
      <c r="Y39" s="13" cm="1">
        <f t="array" ref="Y39">IFERROR(CommonWorkdays($D39,$E39,Y$10,EOMONTH(Y$10,0)+1,holidays),0)</f>
        <v>0</v>
      </c>
      <c r="Z39" s="13" cm="1">
        <f t="array" ref="Z39">IFERROR(CommonWorkdays($D39,$E39,Z$10,EOMONTH(Z$10,0)+1,holidays),0)</f>
        <v>0</v>
      </c>
      <c r="AA39" s="13" cm="1">
        <f t="array" ref="AA39">IFERROR(CommonWorkdays($D39,$E39,AA$10,EOMONTH(AA$10,0)+1,holidays),0)</f>
        <v>0</v>
      </c>
      <c r="AB39" s="13" cm="1">
        <f t="array" ref="AB39">IFERROR(CommonWorkdays($D39,$E39,AB$10,EOMONTH(AB$10,0)+1,holidays),0)</f>
        <v>0</v>
      </c>
      <c r="AC39" s="85" cm="1">
        <f t="array" ref="AC39">IFERROR(CommonWorkdays($D39,$E39,AC$10,EOMONTH(AC$10,0)+1,holidays),0)</f>
        <v>0</v>
      </c>
    </row>
    <row r="40" spans="2:29" x14ac:dyDescent="0.3">
      <c r="B40" s="9">
        <f t="shared" si="2"/>
        <v>29</v>
      </c>
      <c r="C40" s="29" t="s">
        <v>93</v>
      </c>
      <c r="D40" s="12">
        <v>45952</v>
      </c>
      <c r="E40" s="12">
        <v>45974</v>
      </c>
      <c r="F40" s="65">
        <f t="shared" si="3"/>
        <v>15</v>
      </c>
      <c r="G40" s="13" cm="1">
        <f t="array" ref="G40">IFERROR(CommonWorkdays($D40,$E40,G$10,EOMONTH(G$10,0)+1,holidays),0)</f>
        <v>0</v>
      </c>
      <c r="H40" s="13" cm="1">
        <f t="array" ref="H40">IFERROR(CommonWorkdays($D40,$E40,H$10,EOMONTH(H$10,0)+1,holidays),0)</f>
        <v>0</v>
      </c>
      <c r="I40" s="13" cm="1">
        <f t="array" ref="I40">IFERROR(CommonWorkdays($D40,$E40,I$10,EOMONTH(I$10,0)+1,holidays),0)</f>
        <v>0</v>
      </c>
      <c r="J40" s="13" cm="1">
        <f t="array" ref="J40">IFERROR(CommonWorkdays($D40,$E40,J$10,EOMONTH(J$10,0)+1,holidays),0)</f>
        <v>0</v>
      </c>
      <c r="K40" s="13" cm="1">
        <f t="array" ref="K40">IFERROR(CommonWorkdays($D40,$E40,K$10,EOMONTH(K$10,0)+1,holidays),0)</f>
        <v>0</v>
      </c>
      <c r="L40" s="13" cm="1">
        <f t="array" ref="L40">IFERROR(CommonWorkdays($D40,$E40,L$10,EOMONTH(L$10,0)+1,holidays),0)</f>
        <v>7</v>
      </c>
      <c r="M40" s="13" cm="1">
        <f t="array" ref="M40">IFERROR(CommonWorkdays($D40,$E40,M$10,EOMONTH(M$10,0)+1,holidays),0)</f>
        <v>8</v>
      </c>
      <c r="N40" s="13" cm="1">
        <f t="array" ref="N40">IFERROR(CommonWorkdays($D40,$E40,N$10,EOMONTH(N$10,0)+1,holidays),0)</f>
        <v>0</v>
      </c>
      <c r="O40" s="13" cm="1">
        <f t="array" ref="O40">IFERROR(CommonWorkdays($D40,$E40,O$10,EOMONTH(O$10,0)+1,holidays),0)</f>
        <v>0</v>
      </c>
      <c r="P40" s="13" cm="1">
        <f t="array" ref="P40">IFERROR(CommonWorkdays($D40,$E40,P$10,EOMONTH(P$10,0)+1,holidays),0)</f>
        <v>0</v>
      </c>
      <c r="Q40" s="13" cm="1">
        <f t="array" ref="Q40">IFERROR(CommonWorkdays($D40,$E40,Q$10,EOMONTH(Q$10,0)+1,holidays),0)</f>
        <v>0</v>
      </c>
      <c r="R40" s="13" cm="1">
        <f t="array" ref="R40">IFERROR(CommonWorkdays($D40,$E40,R$10,EOMONTH(R$10,0)+1,holidays),0)</f>
        <v>0</v>
      </c>
      <c r="S40" s="13" cm="1">
        <f t="array" ref="S40">IFERROR(CommonWorkdays($D40,$E40,S$10,EOMONTH(S$10,0)+1,holidays),0)</f>
        <v>0</v>
      </c>
      <c r="T40" s="13" cm="1">
        <f t="array" ref="T40">IFERROR(CommonWorkdays($D40,$E40,T$10,EOMONTH(T$10,0)+1,holidays),0)</f>
        <v>0</v>
      </c>
      <c r="U40" s="13" cm="1">
        <f t="array" ref="U40">IFERROR(CommonWorkdays($D40,$E40,U$10,EOMONTH(U$10,0)+1,holidays),0)</f>
        <v>0</v>
      </c>
      <c r="V40" s="13" cm="1">
        <f t="array" ref="V40">IFERROR(CommonWorkdays($D40,$E40,V$10,EOMONTH(V$10,0)+1,holidays),0)</f>
        <v>0</v>
      </c>
      <c r="W40" s="13" cm="1">
        <f t="array" ref="W40">IFERROR(CommonWorkdays($D40,$E40,W$10,EOMONTH(W$10,0)+1,holidays),0)</f>
        <v>0</v>
      </c>
      <c r="X40" s="13" cm="1">
        <f t="array" ref="X40">IFERROR(CommonWorkdays($D40,$E40,X$10,EOMONTH(X$10,0)+1,holidays),0)</f>
        <v>0</v>
      </c>
      <c r="Y40" s="13" cm="1">
        <f t="array" ref="Y40">IFERROR(CommonWorkdays($D40,$E40,Y$10,EOMONTH(Y$10,0)+1,holidays),0)</f>
        <v>0</v>
      </c>
      <c r="Z40" s="13" cm="1">
        <f t="array" ref="Z40">IFERROR(CommonWorkdays($D40,$E40,Z$10,EOMONTH(Z$10,0)+1,holidays),0)</f>
        <v>0</v>
      </c>
      <c r="AA40" s="13" cm="1">
        <f t="array" ref="AA40">IFERROR(CommonWorkdays($D40,$E40,AA$10,EOMONTH(AA$10,0)+1,holidays),0)</f>
        <v>0</v>
      </c>
      <c r="AB40" s="13" cm="1">
        <f t="array" ref="AB40">IFERROR(CommonWorkdays($D40,$E40,AB$10,EOMONTH(AB$10,0)+1,holidays),0)</f>
        <v>0</v>
      </c>
      <c r="AC40" s="85" cm="1">
        <f t="array" ref="AC40">IFERROR(CommonWorkdays($D40,$E40,AC$10,EOMONTH(AC$10,0)+1,holidays),0)</f>
        <v>0</v>
      </c>
    </row>
    <row r="41" spans="2:29" x14ac:dyDescent="0.3">
      <c r="B41" s="9">
        <f t="shared" si="2"/>
        <v>30</v>
      </c>
      <c r="C41" s="29" t="s">
        <v>95</v>
      </c>
      <c r="D41" s="12">
        <v>45974</v>
      </c>
      <c r="E41" s="12">
        <v>45976</v>
      </c>
      <c r="F41" s="65">
        <f t="shared" si="3"/>
        <v>2</v>
      </c>
      <c r="G41" s="13" cm="1">
        <f t="array" ref="G41">IFERROR(CommonWorkdays($D41,$E41,G$10,EOMONTH(G$10,0)+1,holidays),0)</f>
        <v>0</v>
      </c>
      <c r="H41" s="13" cm="1">
        <f t="array" ref="H41">IFERROR(CommonWorkdays($D41,$E41,H$10,EOMONTH(H$10,0)+1,holidays),0)</f>
        <v>0</v>
      </c>
      <c r="I41" s="13" cm="1">
        <f t="array" ref="I41">IFERROR(CommonWorkdays($D41,$E41,I$10,EOMONTH(I$10,0)+1,holidays),0)</f>
        <v>0</v>
      </c>
      <c r="J41" s="13" cm="1">
        <f t="array" ref="J41">IFERROR(CommonWorkdays($D41,$E41,J$10,EOMONTH(J$10,0)+1,holidays),0)</f>
        <v>0</v>
      </c>
      <c r="K41" s="13" cm="1">
        <f t="array" ref="K41">IFERROR(CommonWorkdays($D41,$E41,K$10,EOMONTH(K$10,0)+1,holidays),0)</f>
        <v>0</v>
      </c>
      <c r="L41" s="13" cm="1">
        <f t="array" ref="L41">IFERROR(CommonWorkdays($D41,$E41,L$10,EOMONTH(L$10,0)+1,holidays),0)</f>
        <v>0</v>
      </c>
      <c r="M41" s="13" cm="1">
        <f t="array" ref="M41">IFERROR(CommonWorkdays($D41,$E41,M$10,EOMONTH(M$10,0)+1,holidays),0)</f>
        <v>2</v>
      </c>
      <c r="N41" s="13" cm="1">
        <f t="array" ref="N41">IFERROR(CommonWorkdays($D41,$E41,N$10,EOMONTH(N$10,0)+1,holidays),0)</f>
        <v>0</v>
      </c>
      <c r="O41" s="13" cm="1">
        <f t="array" ref="O41">IFERROR(CommonWorkdays($D41,$E41,O$10,EOMONTH(O$10,0)+1,holidays),0)</f>
        <v>0</v>
      </c>
      <c r="P41" s="13" cm="1">
        <f t="array" ref="P41">IFERROR(CommonWorkdays($D41,$E41,P$10,EOMONTH(P$10,0)+1,holidays),0)</f>
        <v>0</v>
      </c>
      <c r="Q41" s="13" cm="1">
        <f t="array" ref="Q41">IFERROR(CommonWorkdays($D41,$E41,Q$10,EOMONTH(Q$10,0)+1,holidays),0)</f>
        <v>0</v>
      </c>
      <c r="R41" s="13" cm="1">
        <f t="array" ref="R41">IFERROR(CommonWorkdays($D41,$E41,R$10,EOMONTH(R$10,0)+1,holidays),0)</f>
        <v>0</v>
      </c>
      <c r="S41" s="13" cm="1">
        <f t="array" ref="S41">IFERROR(CommonWorkdays($D41,$E41,S$10,EOMONTH(S$10,0)+1,holidays),0)</f>
        <v>0</v>
      </c>
      <c r="T41" s="13" cm="1">
        <f t="array" ref="T41">IFERROR(CommonWorkdays($D41,$E41,T$10,EOMONTH(T$10,0)+1,holidays),0)</f>
        <v>0</v>
      </c>
      <c r="U41" s="13" cm="1">
        <f t="array" ref="U41">IFERROR(CommonWorkdays($D41,$E41,U$10,EOMONTH(U$10,0)+1,holidays),0)</f>
        <v>0</v>
      </c>
      <c r="V41" s="13" cm="1">
        <f t="array" ref="V41">IFERROR(CommonWorkdays($D41,$E41,V$10,EOMONTH(V$10,0)+1,holidays),0)</f>
        <v>0</v>
      </c>
      <c r="W41" s="13" cm="1">
        <f t="array" ref="W41">IFERROR(CommonWorkdays($D41,$E41,W$10,EOMONTH(W$10,0)+1,holidays),0)</f>
        <v>0</v>
      </c>
      <c r="X41" s="13" cm="1">
        <f t="array" ref="X41">IFERROR(CommonWorkdays($D41,$E41,X$10,EOMONTH(X$10,0)+1,holidays),0)</f>
        <v>0</v>
      </c>
      <c r="Y41" s="13" cm="1">
        <f t="array" ref="Y41">IFERROR(CommonWorkdays($D41,$E41,Y$10,EOMONTH(Y$10,0)+1,holidays),0)</f>
        <v>0</v>
      </c>
      <c r="Z41" s="13" cm="1">
        <f t="array" ref="Z41">IFERROR(CommonWorkdays($D41,$E41,Z$10,EOMONTH(Z$10,0)+1,holidays),0)</f>
        <v>0</v>
      </c>
      <c r="AA41" s="13" cm="1">
        <f t="array" ref="AA41">IFERROR(CommonWorkdays($D41,$E41,AA$10,EOMONTH(AA$10,0)+1,holidays),0)</f>
        <v>0</v>
      </c>
      <c r="AB41" s="13" cm="1">
        <f t="array" ref="AB41">IFERROR(CommonWorkdays($D41,$E41,AB$10,EOMONTH(AB$10,0)+1,holidays),0)</f>
        <v>0</v>
      </c>
      <c r="AC41" s="85" cm="1">
        <f t="array" ref="AC41">IFERROR(CommonWorkdays($D41,$E41,AC$10,EOMONTH(AC$10,0)+1,holidays),0)</f>
        <v>0</v>
      </c>
    </row>
    <row r="42" spans="2:29" x14ac:dyDescent="0.3">
      <c r="B42" s="9">
        <f t="shared" si="2"/>
        <v>31</v>
      </c>
      <c r="C42" s="29" t="s">
        <v>97</v>
      </c>
      <c r="D42" s="12">
        <v>45978</v>
      </c>
      <c r="E42" s="12">
        <v>45980</v>
      </c>
      <c r="F42" s="65">
        <f t="shared" si="3"/>
        <v>2</v>
      </c>
      <c r="G42" s="13" cm="1">
        <f t="array" ref="G42">IFERROR(CommonWorkdays($D42,$E42,G$10,EOMONTH(G$10,0)+1,holidays),0)</f>
        <v>0</v>
      </c>
      <c r="H42" s="13" cm="1">
        <f t="array" ref="H42">IFERROR(CommonWorkdays($D42,$E42,H$10,EOMONTH(H$10,0)+1,holidays),0)</f>
        <v>0</v>
      </c>
      <c r="I42" s="13" cm="1">
        <f t="array" ref="I42">IFERROR(CommonWorkdays($D42,$E42,I$10,EOMONTH(I$10,0)+1,holidays),0)</f>
        <v>0</v>
      </c>
      <c r="J42" s="13" cm="1">
        <f t="array" ref="J42">IFERROR(CommonWorkdays($D42,$E42,J$10,EOMONTH(J$10,0)+1,holidays),0)</f>
        <v>0</v>
      </c>
      <c r="K42" s="13" cm="1">
        <f t="array" ref="K42">IFERROR(CommonWorkdays($D42,$E42,K$10,EOMONTH(K$10,0)+1,holidays),0)</f>
        <v>0</v>
      </c>
      <c r="L42" s="13" cm="1">
        <f t="array" ref="L42">IFERROR(CommonWorkdays($D42,$E42,L$10,EOMONTH(L$10,0)+1,holidays),0)</f>
        <v>0</v>
      </c>
      <c r="M42" s="13" cm="1">
        <f t="array" ref="M42">IFERROR(CommonWorkdays($D42,$E42,M$10,EOMONTH(M$10,0)+1,holidays),0)</f>
        <v>2</v>
      </c>
      <c r="N42" s="13" cm="1">
        <f t="array" ref="N42">IFERROR(CommonWorkdays($D42,$E42,N$10,EOMONTH(N$10,0)+1,holidays),0)</f>
        <v>0</v>
      </c>
      <c r="O42" s="13" cm="1">
        <f t="array" ref="O42">IFERROR(CommonWorkdays($D42,$E42,O$10,EOMONTH(O$10,0)+1,holidays),0)</f>
        <v>0</v>
      </c>
      <c r="P42" s="13" cm="1">
        <f t="array" ref="P42">IFERROR(CommonWorkdays($D42,$E42,P$10,EOMONTH(P$10,0)+1,holidays),0)</f>
        <v>0</v>
      </c>
      <c r="Q42" s="13" cm="1">
        <f t="array" ref="Q42">IFERROR(CommonWorkdays($D42,$E42,Q$10,EOMONTH(Q$10,0)+1,holidays),0)</f>
        <v>0</v>
      </c>
      <c r="R42" s="13" cm="1">
        <f t="array" ref="R42">IFERROR(CommonWorkdays($D42,$E42,R$10,EOMONTH(R$10,0)+1,holidays),0)</f>
        <v>0</v>
      </c>
      <c r="S42" s="13" cm="1">
        <f t="array" ref="S42">IFERROR(CommonWorkdays($D42,$E42,S$10,EOMONTH(S$10,0)+1,holidays),0)</f>
        <v>0</v>
      </c>
      <c r="T42" s="13" cm="1">
        <f t="array" ref="T42">IFERROR(CommonWorkdays($D42,$E42,T$10,EOMONTH(T$10,0)+1,holidays),0)</f>
        <v>0</v>
      </c>
      <c r="U42" s="13" cm="1">
        <f t="array" ref="U42">IFERROR(CommonWorkdays($D42,$E42,U$10,EOMONTH(U$10,0)+1,holidays),0)</f>
        <v>0</v>
      </c>
      <c r="V42" s="13" cm="1">
        <f t="array" ref="V42">IFERROR(CommonWorkdays($D42,$E42,V$10,EOMONTH(V$10,0)+1,holidays),0)</f>
        <v>0</v>
      </c>
      <c r="W42" s="13" cm="1">
        <f t="array" ref="W42">IFERROR(CommonWorkdays($D42,$E42,W$10,EOMONTH(W$10,0)+1,holidays),0)</f>
        <v>0</v>
      </c>
      <c r="X42" s="13" cm="1">
        <f t="array" ref="X42">IFERROR(CommonWorkdays($D42,$E42,X$10,EOMONTH(X$10,0)+1,holidays),0)</f>
        <v>0</v>
      </c>
      <c r="Y42" s="13" cm="1">
        <f t="array" ref="Y42">IFERROR(CommonWorkdays($D42,$E42,Y$10,EOMONTH(Y$10,0)+1,holidays),0)</f>
        <v>0</v>
      </c>
      <c r="Z42" s="13" cm="1">
        <f t="array" ref="Z42">IFERROR(CommonWorkdays($D42,$E42,Z$10,EOMONTH(Z$10,0)+1,holidays),0)</f>
        <v>0</v>
      </c>
      <c r="AA42" s="13" cm="1">
        <f t="array" ref="AA42">IFERROR(CommonWorkdays($D42,$E42,AA$10,EOMONTH(AA$10,0)+1,holidays),0)</f>
        <v>0</v>
      </c>
      <c r="AB42" s="13" cm="1">
        <f t="array" ref="AB42">IFERROR(CommonWorkdays($D42,$E42,AB$10,EOMONTH(AB$10,0)+1,holidays),0)</f>
        <v>0</v>
      </c>
      <c r="AC42" s="85" cm="1">
        <f t="array" ref="AC42">IFERROR(CommonWorkdays($D42,$E42,AC$10,EOMONTH(AC$10,0)+1,holidays),0)</f>
        <v>0</v>
      </c>
    </row>
    <row r="43" spans="2:29" x14ac:dyDescent="0.3">
      <c r="B43" s="9">
        <f t="shared" si="2"/>
        <v>32</v>
      </c>
      <c r="C43" s="29" t="s">
        <v>99</v>
      </c>
      <c r="D43" s="12">
        <v>45980</v>
      </c>
      <c r="E43" s="12">
        <v>45987</v>
      </c>
      <c r="F43" s="65">
        <f t="shared" si="3"/>
        <v>5</v>
      </c>
      <c r="G43" s="13" cm="1">
        <f t="array" ref="G43">IFERROR(CommonWorkdays($D43,$E43,G$10,EOMONTH(G$10,0)+1,holidays),0)</f>
        <v>0</v>
      </c>
      <c r="H43" s="13" cm="1">
        <f t="array" ref="H43">IFERROR(CommonWorkdays($D43,$E43,H$10,EOMONTH(H$10,0)+1,holidays),0)</f>
        <v>0</v>
      </c>
      <c r="I43" s="13" cm="1">
        <f t="array" ref="I43">IFERROR(CommonWorkdays($D43,$E43,I$10,EOMONTH(I$10,0)+1,holidays),0)</f>
        <v>0</v>
      </c>
      <c r="J43" s="13" cm="1">
        <f t="array" ref="J43">IFERROR(CommonWorkdays($D43,$E43,J$10,EOMONTH(J$10,0)+1,holidays),0)</f>
        <v>0</v>
      </c>
      <c r="K43" s="13" cm="1">
        <f t="array" ref="K43">IFERROR(CommonWorkdays($D43,$E43,K$10,EOMONTH(K$10,0)+1,holidays),0)</f>
        <v>0</v>
      </c>
      <c r="L43" s="13" cm="1">
        <f t="array" ref="L43">IFERROR(CommonWorkdays($D43,$E43,L$10,EOMONTH(L$10,0)+1,holidays),0)</f>
        <v>0</v>
      </c>
      <c r="M43" s="13" cm="1">
        <f t="array" ref="M43">IFERROR(CommonWorkdays($D43,$E43,M$10,EOMONTH(M$10,0)+1,holidays),0)</f>
        <v>5</v>
      </c>
      <c r="N43" s="13" cm="1">
        <f t="array" ref="N43">IFERROR(CommonWorkdays($D43,$E43,N$10,EOMONTH(N$10,0)+1,holidays),0)</f>
        <v>0</v>
      </c>
      <c r="O43" s="13" cm="1">
        <f t="array" ref="O43">IFERROR(CommonWorkdays($D43,$E43,O$10,EOMONTH(O$10,0)+1,holidays),0)</f>
        <v>0</v>
      </c>
      <c r="P43" s="13" cm="1">
        <f t="array" ref="P43">IFERROR(CommonWorkdays($D43,$E43,P$10,EOMONTH(P$10,0)+1,holidays),0)</f>
        <v>0</v>
      </c>
      <c r="Q43" s="13" cm="1">
        <f t="array" ref="Q43">IFERROR(CommonWorkdays($D43,$E43,Q$10,EOMONTH(Q$10,0)+1,holidays),0)</f>
        <v>0</v>
      </c>
      <c r="R43" s="13" cm="1">
        <f t="array" ref="R43">IFERROR(CommonWorkdays($D43,$E43,R$10,EOMONTH(R$10,0)+1,holidays),0)</f>
        <v>0</v>
      </c>
      <c r="S43" s="13" cm="1">
        <f t="array" ref="S43">IFERROR(CommonWorkdays($D43,$E43,S$10,EOMONTH(S$10,0)+1,holidays),0)</f>
        <v>0</v>
      </c>
      <c r="T43" s="13" cm="1">
        <f t="array" ref="T43">IFERROR(CommonWorkdays($D43,$E43,T$10,EOMONTH(T$10,0)+1,holidays),0)</f>
        <v>0</v>
      </c>
      <c r="U43" s="13" cm="1">
        <f t="array" ref="U43">IFERROR(CommonWorkdays($D43,$E43,U$10,EOMONTH(U$10,0)+1,holidays),0)</f>
        <v>0</v>
      </c>
      <c r="V43" s="13" cm="1">
        <f t="array" ref="V43">IFERROR(CommonWorkdays($D43,$E43,V$10,EOMONTH(V$10,0)+1,holidays),0)</f>
        <v>0</v>
      </c>
      <c r="W43" s="13" cm="1">
        <f t="array" ref="W43">IFERROR(CommonWorkdays($D43,$E43,W$10,EOMONTH(W$10,0)+1,holidays),0)</f>
        <v>0</v>
      </c>
      <c r="X43" s="13" cm="1">
        <f t="array" ref="X43">IFERROR(CommonWorkdays($D43,$E43,X$10,EOMONTH(X$10,0)+1,holidays),0)</f>
        <v>0</v>
      </c>
      <c r="Y43" s="13" cm="1">
        <f t="array" ref="Y43">IFERROR(CommonWorkdays($D43,$E43,Y$10,EOMONTH(Y$10,0)+1,holidays),0)</f>
        <v>0</v>
      </c>
      <c r="Z43" s="13" cm="1">
        <f t="array" ref="Z43">IFERROR(CommonWorkdays($D43,$E43,Z$10,EOMONTH(Z$10,0)+1,holidays),0)</f>
        <v>0</v>
      </c>
      <c r="AA43" s="13" cm="1">
        <f t="array" ref="AA43">IFERROR(CommonWorkdays($D43,$E43,AA$10,EOMONTH(AA$10,0)+1,holidays),0)</f>
        <v>0</v>
      </c>
      <c r="AB43" s="13" cm="1">
        <f t="array" ref="AB43">IFERROR(CommonWorkdays($D43,$E43,AB$10,EOMONTH(AB$10,0)+1,holidays),0)</f>
        <v>0</v>
      </c>
      <c r="AC43" s="85" cm="1">
        <f t="array" ref="AC43">IFERROR(CommonWorkdays($D43,$E43,AC$10,EOMONTH(AC$10,0)+1,holidays),0)</f>
        <v>0</v>
      </c>
    </row>
    <row r="44" spans="2:29" x14ac:dyDescent="0.3">
      <c r="B44" s="15">
        <f t="shared" si="2"/>
        <v>33</v>
      </c>
      <c r="C44" s="30" t="s">
        <v>101</v>
      </c>
      <c r="D44" s="18">
        <v>45987</v>
      </c>
      <c r="E44" s="18">
        <v>46010</v>
      </c>
      <c r="F44" s="67">
        <f t="shared" si="3"/>
        <v>15</v>
      </c>
      <c r="G44" s="19" cm="1">
        <f t="array" ref="G44">IFERROR(CommonWorkdays($D44,$E44,G$10,EOMONTH(G$10,0)+1,holidays),0)</f>
        <v>0</v>
      </c>
      <c r="H44" s="19" cm="1">
        <f t="array" ref="H44">IFERROR(CommonWorkdays($D44,$E44,H$10,EOMONTH(H$10,0)+1,holidays),0)</f>
        <v>0</v>
      </c>
      <c r="I44" s="19" cm="1">
        <f t="array" ref="I44">IFERROR(CommonWorkdays($D44,$E44,I$10,EOMONTH(I$10,0)+1,holidays),0)</f>
        <v>0</v>
      </c>
      <c r="J44" s="19" cm="1">
        <f t="array" ref="J44">IFERROR(CommonWorkdays($D44,$E44,J$10,EOMONTH(J$10,0)+1,holidays),0)</f>
        <v>0</v>
      </c>
      <c r="K44" s="19" cm="1">
        <f t="array" ref="K44">IFERROR(CommonWorkdays($D44,$E44,K$10,EOMONTH(K$10,0)+1,holidays),0)</f>
        <v>0</v>
      </c>
      <c r="L44" s="19" cm="1">
        <f t="array" ref="L44">IFERROR(CommonWorkdays($D44,$E44,L$10,EOMONTH(L$10,0)+1,holidays),0)</f>
        <v>0</v>
      </c>
      <c r="M44" s="19" cm="1">
        <f t="array" ref="M44">IFERROR(CommonWorkdays($D44,$E44,M$10,EOMONTH(M$10,0)+1,holidays),0)</f>
        <v>3</v>
      </c>
      <c r="N44" s="19" cm="1">
        <f t="array" ref="N44">IFERROR(CommonWorkdays($D44,$E44,N$10,EOMONTH(N$10,0)+1,holidays),0)</f>
        <v>12</v>
      </c>
      <c r="O44" s="19" cm="1">
        <f t="array" ref="O44">IFERROR(CommonWorkdays($D44,$E44,O$10,EOMONTH(O$10,0)+1,holidays),0)</f>
        <v>0</v>
      </c>
      <c r="P44" s="19" cm="1">
        <f t="array" ref="P44">IFERROR(CommonWorkdays($D44,$E44,P$10,EOMONTH(P$10,0)+1,holidays),0)</f>
        <v>0</v>
      </c>
      <c r="Q44" s="19" cm="1">
        <f t="array" ref="Q44">IFERROR(CommonWorkdays($D44,$E44,Q$10,EOMONTH(Q$10,0)+1,holidays),0)</f>
        <v>0</v>
      </c>
      <c r="R44" s="19" cm="1">
        <f t="array" ref="R44">IFERROR(CommonWorkdays($D44,$E44,R$10,EOMONTH(R$10,0)+1,holidays),0)</f>
        <v>0</v>
      </c>
      <c r="S44" s="19" cm="1">
        <f t="array" ref="S44">IFERROR(CommonWorkdays($D44,$E44,S$10,EOMONTH(S$10,0)+1,holidays),0)</f>
        <v>0</v>
      </c>
      <c r="T44" s="19" cm="1">
        <f t="array" ref="T44">IFERROR(CommonWorkdays($D44,$E44,T$10,EOMONTH(T$10,0)+1,holidays),0)</f>
        <v>0</v>
      </c>
      <c r="U44" s="19" cm="1">
        <f t="array" ref="U44">IFERROR(CommonWorkdays($D44,$E44,U$10,EOMONTH(U$10,0)+1,holidays),0)</f>
        <v>0</v>
      </c>
      <c r="V44" s="19" cm="1">
        <f t="array" ref="V44">IFERROR(CommonWorkdays($D44,$E44,V$10,EOMONTH(V$10,0)+1,holidays),0)</f>
        <v>0</v>
      </c>
      <c r="W44" s="19" cm="1">
        <f t="array" ref="W44">IFERROR(CommonWorkdays($D44,$E44,W$10,EOMONTH(W$10,0)+1,holidays),0)</f>
        <v>0</v>
      </c>
      <c r="X44" s="19" cm="1">
        <f t="array" ref="X44">IFERROR(CommonWorkdays($D44,$E44,X$10,EOMONTH(X$10,0)+1,holidays),0)</f>
        <v>0</v>
      </c>
      <c r="Y44" s="19" cm="1">
        <f t="array" ref="Y44">IFERROR(CommonWorkdays($D44,$E44,Y$10,EOMONTH(Y$10,0)+1,holidays),0)</f>
        <v>0</v>
      </c>
      <c r="Z44" s="19" cm="1">
        <f t="array" ref="Z44">IFERROR(CommonWorkdays($D44,$E44,Z$10,EOMONTH(Z$10,0)+1,holidays),0)</f>
        <v>0</v>
      </c>
      <c r="AA44" s="19" cm="1">
        <f t="array" ref="AA44">IFERROR(CommonWorkdays($D44,$E44,AA$10,EOMONTH(AA$10,0)+1,holidays),0)</f>
        <v>0</v>
      </c>
      <c r="AB44" s="19" cm="1">
        <f t="array" ref="AB44">IFERROR(CommonWorkdays($D44,$E44,AB$10,EOMONTH(AB$10,0)+1,holidays),0)</f>
        <v>0</v>
      </c>
      <c r="AC44" s="105" cm="1">
        <f t="array" ref="AC44">IFERROR(CommonWorkdays($D44,$E44,AC$10,EOMONTH(AC$10,0)+1,holidays),0)</f>
        <v>0</v>
      </c>
    </row>
    <row r="45" spans="2:29" x14ac:dyDescent="0.3">
      <c r="B45" s="70">
        <f t="shared" si="2"/>
        <v>34</v>
      </c>
      <c r="C45" s="71" t="s">
        <v>145</v>
      </c>
      <c r="D45" s="72">
        <v>46010</v>
      </c>
      <c r="E45" s="72">
        <v>46017</v>
      </c>
      <c r="F45" s="73">
        <f t="shared" si="3"/>
        <v>5</v>
      </c>
      <c r="G45" s="78" cm="1">
        <f t="array" ref="G45">IFERROR(CommonWorkdays($D45,$E45,G$10,EOMONTH(G$10,0)+1,holidays),0)</f>
        <v>0</v>
      </c>
      <c r="H45" s="78" cm="1">
        <f t="array" ref="H45">IFERROR(CommonWorkdays($D45,$E45,H$10,EOMONTH(H$10,0)+1,holidays),0)</f>
        <v>0</v>
      </c>
      <c r="I45" s="78" cm="1">
        <f t="array" ref="I45">IFERROR(CommonWorkdays($D45,$E45,I$10,EOMONTH(I$10,0)+1,holidays),0)</f>
        <v>0</v>
      </c>
      <c r="J45" s="78" cm="1">
        <f t="array" ref="J45">IFERROR(CommonWorkdays($D45,$E45,J$10,EOMONTH(J$10,0)+1,holidays),0)</f>
        <v>0</v>
      </c>
      <c r="K45" s="78" cm="1">
        <f t="array" ref="K45">IFERROR(CommonWorkdays($D45,$E45,K$10,EOMONTH(K$10,0)+1,holidays),0)</f>
        <v>0</v>
      </c>
      <c r="L45" s="78" cm="1">
        <f t="array" ref="L45">IFERROR(CommonWorkdays($D45,$E45,L$10,EOMONTH(L$10,0)+1,holidays),0)</f>
        <v>0</v>
      </c>
      <c r="M45" s="78" cm="1">
        <f t="array" ref="M45">IFERROR(CommonWorkdays($D45,$E45,M$10,EOMONTH(M$10,0)+1,holidays),0)</f>
        <v>0</v>
      </c>
      <c r="N45" s="78" cm="1">
        <f t="array" ref="N45">IFERROR(CommonWorkdays($D45,$E45,N$10,EOMONTH(N$10,0)+1,holidays),0)</f>
        <v>5</v>
      </c>
      <c r="O45" s="78" cm="1">
        <f t="array" ref="O45">IFERROR(CommonWorkdays($D45,$E45,O$10,EOMONTH(O$10,0)+1,holidays),0)</f>
        <v>0</v>
      </c>
      <c r="P45" s="78" cm="1">
        <f t="array" ref="P45">IFERROR(CommonWorkdays($D45,$E45,P$10,EOMONTH(P$10,0)+1,holidays),0)</f>
        <v>0</v>
      </c>
      <c r="Q45" s="78" cm="1">
        <f t="array" ref="Q45">IFERROR(CommonWorkdays($D45,$E45,Q$10,EOMONTH(Q$10,0)+1,holidays),0)</f>
        <v>0</v>
      </c>
      <c r="R45" s="78" cm="1">
        <f t="array" ref="R45">IFERROR(CommonWorkdays($D45,$E45,R$10,EOMONTH(R$10,0)+1,holidays),0)</f>
        <v>0</v>
      </c>
      <c r="S45" s="78" cm="1">
        <f t="array" ref="S45">IFERROR(CommonWorkdays($D45,$E45,S$10,EOMONTH(S$10,0)+1,holidays),0)</f>
        <v>0</v>
      </c>
      <c r="T45" s="78" cm="1">
        <f t="array" ref="T45">IFERROR(CommonWorkdays($D45,$E45,T$10,EOMONTH(T$10,0)+1,holidays),0)</f>
        <v>0</v>
      </c>
      <c r="U45" s="78" cm="1">
        <f t="array" ref="U45">IFERROR(CommonWorkdays($D45,$E45,U$10,EOMONTH(U$10,0)+1,holidays),0)</f>
        <v>0</v>
      </c>
      <c r="V45" s="78" cm="1">
        <f t="array" ref="V45">IFERROR(CommonWorkdays($D45,$E45,V$10,EOMONTH(V$10,0)+1,holidays),0)</f>
        <v>0</v>
      </c>
      <c r="W45" s="78" cm="1">
        <f t="array" ref="W45">IFERROR(CommonWorkdays($D45,$E45,W$10,EOMONTH(W$10,0)+1,holidays),0)</f>
        <v>0</v>
      </c>
      <c r="X45" s="78" cm="1">
        <f t="array" ref="X45">IFERROR(CommonWorkdays($D45,$E45,X$10,EOMONTH(X$10,0)+1,holidays),0)</f>
        <v>0</v>
      </c>
      <c r="Y45" s="78" cm="1">
        <f t="array" ref="Y45">IFERROR(CommonWorkdays($D45,$E45,Y$10,EOMONTH(Y$10,0)+1,holidays),0)</f>
        <v>0</v>
      </c>
      <c r="Z45" s="78" cm="1">
        <f t="array" ref="Z45">IFERROR(CommonWorkdays($D45,$E45,Z$10,EOMONTH(Z$10,0)+1,holidays),0)</f>
        <v>0</v>
      </c>
      <c r="AA45" s="78" cm="1">
        <f t="array" ref="AA45">IFERROR(CommonWorkdays($D45,$E45,AA$10,EOMONTH(AA$10,0)+1,holidays),0)</f>
        <v>0</v>
      </c>
      <c r="AB45" s="78" cm="1">
        <f t="array" ref="AB45">IFERROR(CommonWorkdays($D45,$E45,AB$10,EOMONTH(AB$10,0)+1,holidays),0)</f>
        <v>0</v>
      </c>
      <c r="AC45" s="109" cm="1">
        <f t="array" ref="AC45">IFERROR(CommonWorkdays($D45,$E45,AC$10,EOMONTH(AC$10,0)+1,holidays),0)</f>
        <v>0</v>
      </c>
    </row>
    <row r="46" spans="2:29" x14ac:dyDescent="0.3">
      <c r="B46" s="9">
        <f t="shared" si="2"/>
        <v>35</v>
      </c>
      <c r="C46" s="29" t="s">
        <v>110</v>
      </c>
      <c r="D46" s="12">
        <v>46010</v>
      </c>
      <c r="E46" s="12">
        <v>46016</v>
      </c>
      <c r="F46" s="65">
        <f t="shared" si="3"/>
        <v>4</v>
      </c>
      <c r="G46" s="13" cm="1">
        <f t="array" ref="G46">IFERROR(CommonWorkdays($D46,$E46,G$10,EOMONTH(G$10,0)+1,holidays),0)</f>
        <v>0</v>
      </c>
      <c r="H46" s="13" cm="1">
        <f t="array" ref="H46">IFERROR(CommonWorkdays($D46,$E46,H$10,EOMONTH(H$10,0)+1,holidays),0)</f>
        <v>0</v>
      </c>
      <c r="I46" s="13" cm="1">
        <f t="array" ref="I46">IFERROR(CommonWorkdays($D46,$E46,I$10,EOMONTH(I$10,0)+1,holidays),0)</f>
        <v>0</v>
      </c>
      <c r="J46" s="13" cm="1">
        <f t="array" ref="J46">IFERROR(CommonWorkdays($D46,$E46,J$10,EOMONTH(J$10,0)+1,holidays),0)</f>
        <v>0</v>
      </c>
      <c r="K46" s="13" cm="1">
        <f t="array" ref="K46">IFERROR(CommonWorkdays($D46,$E46,K$10,EOMONTH(K$10,0)+1,holidays),0)</f>
        <v>0</v>
      </c>
      <c r="L46" s="13" cm="1">
        <f t="array" ref="L46">IFERROR(CommonWorkdays($D46,$E46,L$10,EOMONTH(L$10,0)+1,holidays),0)</f>
        <v>0</v>
      </c>
      <c r="M46" s="13" cm="1">
        <f t="array" ref="M46">IFERROR(CommonWorkdays($D46,$E46,M$10,EOMONTH(M$10,0)+1,holidays),0)</f>
        <v>0</v>
      </c>
      <c r="N46" s="13" cm="1">
        <f t="array" ref="N46">IFERROR(CommonWorkdays($D46,$E46,N$10,EOMONTH(N$10,0)+1,holidays),0)</f>
        <v>4</v>
      </c>
      <c r="O46" s="13" cm="1">
        <f t="array" ref="O46">IFERROR(CommonWorkdays($D46,$E46,O$10,EOMONTH(O$10,0)+1,holidays),0)</f>
        <v>0</v>
      </c>
      <c r="P46" s="13" cm="1">
        <f t="array" ref="P46">IFERROR(CommonWorkdays($D46,$E46,P$10,EOMONTH(P$10,0)+1,holidays),0)</f>
        <v>0</v>
      </c>
      <c r="Q46" s="13" cm="1">
        <f t="array" ref="Q46">IFERROR(CommonWorkdays($D46,$E46,Q$10,EOMONTH(Q$10,0)+1,holidays),0)</f>
        <v>0</v>
      </c>
      <c r="R46" s="13" cm="1">
        <f t="array" ref="R46">IFERROR(CommonWorkdays($D46,$E46,R$10,EOMONTH(R$10,0)+1,holidays),0)</f>
        <v>0</v>
      </c>
      <c r="S46" s="13" cm="1">
        <f t="array" ref="S46">IFERROR(CommonWorkdays($D46,$E46,S$10,EOMONTH(S$10,0)+1,holidays),0)</f>
        <v>0</v>
      </c>
      <c r="T46" s="13" cm="1">
        <f t="array" ref="T46">IFERROR(CommonWorkdays($D46,$E46,T$10,EOMONTH(T$10,0)+1,holidays),0)</f>
        <v>0</v>
      </c>
      <c r="U46" s="13" cm="1">
        <f t="array" ref="U46">IFERROR(CommonWorkdays($D46,$E46,U$10,EOMONTH(U$10,0)+1,holidays),0)</f>
        <v>0</v>
      </c>
      <c r="V46" s="13" cm="1">
        <f t="array" ref="V46">IFERROR(CommonWorkdays($D46,$E46,V$10,EOMONTH(V$10,0)+1,holidays),0)</f>
        <v>0</v>
      </c>
      <c r="W46" s="13" cm="1">
        <f t="array" ref="W46">IFERROR(CommonWorkdays($D46,$E46,W$10,EOMONTH(W$10,0)+1,holidays),0)</f>
        <v>0</v>
      </c>
      <c r="X46" s="13" cm="1">
        <f t="array" ref="X46">IFERROR(CommonWorkdays($D46,$E46,X$10,EOMONTH(X$10,0)+1,holidays),0)</f>
        <v>0</v>
      </c>
      <c r="Y46" s="13" cm="1">
        <f t="array" ref="Y46">IFERROR(CommonWorkdays($D46,$E46,Y$10,EOMONTH(Y$10,0)+1,holidays),0)</f>
        <v>0</v>
      </c>
      <c r="Z46" s="13" cm="1">
        <f t="array" ref="Z46">IFERROR(CommonWorkdays($D46,$E46,Z$10,EOMONTH(Z$10,0)+1,holidays),0)</f>
        <v>0</v>
      </c>
      <c r="AA46" s="13" cm="1">
        <f t="array" ref="AA46">IFERROR(CommonWorkdays($D46,$E46,AA$10,EOMONTH(AA$10,0)+1,holidays),0)</f>
        <v>0</v>
      </c>
      <c r="AB46" s="13" cm="1">
        <f t="array" ref="AB46">IFERROR(CommonWorkdays($D46,$E46,AB$10,EOMONTH(AB$10,0)+1,holidays),0)</f>
        <v>0</v>
      </c>
      <c r="AC46" s="85" cm="1">
        <f t="array" ref="AC46">IFERROR(CommonWorkdays($D46,$E46,AC$10,EOMONTH(AC$10,0)+1,holidays),0)</f>
        <v>0</v>
      </c>
    </row>
    <row r="47" spans="2:29" x14ac:dyDescent="0.3">
      <c r="B47" s="21">
        <f t="shared" si="2"/>
        <v>36</v>
      </c>
      <c r="C47" s="31" t="s">
        <v>146</v>
      </c>
      <c r="D47" s="12">
        <v>46016</v>
      </c>
      <c r="E47" s="12">
        <v>46017</v>
      </c>
      <c r="F47" s="65">
        <f t="shared" si="3"/>
        <v>1</v>
      </c>
      <c r="G47" s="13" cm="1">
        <f t="array" ref="G47">IFERROR(CommonWorkdays($D47,$E47,G$10,EOMONTH(G$10,0)+1,holidays),0)</f>
        <v>0</v>
      </c>
      <c r="H47" s="13" cm="1">
        <f t="array" ref="H47">IFERROR(CommonWorkdays($D47,$E47,H$10,EOMONTH(H$10,0)+1,holidays),0)</f>
        <v>0</v>
      </c>
      <c r="I47" s="13" cm="1">
        <f t="array" ref="I47">IFERROR(CommonWorkdays($D47,$E47,I$10,EOMONTH(I$10,0)+1,holidays),0)</f>
        <v>0</v>
      </c>
      <c r="J47" s="13" cm="1">
        <f t="array" ref="J47">IFERROR(CommonWorkdays($D47,$E47,J$10,EOMONTH(J$10,0)+1,holidays),0)</f>
        <v>0</v>
      </c>
      <c r="K47" s="13" cm="1">
        <f t="array" ref="K47">IFERROR(CommonWorkdays($D47,$E47,K$10,EOMONTH(K$10,0)+1,holidays),0)</f>
        <v>0</v>
      </c>
      <c r="L47" s="13" cm="1">
        <f t="array" ref="L47">IFERROR(CommonWorkdays($D47,$E47,L$10,EOMONTH(L$10,0)+1,holidays),0)</f>
        <v>0</v>
      </c>
      <c r="M47" s="13" cm="1">
        <f t="array" ref="M47">IFERROR(CommonWorkdays($D47,$E47,M$10,EOMONTH(M$10,0)+1,holidays),0)</f>
        <v>0</v>
      </c>
      <c r="N47" s="13" cm="1">
        <f t="array" ref="N47">IFERROR(CommonWorkdays($D47,$E47,N$10,EOMONTH(N$10,0)+1,holidays),0)</f>
        <v>1</v>
      </c>
      <c r="O47" s="13" cm="1">
        <f t="array" ref="O47">IFERROR(CommonWorkdays($D47,$E47,O$10,EOMONTH(O$10,0)+1,holidays),0)</f>
        <v>0</v>
      </c>
      <c r="P47" s="13" cm="1">
        <f t="array" ref="P47">IFERROR(CommonWorkdays($D47,$E47,P$10,EOMONTH(P$10,0)+1,holidays),0)</f>
        <v>0</v>
      </c>
      <c r="Q47" s="13" cm="1">
        <f t="array" ref="Q47">IFERROR(CommonWorkdays($D47,$E47,Q$10,EOMONTH(Q$10,0)+1,holidays),0)</f>
        <v>0</v>
      </c>
      <c r="R47" s="13" cm="1">
        <f t="array" ref="R47">IFERROR(CommonWorkdays($D47,$E47,R$10,EOMONTH(R$10,0)+1,holidays),0)</f>
        <v>0</v>
      </c>
      <c r="S47" s="13" cm="1">
        <f t="array" ref="S47">IFERROR(CommonWorkdays($D47,$E47,S$10,EOMONTH(S$10,0)+1,holidays),0)</f>
        <v>0</v>
      </c>
      <c r="T47" s="13" cm="1">
        <f t="array" ref="T47">IFERROR(CommonWorkdays($D47,$E47,T$10,EOMONTH(T$10,0)+1,holidays),0)</f>
        <v>0</v>
      </c>
      <c r="U47" s="13" cm="1">
        <f t="array" ref="U47">IFERROR(CommonWorkdays($D47,$E47,U$10,EOMONTH(U$10,0)+1,holidays),0)</f>
        <v>0</v>
      </c>
      <c r="V47" s="13" cm="1">
        <f t="array" ref="V47">IFERROR(CommonWorkdays($D47,$E47,V$10,EOMONTH(V$10,0)+1,holidays),0)</f>
        <v>0</v>
      </c>
      <c r="W47" s="13" cm="1">
        <f t="array" ref="W47">IFERROR(CommonWorkdays($D47,$E47,W$10,EOMONTH(W$10,0)+1,holidays),0)</f>
        <v>0</v>
      </c>
      <c r="X47" s="13" cm="1">
        <f t="array" ref="X47">IFERROR(CommonWorkdays($D47,$E47,X$10,EOMONTH(X$10,0)+1,holidays),0)</f>
        <v>0</v>
      </c>
      <c r="Y47" s="13" cm="1">
        <f t="array" ref="Y47">IFERROR(CommonWorkdays($D47,$E47,Y$10,EOMONTH(Y$10,0)+1,holidays),0)</f>
        <v>0</v>
      </c>
      <c r="Z47" s="13" cm="1">
        <f t="array" ref="Z47">IFERROR(CommonWorkdays($D47,$E47,Z$10,EOMONTH(Z$10,0)+1,holidays),0)</f>
        <v>0</v>
      </c>
      <c r="AA47" s="13" cm="1">
        <f t="array" ref="AA47">IFERROR(CommonWorkdays($D47,$E47,AA$10,EOMONTH(AA$10,0)+1,holidays),0)</f>
        <v>0</v>
      </c>
      <c r="AB47" s="13" cm="1">
        <f t="array" ref="AB47">IFERROR(CommonWorkdays($D47,$E47,AB$10,EOMONTH(AB$10,0)+1,holidays),0)</f>
        <v>0</v>
      </c>
      <c r="AC47" s="85" cm="1">
        <f t="array" ref="AC47">IFERROR(CommonWorkdays($D47,$E47,AC$10,EOMONTH(AC$10,0)+1,holidays),0)</f>
        <v>0</v>
      </c>
    </row>
    <row r="48" spans="2:29" x14ac:dyDescent="0.3">
      <c r="B48" s="46"/>
      <c r="C48" s="46"/>
      <c r="D48" s="46"/>
      <c r="E48" s="46"/>
      <c r="F48" s="46"/>
      <c r="G48" s="87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</row>
    <row r="49" spans="2:29" ht="15" customHeight="1" x14ac:dyDescent="0.3">
      <c r="B49" s="88" t="s">
        <v>104</v>
      </c>
      <c r="C49" s="89" t="s">
        <v>104</v>
      </c>
      <c r="D49" s="89" t="s">
        <v>105</v>
      </c>
      <c r="E49" s="119" t="s">
        <v>177</v>
      </c>
      <c r="F49" s="90" t="s">
        <v>174</v>
      </c>
      <c r="G49" s="91">
        <f>DATE(YEAR($C$6),MONTH($C$6),1)</f>
        <v>45778</v>
      </c>
      <c r="H49" s="91">
        <f>EOMONTH(G49,0)+1</f>
        <v>45809</v>
      </c>
      <c r="I49" s="91">
        <f t="shared" ref="I49:AC49" si="4">EOMONTH(H49,0)+1</f>
        <v>45839</v>
      </c>
      <c r="J49" s="91">
        <f t="shared" si="4"/>
        <v>45870</v>
      </c>
      <c r="K49" s="91">
        <f t="shared" si="4"/>
        <v>45901</v>
      </c>
      <c r="L49" s="91">
        <f t="shared" si="4"/>
        <v>45931</v>
      </c>
      <c r="M49" s="91">
        <f t="shared" si="4"/>
        <v>45962</v>
      </c>
      <c r="N49" s="91">
        <f t="shared" si="4"/>
        <v>45992</v>
      </c>
      <c r="O49" s="91">
        <f t="shared" si="4"/>
        <v>46023</v>
      </c>
      <c r="P49" s="91">
        <f t="shared" si="4"/>
        <v>46054</v>
      </c>
      <c r="Q49" s="91">
        <f t="shared" si="4"/>
        <v>46082</v>
      </c>
      <c r="R49" s="91">
        <f t="shared" si="4"/>
        <v>46113</v>
      </c>
      <c r="S49" s="91">
        <f t="shared" si="4"/>
        <v>46143</v>
      </c>
      <c r="T49" s="91">
        <f t="shared" si="4"/>
        <v>46174</v>
      </c>
      <c r="U49" s="91">
        <f t="shared" si="4"/>
        <v>46204</v>
      </c>
      <c r="V49" s="91">
        <f t="shared" si="4"/>
        <v>46235</v>
      </c>
      <c r="W49" s="91">
        <f t="shared" si="4"/>
        <v>46266</v>
      </c>
      <c r="X49" s="91">
        <f t="shared" si="4"/>
        <v>46296</v>
      </c>
      <c r="Y49" s="91">
        <f t="shared" si="4"/>
        <v>46327</v>
      </c>
      <c r="Z49" s="91">
        <f t="shared" si="4"/>
        <v>46357</v>
      </c>
      <c r="AA49" s="91">
        <f t="shared" si="4"/>
        <v>46388</v>
      </c>
      <c r="AB49" s="91">
        <f t="shared" si="4"/>
        <v>46419</v>
      </c>
      <c r="AC49" s="92">
        <f t="shared" si="4"/>
        <v>46447</v>
      </c>
    </row>
    <row r="50" spans="2:29" ht="14" customHeight="1" x14ac:dyDescent="0.3">
      <c r="B50" s="93">
        <v>1</v>
      </c>
      <c r="C50" s="80" t="s">
        <v>106</v>
      </c>
      <c r="D50" s="138" t="s">
        <v>107</v>
      </c>
      <c r="E50" s="141" t="s">
        <v>163</v>
      </c>
      <c r="F50" s="94">
        <f>SUM(G50:AC50)</f>
        <v>29.5</v>
      </c>
      <c r="G50" s="95">
        <f>SUMPRODUCT(_xlfn.CHOOSECOLS(contribution,$B50),_xlfn.CHOOSECOLS(workingdays,COUNTA($G49:G49)))</f>
        <v>7.9571428571428573</v>
      </c>
      <c r="H50" s="95">
        <f>SUMPRODUCT(_xlfn.CHOOSECOLS(contribution,$B50),_xlfn.CHOOSECOLS(workingdays,COUNTA($G49:H49)))</f>
        <v>5.4428571428571431</v>
      </c>
      <c r="I50" s="95">
        <f>SUMPRODUCT(_xlfn.CHOOSECOLS(contribution,$B50),_xlfn.CHOOSECOLS(workingdays,COUNTA($G49:I49)))</f>
        <v>2.1</v>
      </c>
      <c r="J50" s="95">
        <f>SUMPRODUCT(_xlfn.CHOOSECOLS(contribution,$B50),_xlfn.CHOOSECOLS(workingdays,COUNTA($G49:J49)))</f>
        <v>3.8</v>
      </c>
      <c r="K50" s="95">
        <f>SUMPRODUCT(_xlfn.CHOOSECOLS(contribution,$B50),_xlfn.CHOOSECOLS(workingdays,COUNTA($G49:K49)))</f>
        <v>3.8000000000000003</v>
      </c>
      <c r="L50" s="95">
        <f>SUMPRODUCT(_xlfn.CHOOSECOLS(contribution,$B50),_xlfn.CHOOSECOLS(workingdays,COUNTA($G49:L49)))</f>
        <v>1.4000000000000001</v>
      </c>
      <c r="M50" s="95">
        <f>SUMPRODUCT(_xlfn.CHOOSECOLS(contribution,$B50),_xlfn.CHOOSECOLS(workingdays,COUNTA($G49:M49)))</f>
        <v>1.9</v>
      </c>
      <c r="N50" s="95">
        <f>SUMPRODUCT(_xlfn.CHOOSECOLS(contribution,$B50),_xlfn.CHOOSECOLS(workingdays,COUNTA($G49:N49)))</f>
        <v>3.1</v>
      </c>
      <c r="O50" s="95">
        <f>SUMPRODUCT(_xlfn.CHOOSECOLS(contribution,$B50),_xlfn.CHOOSECOLS(workingdays,COUNTA($G49:O49)))</f>
        <v>0</v>
      </c>
      <c r="P50" s="95">
        <f>SUMPRODUCT(_xlfn.CHOOSECOLS(contribution,$B50),_xlfn.CHOOSECOLS(workingdays,COUNTA($G49:P49)))</f>
        <v>0</v>
      </c>
      <c r="Q50" s="95">
        <f>SUMPRODUCT(_xlfn.CHOOSECOLS(contribution,$B50),_xlfn.CHOOSECOLS(workingdays,COUNTA($G49:Q49)))</f>
        <v>0</v>
      </c>
      <c r="R50" s="95">
        <f>SUMPRODUCT(_xlfn.CHOOSECOLS(contribution,$B50),_xlfn.CHOOSECOLS(workingdays,COUNTA($G49:R49)))</f>
        <v>0</v>
      </c>
      <c r="S50" s="95">
        <f>SUMPRODUCT(_xlfn.CHOOSECOLS(contribution,$B50),_xlfn.CHOOSECOLS(workingdays,COUNTA($G49:S49)))</f>
        <v>0</v>
      </c>
      <c r="T50" s="95">
        <f>SUMPRODUCT(_xlfn.CHOOSECOLS(contribution,$B50),_xlfn.CHOOSECOLS(workingdays,COUNTA($G49:T49)))</f>
        <v>0</v>
      </c>
      <c r="U50" s="95">
        <f>SUMPRODUCT(_xlfn.CHOOSECOLS(contribution,$B50),_xlfn.CHOOSECOLS(workingdays,COUNTA($G49:U49)))</f>
        <v>0</v>
      </c>
      <c r="V50" s="95">
        <f>SUMPRODUCT(_xlfn.CHOOSECOLS(contribution,$B50),_xlfn.CHOOSECOLS(workingdays,COUNTA($G49:V49)))</f>
        <v>0</v>
      </c>
      <c r="W50" s="95">
        <f>SUMPRODUCT(_xlfn.CHOOSECOLS(contribution,$B50),_xlfn.CHOOSECOLS(workingdays,COUNTA($G49:W49)))</f>
        <v>0</v>
      </c>
      <c r="X50" s="95">
        <f>SUMPRODUCT(_xlfn.CHOOSECOLS(contribution,$B50),_xlfn.CHOOSECOLS(workingdays,COUNTA($G49:X49)))</f>
        <v>0</v>
      </c>
      <c r="Y50" s="95">
        <f>SUMPRODUCT(_xlfn.CHOOSECOLS(contribution,$B50),_xlfn.CHOOSECOLS(workingdays,COUNTA($G49:Y49)))</f>
        <v>0</v>
      </c>
      <c r="Z50" s="95">
        <f>SUMPRODUCT(_xlfn.CHOOSECOLS(contribution,$B50),_xlfn.CHOOSECOLS(workingdays,COUNTA($G49:Z49)))</f>
        <v>0</v>
      </c>
      <c r="AA50" s="95">
        <f>SUMPRODUCT(_xlfn.CHOOSECOLS(contribution,$B50),_xlfn.CHOOSECOLS(workingdays,COUNTA($G49:AA49)))</f>
        <v>0</v>
      </c>
      <c r="AB50" s="95">
        <f>SUMPRODUCT(_xlfn.CHOOSECOLS(contribution,$B50),_xlfn.CHOOSECOLS(workingdays,COUNTA($G49:AB49)))</f>
        <v>0</v>
      </c>
      <c r="AC50" s="96">
        <f>SUMPRODUCT(_xlfn.CHOOSECOLS(contribution,$B50),_xlfn.CHOOSECOLS(workingdays,COUNTA($G49:AC49)))</f>
        <v>0</v>
      </c>
    </row>
    <row r="51" spans="2:29" ht="13" customHeight="1" x14ac:dyDescent="0.3">
      <c r="B51" s="9">
        <v>2</v>
      </c>
      <c r="C51" s="29" t="s">
        <v>155</v>
      </c>
      <c r="D51" s="139" t="s">
        <v>108</v>
      </c>
      <c r="E51" s="142" t="s">
        <v>163</v>
      </c>
      <c r="F51" s="65">
        <f t="shared" ref="F51:F59" si="5">SUM(G51:AC51)</f>
        <v>30.125000000000004</v>
      </c>
      <c r="G51" s="95">
        <f>SUMPRODUCT(_xlfn.CHOOSECOLS(contribution,$B51),_xlfn.CHOOSECOLS(workingdays,COUNTA($G50:G50)))</f>
        <v>7.9571428571428573</v>
      </c>
      <c r="H51" s="95">
        <f>SUMPRODUCT(_xlfn.CHOOSECOLS(contribution,$B51),_xlfn.CHOOSECOLS(workingdays,COUNTA($G50:H50)))</f>
        <v>5.4428571428571431</v>
      </c>
      <c r="I51" s="95">
        <f>SUMPRODUCT(_xlfn.CHOOSECOLS(contribution,$B51),_xlfn.CHOOSECOLS(workingdays,COUNTA($G50:I50)))</f>
        <v>4.0999999999999996</v>
      </c>
      <c r="J51" s="95">
        <f>SUMPRODUCT(_xlfn.CHOOSECOLS(contribution,$B51),_xlfn.CHOOSECOLS(workingdays,COUNTA($G50:J50)))</f>
        <v>3.8</v>
      </c>
      <c r="K51" s="95">
        <f>SUMPRODUCT(_xlfn.CHOOSECOLS(contribution,$B51),_xlfn.CHOOSECOLS(workingdays,COUNTA($G50:K50)))</f>
        <v>3.7750000000000004</v>
      </c>
      <c r="L51" s="95">
        <f>SUMPRODUCT(_xlfn.CHOOSECOLS(contribution,$B51),_xlfn.CHOOSECOLS(workingdays,COUNTA($G50:L50)))</f>
        <v>1.05</v>
      </c>
      <c r="M51" s="95">
        <f>SUMPRODUCT(_xlfn.CHOOSECOLS(contribution,$B51),_xlfn.CHOOSECOLS(workingdays,COUNTA($G50:M50)))</f>
        <v>1.8</v>
      </c>
      <c r="N51" s="95">
        <f>SUMPRODUCT(_xlfn.CHOOSECOLS(contribution,$B51),_xlfn.CHOOSECOLS(workingdays,COUNTA($G50:N50)))</f>
        <v>2.2000000000000002</v>
      </c>
      <c r="O51" s="95">
        <f>SUMPRODUCT(_xlfn.CHOOSECOLS(contribution,$B51),_xlfn.CHOOSECOLS(workingdays,COUNTA($G50:O50)))</f>
        <v>0</v>
      </c>
      <c r="P51" s="95">
        <f>SUMPRODUCT(_xlfn.CHOOSECOLS(contribution,$B51),_xlfn.CHOOSECOLS(workingdays,COUNTA($G50:P50)))</f>
        <v>0</v>
      </c>
      <c r="Q51" s="95">
        <f>SUMPRODUCT(_xlfn.CHOOSECOLS(contribution,$B51),_xlfn.CHOOSECOLS(workingdays,COUNTA($G50:Q50)))</f>
        <v>0</v>
      </c>
      <c r="R51" s="95">
        <f>SUMPRODUCT(_xlfn.CHOOSECOLS(contribution,$B51),_xlfn.CHOOSECOLS(workingdays,COUNTA($G50:R50)))</f>
        <v>0</v>
      </c>
      <c r="S51" s="95">
        <f>SUMPRODUCT(_xlfn.CHOOSECOLS(contribution,$B51),_xlfn.CHOOSECOLS(workingdays,COUNTA($G50:S50)))</f>
        <v>0</v>
      </c>
      <c r="T51" s="95">
        <f>SUMPRODUCT(_xlfn.CHOOSECOLS(contribution,$B51),_xlfn.CHOOSECOLS(workingdays,COUNTA($G50:T50)))</f>
        <v>0</v>
      </c>
      <c r="U51" s="95">
        <f>SUMPRODUCT(_xlfn.CHOOSECOLS(contribution,$B51),_xlfn.CHOOSECOLS(workingdays,COUNTA($G50:U50)))</f>
        <v>0</v>
      </c>
      <c r="V51" s="95">
        <f>SUMPRODUCT(_xlfn.CHOOSECOLS(contribution,$B51),_xlfn.CHOOSECOLS(workingdays,COUNTA($G50:V50)))</f>
        <v>0</v>
      </c>
      <c r="W51" s="95">
        <f>SUMPRODUCT(_xlfn.CHOOSECOLS(contribution,$B51),_xlfn.CHOOSECOLS(workingdays,COUNTA($G50:W50)))</f>
        <v>0</v>
      </c>
      <c r="X51" s="95">
        <f>SUMPRODUCT(_xlfn.CHOOSECOLS(contribution,$B51),_xlfn.CHOOSECOLS(workingdays,COUNTA($G50:X50)))</f>
        <v>0</v>
      </c>
      <c r="Y51" s="95">
        <f>SUMPRODUCT(_xlfn.CHOOSECOLS(contribution,$B51),_xlfn.CHOOSECOLS(workingdays,COUNTA($G50:Y50)))</f>
        <v>0</v>
      </c>
      <c r="Z51" s="95">
        <f>SUMPRODUCT(_xlfn.CHOOSECOLS(contribution,$B51),_xlfn.CHOOSECOLS(workingdays,COUNTA($G50:Z50)))</f>
        <v>0</v>
      </c>
      <c r="AA51" s="95">
        <f>SUMPRODUCT(_xlfn.CHOOSECOLS(contribution,$B51),_xlfn.CHOOSECOLS(workingdays,COUNTA($G50:AA50)))</f>
        <v>0</v>
      </c>
      <c r="AB51" s="95">
        <f>SUMPRODUCT(_xlfn.CHOOSECOLS(contribution,$B51),_xlfn.CHOOSECOLS(workingdays,COUNTA($G50:AB50)))</f>
        <v>0</v>
      </c>
      <c r="AC51" s="96">
        <f>SUMPRODUCT(_xlfn.CHOOSECOLS(contribution,$B51),_xlfn.CHOOSECOLS(workingdays,COUNTA($G50:AC50)))</f>
        <v>0</v>
      </c>
    </row>
    <row r="52" spans="2:29" ht="13" customHeight="1" x14ac:dyDescent="0.3">
      <c r="B52" s="9">
        <v>3</v>
      </c>
      <c r="C52" s="29" t="s">
        <v>153</v>
      </c>
      <c r="D52" s="139" t="s">
        <v>109</v>
      </c>
      <c r="E52" s="142" t="s">
        <v>164</v>
      </c>
      <c r="F52" s="65">
        <f t="shared" si="5"/>
        <v>45.800000000000004</v>
      </c>
      <c r="G52" s="95">
        <f>SUMPRODUCT(_xlfn.CHOOSECOLS(contribution,$B52),_xlfn.CHOOSECOLS(workingdays,COUNTA($G51:G51)))</f>
        <v>2.6</v>
      </c>
      <c r="H52" s="95">
        <f>SUMPRODUCT(_xlfn.CHOOSECOLS(contribution,$B52),_xlfn.CHOOSECOLS(workingdays,COUNTA($G51:H51)))</f>
        <v>5.2</v>
      </c>
      <c r="I52" s="95">
        <f>SUMPRODUCT(_xlfn.CHOOSECOLS(contribution,$B52),_xlfn.CHOOSECOLS(workingdays,COUNTA($G51:I51)))</f>
        <v>8.1999999999999993</v>
      </c>
      <c r="J52" s="95">
        <f>SUMPRODUCT(_xlfn.CHOOSECOLS(contribution,$B52),_xlfn.CHOOSECOLS(workingdays,COUNTA($G51:J51)))</f>
        <v>7.6</v>
      </c>
      <c r="K52" s="95">
        <f>SUMPRODUCT(_xlfn.CHOOSECOLS(contribution,$B52),_xlfn.CHOOSECOLS(workingdays,COUNTA($G51:K51)))</f>
        <v>10.6</v>
      </c>
      <c r="L52" s="95">
        <f>SUMPRODUCT(_xlfn.CHOOSECOLS(contribution,$B52),_xlfn.CHOOSECOLS(workingdays,COUNTA($G51:L51)))</f>
        <v>4.2</v>
      </c>
      <c r="M52" s="95">
        <f>SUMPRODUCT(_xlfn.CHOOSECOLS(contribution,$B52),_xlfn.CHOOSECOLS(workingdays,COUNTA($G51:M51)))</f>
        <v>4</v>
      </c>
      <c r="N52" s="95">
        <f>SUMPRODUCT(_xlfn.CHOOSECOLS(contribution,$B52),_xlfn.CHOOSECOLS(workingdays,COUNTA($G51:N51)))</f>
        <v>3.4000000000000004</v>
      </c>
      <c r="O52" s="95">
        <f>SUMPRODUCT(_xlfn.CHOOSECOLS(contribution,$B52),_xlfn.CHOOSECOLS(workingdays,COUNTA($G51:O51)))</f>
        <v>0</v>
      </c>
      <c r="P52" s="95">
        <f>SUMPRODUCT(_xlfn.CHOOSECOLS(contribution,$B52),_xlfn.CHOOSECOLS(workingdays,COUNTA($G51:P51)))</f>
        <v>0</v>
      </c>
      <c r="Q52" s="95">
        <f>SUMPRODUCT(_xlfn.CHOOSECOLS(contribution,$B52),_xlfn.CHOOSECOLS(workingdays,COUNTA($G51:Q51)))</f>
        <v>0</v>
      </c>
      <c r="R52" s="95">
        <f>SUMPRODUCT(_xlfn.CHOOSECOLS(contribution,$B52),_xlfn.CHOOSECOLS(workingdays,COUNTA($G51:R51)))</f>
        <v>0</v>
      </c>
      <c r="S52" s="95">
        <f>SUMPRODUCT(_xlfn.CHOOSECOLS(contribution,$B52),_xlfn.CHOOSECOLS(workingdays,COUNTA($G51:S51)))</f>
        <v>0</v>
      </c>
      <c r="T52" s="95">
        <f>SUMPRODUCT(_xlfn.CHOOSECOLS(contribution,$B52),_xlfn.CHOOSECOLS(workingdays,COUNTA($G51:T51)))</f>
        <v>0</v>
      </c>
      <c r="U52" s="95">
        <f>SUMPRODUCT(_xlfn.CHOOSECOLS(contribution,$B52),_xlfn.CHOOSECOLS(workingdays,COUNTA($G51:U51)))</f>
        <v>0</v>
      </c>
      <c r="V52" s="95">
        <f>SUMPRODUCT(_xlfn.CHOOSECOLS(contribution,$B52),_xlfn.CHOOSECOLS(workingdays,COUNTA($G51:V51)))</f>
        <v>0</v>
      </c>
      <c r="W52" s="95">
        <f>SUMPRODUCT(_xlfn.CHOOSECOLS(contribution,$B52),_xlfn.CHOOSECOLS(workingdays,COUNTA($G51:W51)))</f>
        <v>0</v>
      </c>
      <c r="X52" s="95">
        <f>SUMPRODUCT(_xlfn.CHOOSECOLS(contribution,$B52),_xlfn.CHOOSECOLS(workingdays,COUNTA($G51:X51)))</f>
        <v>0</v>
      </c>
      <c r="Y52" s="95">
        <f>SUMPRODUCT(_xlfn.CHOOSECOLS(contribution,$B52),_xlfn.CHOOSECOLS(workingdays,COUNTA($G51:Y51)))</f>
        <v>0</v>
      </c>
      <c r="Z52" s="95">
        <f>SUMPRODUCT(_xlfn.CHOOSECOLS(contribution,$B52),_xlfn.CHOOSECOLS(workingdays,COUNTA($G51:Z51)))</f>
        <v>0</v>
      </c>
      <c r="AA52" s="95">
        <f>SUMPRODUCT(_xlfn.CHOOSECOLS(contribution,$B52),_xlfn.CHOOSECOLS(workingdays,COUNTA($G51:AA51)))</f>
        <v>0</v>
      </c>
      <c r="AB52" s="95">
        <f>SUMPRODUCT(_xlfn.CHOOSECOLS(contribution,$B52),_xlfn.CHOOSECOLS(workingdays,COUNTA($G51:AB51)))</f>
        <v>0</v>
      </c>
      <c r="AC52" s="96">
        <f>SUMPRODUCT(_xlfn.CHOOSECOLS(contribution,$B52),_xlfn.CHOOSECOLS(workingdays,COUNTA($G51:AC51)))</f>
        <v>0</v>
      </c>
    </row>
    <row r="53" spans="2:29" x14ac:dyDescent="0.3">
      <c r="B53" s="9">
        <f t="shared" ref="B53:B59" si="6">B52+1</f>
        <v>4</v>
      </c>
      <c r="C53" s="29" t="s">
        <v>154</v>
      </c>
      <c r="D53" s="139" t="s">
        <v>109</v>
      </c>
      <c r="E53" s="142" t="s">
        <v>164</v>
      </c>
      <c r="F53" s="65">
        <f t="shared" si="5"/>
        <v>45.800000000000004</v>
      </c>
      <c r="G53" s="95">
        <f>SUMPRODUCT(_xlfn.CHOOSECOLS(contribution,$B53),_xlfn.CHOOSECOLS(workingdays,COUNTA($G52:G52)))</f>
        <v>2.6</v>
      </c>
      <c r="H53" s="95">
        <f>SUMPRODUCT(_xlfn.CHOOSECOLS(contribution,$B53),_xlfn.CHOOSECOLS(workingdays,COUNTA($G52:H52)))</f>
        <v>5.2</v>
      </c>
      <c r="I53" s="95">
        <f>SUMPRODUCT(_xlfn.CHOOSECOLS(contribution,$B53),_xlfn.CHOOSECOLS(workingdays,COUNTA($G52:I52)))</f>
        <v>8.1999999999999993</v>
      </c>
      <c r="J53" s="95">
        <f>SUMPRODUCT(_xlfn.CHOOSECOLS(contribution,$B53),_xlfn.CHOOSECOLS(workingdays,COUNTA($G52:J52)))</f>
        <v>7.6</v>
      </c>
      <c r="K53" s="95">
        <f>SUMPRODUCT(_xlfn.CHOOSECOLS(contribution,$B53),_xlfn.CHOOSECOLS(workingdays,COUNTA($G52:K52)))</f>
        <v>10.6</v>
      </c>
      <c r="L53" s="95">
        <f>SUMPRODUCT(_xlfn.CHOOSECOLS(contribution,$B53),_xlfn.CHOOSECOLS(workingdays,COUNTA($G52:L52)))</f>
        <v>4.2</v>
      </c>
      <c r="M53" s="95">
        <f>SUMPRODUCT(_xlfn.CHOOSECOLS(contribution,$B53),_xlfn.CHOOSECOLS(workingdays,COUNTA($G52:M52)))</f>
        <v>4</v>
      </c>
      <c r="N53" s="95">
        <f>SUMPRODUCT(_xlfn.CHOOSECOLS(contribution,$B53),_xlfn.CHOOSECOLS(workingdays,COUNTA($G52:N52)))</f>
        <v>3.4000000000000004</v>
      </c>
      <c r="O53" s="95">
        <f>SUMPRODUCT(_xlfn.CHOOSECOLS(contribution,$B53),_xlfn.CHOOSECOLS(workingdays,COUNTA($G52:O52)))</f>
        <v>0</v>
      </c>
      <c r="P53" s="95">
        <f>SUMPRODUCT(_xlfn.CHOOSECOLS(contribution,$B53),_xlfn.CHOOSECOLS(workingdays,COUNTA($G52:P52)))</f>
        <v>0</v>
      </c>
      <c r="Q53" s="95">
        <f>SUMPRODUCT(_xlfn.CHOOSECOLS(contribution,$B53),_xlfn.CHOOSECOLS(workingdays,COUNTA($G52:Q52)))</f>
        <v>0</v>
      </c>
      <c r="R53" s="95">
        <f>SUMPRODUCT(_xlfn.CHOOSECOLS(contribution,$B53),_xlfn.CHOOSECOLS(workingdays,COUNTA($G52:R52)))</f>
        <v>0</v>
      </c>
      <c r="S53" s="95">
        <f>SUMPRODUCT(_xlfn.CHOOSECOLS(contribution,$B53),_xlfn.CHOOSECOLS(workingdays,COUNTA($G52:S52)))</f>
        <v>0</v>
      </c>
      <c r="T53" s="95">
        <f>SUMPRODUCT(_xlfn.CHOOSECOLS(contribution,$B53),_xlfn.CHOOSECOLS(workingdays,COUNTA($G52:T52)))</f>
        <v>0</v>
      </c>
      <c r="U53" s="95">
        <f>SUMPRODUCT(_xlfn.CHOOSECOLS(contribution,$B53),_xlfn.CHOOSECOLS(workingdays,COUNTA($G52:U52)))</f>
        <v>0</v>
      </c>
      <c r="V53" s="95">
        <f>SUMPRODUCT(_xlfn.CHOOSECOLS(contribution,$B53),_xlfn.CHOOSECOLS(workingdays,COUNTA($G52:V52)))</f>
        <v>0</v>
      </c>
      <c r="W53" s="95">
        <f>SUMPRODUCT(_xlfn.CHOOSECOLS(contribution,$B53),_xlfn.CHOOSECOLS(workingdays,COUNTA($G52:W52)))</f>
        <v>0</v>
      </c>
      <c r="X53" s="95">
        <f>SUMPRODUCT(_xlfn.CHOOSECOLS(contribution,$B53),_xlfn.CHOOSECOLS(workingdays,COUNTA($G52:X52)))</f>
        <v>0</v>
      </c>
      <c r="Y53" s="95">
        <f>SUMPRODUCT(_xlfn.CHOOSECOLS(contribution,$B53),_xlfn.CHOOSECOLS(workingdays,COUNTA($G52:Y52)))</f>
        <v>0</v>
      </c>
      <c r="Z53" s="95">
        <f>SUMPRODUCT(_xlfn.CHOOSECOLS(contribution,$B53),_xlfn.CHOOSECOLS(workingdays,COUNTA($G52:Z52)))</f>
        <v>0</v>
      </c>
      <c r="AA53" s="95">
        <f>SUMPRODUCT(_xlfn.CHOOSECOLS(contribution,$B53),_xlfn.CHOOSECOLS(workingdays,COUNTA($G52:AA52)))</f>
        <v>0</v>
      </c>
      <c r="AB53" s="95">
        <f>SUMPRODUCT(_xlfn.CHOOSECOLS(contribution,$B53),_xlfn.CHOOSECOLS(workingdays,COUNTA($G52:AB52)))</f>
        <v>0</v>
      </c>
      <c r="AC53" s="96">
        <f>SUMPRODUCT(_xlfn.CHOOSECOLS(contribution,$B53),_xlfn.CHOOSECOLS(workingdays,COUNTA($G52:AC52)))</f>
        <v>0</v>
      </c>
    </row>
    <row r="54" spans="2:29" x14ac:dyDescent="0.3">
      <c r="B54" s="9">
        <f t="shared" si="6"/>
        <v>5</v>
      </c>
      <c r="C54" s="29"/>
      <c r="D54" s="139"/>
      <c r="E54" s="142"/>
      <c r="F54" s="65">
        <f t="shared" si="5"/>
        <v>0</v>
      </c>
      <c r="G54" s="95">
        <f>SUMPRODUCT(_xlfn.CHOOSECOLS(contribution,$B54),_xlfn.CHOOSECOLS(workingdays,COUNTA($G53:G53)))</f>
        <v>0</v>
      </c>
      <c r="H54" s="95">
        <f>SUMPRODUCT(_xlfn.CHOOSECOLS(contribution,$B54),_xlfn.CHOOSECOLS(workingdays,COUNTA($G53:H53)))</f>
        <v>0</v>
      </c>
      <c r="I54" s="95">
        <f>SUMPRODUCT(_xlfn.CHOOSECOLS(contribution,$B54),_xlfn.CHOOSECOLS(workingdays,COUNTA($G53:I53)))</f>
        <v>0</v>
      </c>
      <c r="J54" s="95">
        <f>SUMPRODUCT(_xlfn.CHOOSECOLS(contribution,$B54),_xlfn.CHOOSECOLS(workingdays,COUNTA($G53:J53)))</f>
        <v>0</v>
      </c>
      <c r="K54" s="95">
        <f>SUMPRODUCT(_xlfn.CHOOSECOLS(contribution,$B54),_xlfn.CHOOSECOLS(workingdays,COUNTA($G53:K53)))</f>
        <v>0</v>
      </c>
      <c r="L54" s="95">
        <f>SUMPRODUCT(_xlfn.CHOOSECOLS(contribution,$B54),_xlfn.CHOOSECOLS(workingdays,COUNTA($G53:L53)))</f>
        <v>0</v>
      </c>
      <c r="M54" s="95">
        <f>SUMPRODUCT(_xlfn.CHOOSECOLS(contribution,$B54),_xlfn.CHOOSECOLS(workingdays,COUNTA($G53:M53)))</f>
        <v>0</v>
      </c>
      <c r="N54" s="95">
        <f>SUMPRODUCT(_xlfn.CHOOSECOLS(contribution,$B54),_xlfn.CHOOSECOLS(workingdays,COUNTA($G53:N53)))</f>
        <v>0</v>
      </c>
      <c r="O54" s="95">
        <f>SUMPRODUCT(_xlfn.CHOOSECOLS(contribution,$B54),_xlfn.CHOOSECOLS(workingdays,COUNTA($G53:O53)))</f>
        <v>0</v>
      </c>
      <c r="P54" s="95">
        <f>SUMPRODUCT(_xlfn.CHOOSECOLS(contribution,$B54),_xlfn.CHOOSECOLS(workingdays,COUNTA($G53:P53)))</f>
        <v>0</v>
      </c>
      <c r="Q54" s="95">
        <f>SUMPRODUCT(_xlfn.CHOOSECOLS(contribution,$B54),_xlfn.CHOOSECOLS(workingdays,COUNTA($G53:Q53)))</f>
        <v>0</v>
      </c>
      <c r="R54" s="95">
        <f>SUMPRODUCT(_xlfn.CHOOSECOLS(contribution,$B54),_xlfn.CHOOSECOLS(workingdays,COUNTA($G53:R53)))</f>
        <v>0</v>
      </c>
      <c r="S54" s="95">
        <f>SUMPRODUCT(_xlfn.CHOOSECOLS(contribution,$B54),_xlfn.CHOOSECOLS(workingdays,COUNTA($G53:S53)))</f>
        <v>0</v>
      </c>
      <c r="T54" s="95">
        <f>SUMPRODUCT(_xlfn.CHOOSECOLS(contribution,$B54),_xlfn.CHOOSECOLS(workingdays,COUNTA($G53:T53)))</f>
        <v>0</v>
      </c>
      <c r="U54" s="95">
        <f>SUMPRODUCT(_xlfn.CHOOSECOLS(contribution,$B54),_xlfn.CHOOSECOLS(workingdays,COUNTA($G53:U53)))</f>
        <v>0</v>
      </c>
      <c r="V54" s="95">
        <f>SUMPRODUCT(_xlfn.CHOOSECOLS(contribution,$B54),_xlfn.CHOOSECOLS(workingdays,COUNTA($G53:V53)))</f>
        <v>0</v>
      </c>
      <c r="W54" s="95">
        <f>SUMPRODUCT(_xlfn.CHOOSECOLS(contribution,$B54),_xlfn.CHOOSECOLS(workingdays,COUNTA($G53:W53)))</f>
        <v>0</v>
      </c>
      <c r="X54" s="95">
        <f>SUMPRODUCT(_xlfn.CHOOSECOLS(contribution,$B54),_xlfn.CHOOSECOLS(workingdays,COUNTA($G53:X53)))</f>
        <v>0</v>
      </c>
      <c r="Y54" s="95">
        <f>SUMPRODUCT(_xlfn.CHOOSECOLS(contribution,$B54),_xlfn.CHOOSECOLS(workingdays,COUNTA($G53:Y53)))</f>
        <v>0</v>
      </c>
      <c r="Z54" s="95">
        <f>SUMPRODUCT(_xlfn.CHOOSECOLS(contribution,$B54),_xlfn.CHOOSECOLS(workingdays,COUNTA($G53:Z53)))</f>
        <v>0</v>
      </c>
      <c r="AA54" s="95">
        <f>SUMPRODUCT(_xlfn.CHOOSECOLS(contribution,$B54),_xlfn.CHOOSECOLS(workingdays,COUNTA($G53:AA53)))</f>
        <v>0</v>
      </c>
      <c r="AB54" s="95">
        <f>SUMPRODUCT(_xlfn.CHOOSECOLS(contribution,$B54),_xlfn.CHOOSECOLS(workingdays,COUNTA($G53:AB53)))</f>
        <v>0</v>
      </c>
      <c r="AC54" s="96">
        <f>SUMPRODUCT(_xlfn.CHOOSECOLS(contribution,$B54),_xlfn.CHOOSECOLS(workingdays,COUNTA($G53:AC53)))</f>
        <v>0</v>
      </c>
    </row>
    <row r="55" spans="2:29" x14ac:dyDescent="0.3">
      <c r="B55" s="9">
        <f t="shared" si="6"/>
        <v>6</v>
      </c>
      <c r="C55" s="29"/>
      <c r="D55" s="139"/>
      <c r="E55" s="142"/>
      <c r="F55" s="65">
        <f t="shared" si="5"/>
        <v>0</v>
      </c>
      <c r="G55" s="95">
        <f>SUMPRODUCT(_xlfn.CHOOSECOLS(contribution,$B55),_xlfn.CHOOSECOLS(workingdays,COUNTA($G54:G54)))</f>
        <v>0</v>
      </c>
      <c r="H55" s="95">
        <f>SUMPRODUCT(_xlfn.CHOOSECOLS(contribution,$B55),_xlfn.CHOOSECOLS(workingdays,COUNTA($G54:H54)))</f>
        <v>0</v>
      </c>
      <c r="I55" s="95">
        <f>SUMPRODUCT(_xlfn.CHOOSECOLS(contribution,$B55),_xlfn.CHOOSECOLS(workingdays,COUNTA($G54:I54)))</f>
        <v>0</v>
      </c>
      <c r="J55" s="95">
        <f>SUMPRODUCT(_xlfn.CHOOSECOLS(contribution,$B55),_xlfn.CHOOSECOLS(workingdays,COUNTA($G54:J54)))</f>
        <v>0</v>
      </c>
      <c r="K55" s="95">
        <f>SUMPRODUCT(_xlfn.CHOOSECOLS(contribution,$B55),_xlfn.CHOOSECOLS(workingdays,COUNTA($G54:K54)))</f>
        <v>0</v>
      </c>
      <c r="L55" s="95">
        <f>SUMPRODUCT(_xlfn.CHOOSECOLS(contribution,$B55),_xlfn.CHOOSECOLS(workingdays,COUNTA($G54:L54)))</f>
        <v>0</v>
      </c>
      <c r="M55" s="95">
        <f>SUMPRODUCT(_xlfn.CHOOSECOLS(contribution,$B55),_xlfn.CHOOSECOLS(workingdays,COUNTA($G54:M54)))</f>
        <v>0</v>
      </c>
      <c r="N55" s="95">
        <f>SUMPRODUCT(_xlfn.CHOOSECOLS(contribution,$B55),_xlfn.CHOOSECOLS(workingdays,COUNTA($G54:N54)))</f>
        <v>0</v>
      </c>
      <c r="O55" s="95">
        <f>SUMPRODUCT(_xlfn.CHOOSECOLS(contribution,$B55),_xlfn.CHOOSECOLS(workingdays,COUNTA($G54:O54)))</f>
        <v>0</v>
      </c>
      <c r="P55" s="95">
        <f>SUMPRODUCT(_xlfn.CHOOSECOLS(contribution,$B55),_xlfn.CHOOSECOLS(workingdays,COUNTA($G54:P54)))</f>
        <v>0</v>
      </c>
      <c r="Q55" s="95">
        <f>SUMPRODUCT(_xlfn.CHOOSECOLS(contribution,$B55),_xlfn.CHOOSECOLS(workingdays,COUNTA($G54:Q54)))</f>
        <v>0</v>
      </c>
      <c r="R55" s="95">
        <f>SUMPRODUCT(_xlfn.CHOOSECOLS(contribution,$B55),_xlfn.CHOOSECOLS(workingdays,COUNTA($G54:R54)))</f>
        <v>0</v>
      </c>
      <c r="S55" s="95">
        <f>SUMPRODUCT(_xlfn.CHOOSECOLS(contribution,$B55),_xlfn.CHOOSECOLS(workingdays,COUNTA($G54:S54)))</f>
        <v>0</v>
      </c>
      <c r="T55" s="95">
        <f>SUMPRODUCT(_xlfn.CHOOSECOLS(contribution,$B55),_xlfn.CHOOSECOLS(workingdays,COUNTA($G54:T54)))</f>
        <v>0</v>
      </c>
      <c r="U55" s="95">
        <f>SUMPRODUCT(_xlfn.CHOOSECOLS(contribution,$B55),_xlfn.CHOOSECOLS(workingdays,COUNTA($G54:U54)))</f>
        <v>0</v>
      </c>
      <c r="V55" s="95">
        <f>SUMPRODUCT(_xlfn.CHOOSECOLS(contribution,$B55),_xlfn.CHOOSECOLS(workingdays,COUNTA($G54:V54)))</f>
        <v>0</v>
      </c>
      <c r="W55" s="95">
        <f>SUMPRODUCT(_xlfn.CHOOSECOLS(contribution,$B55),_xlfn.CHOOSECOLS(workingdays,COUNTA($G54:W54)))</f>
        <v>0</v>
      </c>
      <c r="X55" s="95">
        <f>SUMPRODUCT(_xlfn.CHOOSECOLS(contribution,$B55),_xlfn.CHOOSECOLS(workingdays,COUNTA($G54:X54)))</f>
        <v>0</v>
      </c>
      <c r="Y55" s="95">
        <f>SUMPRODUCT(_xlfn.CHOOSECOLS(contribution,$B55),_xlfn.CHOOSECOLS(workingdays,COUNTA($G54:Y54)))</f>
        <v>0</v>
      </c>
      <c r="Z55" s="95">
        <f>SUMPRODUCT(_xlfn.CHOOSECOLS(contribution,$B55),_xlfn.CHOOSECOLS(workingdays,COUNTA($G54:Z54)))</f>
        <v>0</v>
      </c>
      <c r="AA55" s="95">
        <f>SUMPRODUCT(_xlfn.CHOOSECOLS(contribution,$B55),_xlfn.CHOOSECOLS(workingdays,COUNTA($G54:AA54)))</f>
        <v>0</v>
      </c>
      <c r="AB55" s="95">
        <f>SUMPRODUCT(_xlfn.CHOOSECOLS(contribution,$B55),_xlfn.CHOOSECOLS(workingdays,COUNTA($G54:AB54)))</f>
        <v>0</v>
      </c>
      <c r="AC55" s="96">
        <f>SUMPRODUCT(_xlfn.CHOOSECOLS(contribution,$B55),_xlfn.CHOOSECOLS(workingdays,COUNTA($G54:AC54)))</f>
        <v>0</v>
      </c>
    </row>
    <row r="56" spans="2:29" x14ac:dyDescent="0.3">
      <c r="B56" s="9">
        <f t="shared" si="6"/>
        <v>7</v>
      </c>
      <c r="C56" s="29"/>
      <c r="D56" s="139"/>
      <c r="E56" s="142"/>
      <c r="F56" s="65">
        <f t="shared" si="5"/>
        <v>0</v>
      </c>
      <c r="G56" s="95">
        <f>SUMPRODUCT(_xlfn.CHOOSECOLS(contribution,$B56),_xlfn.CHOOSECOLS(workingdays,COUNTA($G55:G55)))</f>
        <v>0</v>
      </c>
      <c r="H56" s="95">
        <f>SUMPRODUCT(_xlfn.CHOOSECOLS(contribution,$B56),_xlfn.CHOOSECOLS(workingdays,COUNTA($G55:H55)))</f>
        <v>0</v>
      </c>
      <c r="I56" s="95">
        <f>SUMPRODUCT(_xlfn.CHOOSECOLS(contribution,$B56),_xlfn.CHOOSECOLS(workingdays,COUNTA($G55:I55)))</f>
        <v>0</v>
      </c>
      <c r="J56" s="95">
        <f>SUMPRODUCT(_xlfn.CHOOSECOLS(contribution,$B56),_xlfn.CHOOSECOLS(workingdays,COUNTA($G55:J55)))</f>
        <v>0</v>
      </c>
      <c r="K56" s="95">
        <f>SUMPRODUCT(_xlfn.CHOOSECOLS(contribution,$B56),_xlfn.CHOOSECOLS(workingdays,COUNTA($G55:K55)))</f>
        <v>0</v>
      </c>
      <c r="L56" s="95">
        <f>SUMPRODUCT(_xlfn.CHOOSECOLS(contribution,$B56),_xlfn.CHOOSECOLS(workingdays,COUNTA($G55:L55)))</f>
        <v>0</v>
      </c>
      <c r="M56" s="95">
        <f>SUMPRODUCT(_xlfn.CHOOSECOLS(contribution,$B56),_xlfn.CHOOSECOLS(workingdays,COUNTA($G55:M55)))</f>
        <v>0</v>
      </c>
      <c r="N56" s="95">
        <f>SUMPRODUCT(_xlfn.CHOOSECOLS(contribution,$B56),_xlfn.CHOOSECOLS(workingdays,COUNTA($G55:N55)))</f>
        <v>0</v>
      </c>
      <c r="O56" s="95">
        <f>SUMPRODUCT(_xlfn.CHOOSECOLS(contribution,$B56),_xlfn.CHOOSECOLS(workingdays,COUNTA($G55:O55)))</f>
        <v>0</v>
      </c>
      <c r="P56" s="95">
        <f>SUMPRODUCT(_xlfn.CHOOSECOLS(contribution,$B56),_xlfn.CHOOSECOLS(workingdays,COUNTA($G55:P55)))</f>
        <v>0</v>
      </c>
      <c r="Q56" s="95">
        <f>SUMPRODUCT(_xlfn.CHOOSECOLS(contribution,$B56),_xlfn.CHOOSECOLS(workingdays,COUNTA($G55:Q55)))</f>
        <v>0</v>
      </c>
      <c r="R56" s="95">
        <f>SUMPRODUCT(_xlfn.CHOOSECOLS(contribution,$B56),_xlfn.CHOOSECOLS(workingdays,COUNTA($G55:R55)))</f>
        <v>0</v>
      </c>
      <c r="S56" s="95">
        <f>SUMPRODUCT(_xlfn.CHOOSECOLS(contribution,$B56),_xlfn.CHOOSECOLS(workingdays,COUNTA($G55:S55)))</f>
        <v>0</v>
      </c>
      <c r="T56" s="95">
        <f>SUMPRODUCT(_xlfn.CHOOSECOLS(contribution,$B56),_xlfn.CHOOSECOLS(workingdays,COUNTA($G55:T55)))</f>
        <v>0</v>
      </c>
      <c r="U56" s="95">
        <f>SUMPRODUCT(_xlfn.CHOOSECOLS(contribution,$B56),_xlfn.CHOOSECOLS(workingdays,COUNTA($G55:U55)))</f>
        <v>0</v>
      </c>
      <c r="V56" s="95">
        <f>SUMPRODUCT(_xlfn.CHOOSECOLS(contribution,$B56),_xlfn.CHOOSECOLS(workingdays,COUNTA($G55:V55)))</f>
        <v>0</v>
      </c>
      <c r="W56" s="95">
        <f>SUMPRODUCT(_xlfn.CHOOSECOLS(contribution,$B56),_xlfn.CHOOSECOLS(workingdays,COUNTA($G55:W55)))</f>
        <v>0</v>
      </c>
      <c r="X56" s="95">
        <f>SUMPRODUCT(_xlfn.CHOOSECOLS(contribution,$B56),_xlfn.CHOOSECOLS(workingdays,COUNTA($G55:X55)))</f>
        <v>0</v>
      </c>
      <c r="Y56" s="95">
        <f>SUMPRODUCT(_xlfn.CHOOSECOLS(contribution,$B56),_xlfn.CHOOSECOLS(workingdays,COUNTA($G55:Y55)))</f>
        <v>0</v>
      </c>
      <c r="Z56" s="95">
        <f>SUMPRODUCT(_xlfn.CHOOSECOLS(contribution,$B56),_xlfn.CHOOSECOLS(workingdays,COUNTA($G55:Z55)))</f>
        <v>0</v>
      </c>
      <c r="AA56" s="95">
        <f>SUMPRODUCT(_xlfn.CHOOSECOLS(contribution,$B56),_xlfn.CHOOSECOLS(workingdays,COUNTA($G55:AA55)))</f>
        <v>0</v>
      </c>
      <c r="AB56" s="95">
        <f>SUMPRODUCT(_xlfn.CHOOSECOLS(contribution,$B56),_xlfn.CHOOSECOLS(workingdays,COUNTA($G55:AB55)))</f>
        <v>0</v>
      </c>
      <c r="AC56" s="96">
        <f>SUMPRODUCT(_xlfn.CHOOSECOLS(contribution,$B56),_xlfn.CHOOSECOLS(workingdays,COUNTA($G55:AC55)))</f>
        <v>0</v>
      </c>
    </row>
    <row r="57" spans="2:29" x14ac:dyDescent="0.3">
      <c r="B57" s="9">
        <f t="shared" si="6"/>
        <v>8</v>
      </c>
      <c r="C57" s="29"/>
      <c r="D57" s="139"/>
      <c r="E57" s="142"/>
      <c r="F57" s="65">
        <f t="shared" si="5"/>
        <v>0</v>
      </c>
      <c r="G57" s="95">
        <f>SUMPRODUCT(_xlfn.CHOOSECOLS(contribution,$B57),_xlfn.CHOOSECOLS(workingdays,COUNTA($G56:G56)))</f>
        <v>0</v>
      </c>
      <c r="H57" s="95">
        <f>SUMPRODUCT(_xlfn.CHOOSECOLS(contribution,$B57),_xlfn.CHOOSECOLS(workingdays,COUNTA($G56:H56)))</f>
        <v>0</v>
      </c>
      <c r="I57" s="95">
        <f>SUMPRODUCT(_xlfn.CHOOSECOLS(contribution,$B57),_xlfn.CHOOSECOLS(workingdays,COUNTA($G56:I56)))</f>
        <v>0</v>
      </c>
      <c r="J57" s="95">
        <f>SUMPRODUCT(_xlfn.CHOOSECOLS(contribution,$B57),_xlfn.CHOOSECOLS(workingdays,COUNTA($G56:J56)))</f>
        <v>0</v>
      </c>
      <c r="K57" s="95">
        <f>SUMPRODUCT(_xlfn.CHOOSECOLS(contribution,$B57),_xlfn.CHOOSECOLS(workingdays,COUNTA($G56:K56)))</f>
        <v>0</v>
      </c>
      <c r="L57" s="95">
        <f>SUMPRODUCT(_xlfn.CHOOSECOLS(contribution,$B57),_xlfn.CHOOSECOLS(workingdays,COUNTA($G56:L56)))</f>
        <v>0</v>
      </c>
      <c r="M57" s="95">
        <f>SUMPRODUCT(_xlfn.CHOOSECOLS(contribution,$B57),_xlfn.CHOOSECOLS(workingdays,COUNTA($G56:M56)))</f>
        <v>0</v>
      </c>
      <c r="N57" s="95">
        <f>SUMPRODUCT(_xlfn.CHOOSECOLS(contribution,$B57),_xlfn.CHOOSECOLS(workingdays,COUNTA($G56:N56)))</f>
        <v>0</v>
      </c>
      <c r="O57" s="95">
        <f>SUMPRODUCT(_xlfn.CHOOSECOLS(contribution,$B57),_xlfn.CHOOSECOLS(workingdays,COUNTA($G56:O56)))</f>
        <v>0</v>
      </c>
      <c r="P57" s="95">
        <f>SUMPRODUCT(_xlfn.CHOOSECOLS(contribution,$B57),_xlfn.CHOOSECOLS(workingdays,COUNTA($G56:P56)))</f>
        <v>0</v>
      </c>
      <c r="Q57" s="95">
        <f>SUMPRODUCT(_xlfn.CHOOSECOLS(contribution,$B57),_xlfn.CHOOSECOLS(workingdays,COUNTA($G56:Q56)))</f>
        <v>0</v>
      </c>
      <c r="R57" s="95">
        <f>SUMPRODUCT(_xlfn.CHOOSECOLS(contribution,$B57),_xlfn.CHOOSECOLS(workingdays,COUNTA($G56:R56)))</f>
        <v>0</v>
      </c>
      <c r="S57" s="95">
        <f>SUMPRODUCT(_xlfn.CHOOSECOLS(contribution,$B57),_xlfn.CHOOSECOLS(workingdays,COUNTA($G56:S56)))</f>
        <v>0</v>
      </c>
      <c r="T57" s="95">
        <f>SUMPRODUCT(_xlfn.CHOOSECOLS(contribution,$B57),_xlfn.CHOOSECOLS(workingdays,COUNTA($G56:T56)))</f>
        <v>0</v>
      </c>
      <c r="U57" s="95">
        <f>SUMPRODUCT(_xlfn.CHOOSECOLS(contribution,$B57),_xlfn.CHOOSECOLS(workingdays,COUNTA($G56:U56)))</f>
        <v>0</v>
      </c>
      <c r="V57" s="95">
        <f>SUMPRODUCT(_xlfn.CHOOSECOLS(contribution,$B57),_xlfn.CHOOSECOLS(workingdays,COUNTA($G56:V56)))</f>
        <v>0</v>
      </c>
      <c r="W57" s="95">
        <f>SUMPRODUCT(_xlfn.CHOOSECOLS(contribution,$B57),_xlfn.CHOOSECOLS(workingdays,COUNTA($G56:W56)))</f>
        <v>0</v>
      </c>
      <c r="X57" s="95">
        <f>SUMPRODUCT(_xlfn.CHOOSECOLS(contribution,$B57),_xlfn.CHOOSECOLS(workingdays,COUNTA($G56:X56)))</f>
        <v>0</v>
      </c>
      <c r="Y57" s="95">
        <f>SUMPRODUCT(_xlfn.CHOOSECOLS(contribution,$B57),_xlfn.CHOOSECOLS(workingdays,COUNTA($G56:Y56)))</f>
        <v>0</v>
      </c>
      <c r="Z57" s="95">
        <f>SUMPRODUCT(_xlfn.CHOOSECOLS(contribution,$B57),_xlfn.CHOOSECOLS(workingdays,COUNTA($G56:Z56)))</f>
        <v>0</v>
      </c>
      <c r="AA57" s="95">
        <f>SUMPRODUCT(_xlfn.CHOOSECOLS(contribution,$B57),_xlfn.CHOOSECOLS(workingdays,COUNTA($G56:AA56)))</f>
        <v>0</v>
      </c>
      <c r="AB57" s="95">
        <f>SUMPRODUCT(_xlfn.CHOOSECOLS(contribution,$B57),_xlfn.CHOOSECOLS(workingdays,COUNTA($G56:AB56)))</f>
        <v>0</v>
      </c>
      <c r="AC57" s="96">
        <f>SUMPRODUCT(_xlfn.CHOOSECOLS(contribution,$B57),_xlfn.CHOOSECOLS(workingdays,COUNTA($G56:AC56)))</f>
        <v>0</v>
      </c>
    </row>
    <row r="58" spans="2:29" x14ac:dyDescent="0.3">
      <c r="B58" s="9">
        <f t="shared" si="6"/>
        <v>9</v>
      </c>
      <c r="C58" s="29"/>
      <c r="D58" s="139"/>
      <c r="E58" s="142"/>
      <c r="F58" s="65">
        <f t="shared" si="5"/>
        <v>0</v>
      </c>
      <c r="G58" s="95">
        <f>SUMPRODUCT(_xlfn.CHOOSECOLS(contribution,$B58),_xlfn.CHOOSECOLS(workingdays,COUNTA($G57:G57)))</f>
        <v>0</v>
      </c>
      <c r="H58" s="95">
        <f>SUMPRODUCT(_xlfn.CHOOSECOLS(contribution,$B58),_xlfn.CHOOSECOLS(workingdays,COUNTA($G57:H57)))</f>
        <v>0</v>
      </c>
      <c r="I58" s="95">
        <f>SUMPRODUCT(_xlfn.CHOOSECOLS(contribution,$B58),_xlfn.CHOOSECOLS(workingdays,COUNTA($G57:I57)))</f>
        <v>0</v>
      </c>
      <c r="J58" s="95">
        <f>SUMPRODUCT(_xlfn.CHOOSECOLS(contribution,$B58),_xlfn.CHOOSECOLS(workingdays,COUNTA($G57:J57)))</f>
        <v>0</v>
      </c>
      <c r="K58" s="95">
        <f>SUMPRODUCT(_xlfn.CHOOSECOLS(contribution,$B58),_xlfn.CHOOSECOLS(workingdays,COUNTA($G57:K57)))</f>
        <v>0</v>
      </c>
      <c r="L58" s="95">
        <f>SUMPRODUCT(_xlfn.CHOOSECOLS(contribution,$B58),_xlfn.CHOOSECOLS(workingdays,COUNTA($G57:L57)))</f>
        <v>0</v>
      </c>
      <c r="M58" s="95">
        <f>SUMPRODUCT(_xlfn.CHOOSECOLS(contribution,$B58),_xlfn.CHOOSECOLS(workingdays,COUNTA($G57:M57)))</f>
        <v>0</v>
      </c>
      <c r="N58" s="95">
        <f>SUMPRODUCT(_xlfn.CHOOSECOLS(contribution,$B58),_xlfn.CHOOSECOLS(workingdays,COUNTA($G57:N57)))</f>
        <v>0</v>
      </c>
      <c r="O58" s="95">
        <f>SUMPRODUCT(_xlfn.CHOOSECOLS(contribution,$B58),_xlfn.CHOOSECOLS(workingdays,COUNTA($G57:O57)))</f>
        <v>0</v>
      </c>
      <c r="P58" s="95">
        <f>SUMPRODUCT(_xlfn.CHOOSECOLS(contribution,$B58),_xlfn.CHOOSECOLS(workingdays,COUNTA($G57:P57)))</f>
        <v>0</v>
      </c>
      <c r="Q58" s="95">
        <f>SUMPRODUCT(_xlfn.CHOOSECOLS(contribution,$B58),_xlfn.CHOOSECOLS(workingdays,COUNTA($G57:Q57)))</f>
        <v>0</v>
      </c>
      <c r="R58" s="95">
        <f>SUMPRODUCT(_xlfn.CHOOSECOLS(contribution,$B58),_xlfn.CHOOSECOLS(workingdays,COUNTA($G57:R57)))</f>
        <v>0</v>
      </c>
      <c r="S58" s="95">
        <f>SUMPRODUCT(_xlfn.CHOOSECOLS(contribution,$B58),_xlfn.CHOOSECOLS(workingdays,COUNTA($G57:S57)))</f>
        <v>0</v>
      </c>
      <c r="T58" s="95">
        <f>SUMPRODUCT(_xlfn.CHOOSECOLS(contribution,$B58),_xlfn.CHOOSECOLS(workingdays,COUNTA($G57:T57)))</f>
        <v>0</v>
      </c>
      <c r="U58" s="95">
        <f>SUMPRODUCT(_xlfn.CHOOSECOLS(contribution,$B58),_xlfn.CHOOSECOLS(workingdays,COUNTA($G57:U57)))</f>
        <v>0</v>
      </c>
      <c r="V58" s="95">
        <f>SUMPRODUCT(_xlfn.CHOOSECOLS(contribution,$B58),_xlfn.CHOOSECOLS(workingdays,COUNTA($G57:V57)))</f>
        <v>0</v>
      </c>
      <c r="W58" s="95">
        <f>SUMPRODUCT(_xlfn.CHOOSECOLS(contribution,$B58),_xlfn.CHOOSECOLS(workingdays,COUNTA($G57:W57)))</f>
        <v>0</v>
      </c>
      <c r="X58" s="95">
        <f>SUMPRODUCT(_xlfn.CHOOSECOLS(contribution,$B58),_xlfn.CHOOSECOLS(workingdays,COUNTA($G57:X57)))</f>
        <v>0</v>
      </c>
      <c r="Y58" s="95">
        <f>SUMPRODUCT(_xlfn.CHOOSECOLS(contribution,$B58),_xlfn.CHOOSECOLS(workingdays,COUNTA($G57:Y57)))</f>
        <v>0</v>
      </c>
      <c r="Z58" s="95">
        <f>SUMPRODUCT(_xlfn.CHOOSECOLS(contribution,$B58),_xlfn.CHOOSECOLS(workingdays,COUNTA($G57:Z57)))</f>
        <v>0</v>
      </c>
      <c r="AA58" s="95">
        <f>SUMPRODUCT(_xlfn.CHOOSECOLS(contribution,$B58),_xlfn.CHOOSECOLS(workingdays,COUNTA($G57:AA57)))</f>
        <v>0</v>
      </c>
      <c r="AB58" s="95">
        <f>SUMPRODUCT(_xlfn.CHOOSECOLS(contribution,$B58),_xlfn.CHOOSECOLS(workingdays,COUNTA($G57:AB57)))</f>
        <v>0</v>
      </c>
      <c r="AC58" s="96">
        <f>SUMPRODUCT(_xlfn.CHOOSECOLS(contribution,$B58),_xlfn.CHOOSECOLS(workingdays,COUNTA($G57:AC57)))</f>
        <v>0</v>
      </c>
    </row>
    <row r="59" spans="2:29" x14ac:dyDescent="0.3">
      <c r="B59" s="21">
        <f t="shared" si="6"/>
        <v>10</v>
      </c>
      <c r="C59" s="31"/>
      <c r="D59" s="140"/>
      <c r="E59" s="143"/>
      <c r="F59" s="86">
        <f t="shared" si="5"/>
        <v>0</v>
      </c>
      <c r="G59" s="97">
        <f>SUMPRODUCT(_xlfn.CHOOSECOLS(contribution,$B59),_xlfn.CHOOSECOLS(workingdays,COUNTA($G58:G58)))</f>
        <v>0</v>
      </c>
      <c r="H59" s="97">
        <f>SUMPRODUCT(_xlfn.CHOOSECOLS(contribution,$B59),_xlfn.CHOOSECOLS(workingdays,COUNTA($G58:H58)))</f>
        <v>0</v>
      </c>
      <c r="I59" s="97">
        <f>SUMPRODUCT(_xlfn.CHOOSECOLS(contribution,$B59),_xlfn.CHOOSECOLS(workingdays,COUNTA($G58:I58)))</f>
        <v>0</v>
      </c>
      <c r="J59" s="97">
        <f>SUMPRODUCT(_xlfn.CHOOSECOLS(contribution,$B59),_xlfn.CHOOSECOLS(workingdays,COUNTA($G58:J58)))</f>
        <v>0</v>
      </c>
      <c r="K59" s="97">
        <f>SUMPRODUCT(_xlfn.CHOOSECOLS(contribution,$B59),_xlfn.CHOOSECOLS(workingdays,COUNTA($G58:K58)))</f>
        <v>0</v>
      </c>
      <c r="L59" s="97">
        <f>SUMPRODUCT(_xlfn.CHOOSECOLS(contribution,$B59),_xlfn.CHOOSECOLS(workingdays,COUNTA($G58:L58)))</f>
        <v>0</v>
      </c>
      <c r="M59" s="97">
        <f>SUMPRODUCT(_xlfn.CHOOSECOLS(contribution,$B59),_xlfn.CHOOSECOLS(workingdays,COUNTA($G58:M58)))</f>
        <v>0</v>
      </c>
      <c r="N59" s="97">
        <f>SUMPRODUCT(_xlfn.CHOOSECOLS(contribution,$B59),_xlfn.CHOOSECOLS(workingdays,COUNTA($G58:N58)))</f>
        <v>0</v>
      </c>
      <c r="O59" s="97">
        <f>SUMPRODUCT(_xlfn.CHOOSECOLS(contribution,$B59),_xlfn.CHOOSECOLS(workingdays,COUNTA($G58:O58)))</f>
        <v>0</v>
      </c>
      <c r="P59" s="97">
        <f>SUMPRODUCT(_xlfn.CHOOSECOLS(contribution,$B59),_xlfn.CHOOSECOLS(workingdays,COUNTA($G58:P58)))</f>
        <v>0</v>
      </c>
      <c r="Q59" s="97">
        <f>SUMPRODUCT(_xlfn.CHOOSECOLS(contribution,$B59),_xlfn.CHOOSECOLS(workingdays,COUNTA($G58:Q58)))</f>
        <v>0</v>
      </c>
      <c r="R59" s="97">
        <f>SUMPRODUCT(_xlfn.CHOOSECOLS(contribution,$B59),_xlfn.CHOOSECOLS(workingdays,COUNTA($G58:R58)))</f>
        <v>0</v>
      </c>
      <c r="S59" s="97">
        <f>SUMPRODUCT(_xlfn.CHOOSECOLS(contribution,$B59),_xlfn.CHOOSECOLS(workingdays,COUNTA($G58:S58)))</f>
        <v>0</v>
      </c>
      <c r="T59" s="97">
        <f>SUMPRODUCT(_xlfn.CHOOSECOLS(contribution,$B59),_xlfn.CHOOSECOLS(workingdays,COUNTA($G58:T58)))</f>
        <v>0</v>
      </c>
      <c r="U59" s="97">
        <f>SUMPRODUCT(_xlfn.CHOOSECOLS(contribution,$B59),_xlfn.CHOOSECOLS(workingdays,COUNTA($G58:U58)))</f>
        <v>0</v>
      </c>
      <c r="V59" s="97">
        <f>SUMPRODUCT(_xlfn.CHOOSECOLS(contribution,$B59),_xlfn.CHOOSECOLS(workingdays,COUNTA($G58:V58)))</f>
        <v>0</v>
      </c>
      <c r="W59" s="97">
        <f>SUMPRODUCT(_xlfn.CHOOSECOLS(contribution,$B59),_xlfn.CHOOSECOLS(workingdays,COUNTA($G58:W58)))</f>
        <v>0</v>
      </c>
      <c r="X59" s="97">
        <f>SUMPRODUCT(_xlfn.CHOOSECOLS(contribution,$B59),_xlfn.CHOOSECOLS(workingdays,COUNTA($G58:X58)))</f>
        <v>0</v>
      </c>
      <c r="Y59" s="97">
        <f>SUMPRODUCT(_xlfn.CHOOSECOLS(contribution,$B59),_xlfn.CHOOSECOLS(workingdays,COUNTA($G58:Y58)))</f>
        <v>0</v>
      </c>
      <c r="Z59" s="97">
        <f>SUMPRODUCT(_xlfn.CHOOSECOLS(contribution,$B59),_xlfn.CHOOSECOLS(workingdays,COUNTA($G58:Z58)))</f>
        <v>0</v>
      </c>
      <c r="AA59" s="97">
        <f>SUMPRODUCT(_xlfn.CHOOSECOLS(contribution,$B59),_xlfn.CHOOSECOLS(workingdays,COUNTA($G58:AA58)))</f>
        <v>0</v>
      </c>
      <c r="AB59" s="97">
        <f>SUMPRODUCT(_xlfn.CHOOSECOLS(contribution,$B59),_xlfn.CHOOSECOLS(workingdays,COUNTA($G58:AB58)))</f>
        <v>0</v>
      </c>
      <c r="AC59" s="98">
        <f>SUMPRODUCT(_xlfn.CHOOSECOLS(contribution,$B59),_xlfn.CHOOSECOLS(workingdays,COUNTA($G58:AC58)))</f>
        <v>0</v>
      </c>
    </row>
    <row r="60" spans="2:29" ht="13.5" thickBot="1" x14ac:dyDescent="0.35">
      <c r="B60" s="170" t="s">
        <v>113</v>
      </c>
      <c r="C60" s="171"/>
      <c r="D60" s="171"/>
      <c r="E60" s="172"/>
      <c r="F60" s="116">
        <f>SUM(F50:F59)</f>
        <v>151.22500000000002</v>
      </c>
      <c r="G60" s="117">
        <f>SUM(G50:G59)</f>
        <v>21.114285714285717</v>
      </c>
      <c r="H60" s="117">
        <f t="shared" ref="H60:Q60" si="7">SUM(H50:H59)</f>
        <v>21.285714285714285</v>
      </c>
      <c r="I60" s="117">
        <f t="shared" si="7"/>
        <v>22.599999999999998</v>
      </c>
      <c r="J60" s="117">
        <f t="shared" si="7"/>
        <v>22.799999999999997</v>
      </c>
      <c r="K60" s="117">
        <f t="shared" si="7"/>
        <v>28.774999999999999</v>
      </c>
      <c r="L60" s="117">
        <f t="shared" si="7"/>
        <v>10.850000000000001</v>
      </c>
      <c r="M60" s="117">
        <f t="shared" si="7"/>
        <v>11.7</v>
      </c>
      <c r="N60" s="117">
        <f t="shared" si="7"/>
        <v>12.100000000000001</v>
      </c>
      <c r="O60" s="117">
        <f t="shared" si="7"/>
        <v>0</v>
      </c>
      <c r="P60" s="117">
        <f t="shared" si="7"/>
        <v>0</v>
      </c>
      <c r="Q60" s="117">
        <f t="shared" si="7"/>
        <v>0</v>
      </c>
      <c r="R60" s="117">
        <f t="shared" ref="R60:AC60" si="8">SUM(R50:R59)</f>
        <v>0</v>
      </c>
      <c r="S60" s="117">
        <f t="shared" si="8"/>
        <v>0</v>
      </c>
      <c r="T60" s="117">
        <f t="shared" si="8"/>
        <v>0</v>
      </c>
      <c r="U60" s="117">
        <f t="shared" si="8"/>
        <v>0</v>
      </c>
      <c r="V60" s="117">
        <f t="shared" si="8"/>
        <v>0</v>
      </c>
      <c r="W60" s="117">
        <f t="shared" si="8"/>
        <v>0</v>
      </c>
      <c r="X60" s="117">
        <f t="shared" si="8"/>
        <v>0</v>
      </c>
      <c r="Y60" s="117">
        <f t="shared" si="8"/>
        <v>0</v>
      </c>
      <c r="Z60" s="117">
        <f t="shared" si="8"/>
        <v>0</v>
      </c>
      <c r="AA60" s="117">
        <f t="shared" si="8"/>
        <v>0</v>
      </c>
      <c r="AB60" s="117">
        <f t="shared" si="8"/>
        <v>0</v>
      </c>
      <c r="AC60" s="118">
        <f t="shared" si="8"/>
        <v>0</v>
      </c>
    </row>
    <row r="61" spans="2:29" ht="13.5" thickTop="1" x14ac:dyDescent="0.3">
      <c r="B61" s="46"/>
      <c r="C61" s="46"/>
      <c r="D61" s="46"/>
      <c r="E61" s="46"/>
      <c r="F61" s="46"/>
      <c r="G61" s="87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</row>
    <row r="62" spans="2:29" x14ac:dyDescent="0.3">
      <c r="B62" s="150" t="s">
        <v>158</v>
      </c>
      <c r="C62" s="150"/>
      <c r="D62" s="150"/>
      <c r="G62" s="149"/>
    </row>
    <row r="63" spans="2:29" ht="15" customHeight="1" x14ac:dyDescent="0.3">
      <c r="B63" s="88" t="s">
        <v>167</v>
      </c>
      <c r="C63" s="89" t="s">
        <v>37</v>
      </c>
      <c r="D63" s="151" t="s">
        <v>168</v>
      </c>
      <c r="E63" s="144"/>
      <c r="F63" s="144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</row>
    <row r="64" spans="2:29" ht="14" customHeight="1" x14ac:dyDescent="0.3">
      <c r="B64" s="93" t="s">
        <v>160</v>
      </c>
      <c r="C64" s="80" t="s">
        <v>169</v>
      </c>
      <c r="D64" s="152" cm="1">
        <f t="array" ref="D64">SUM(_xlfn._xlws.FILTER(contribution,effort="A")*_xlfn._xlws.FILTER(duration,effort="A"))</f>
        <v>14</v>
      </c>
      <c r="E64" s="146"/>
      <c r="F64" s="146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</row>
    <row r="65" spans="2:29" ht="13" customHeight="1" x14ac:dyDescent="0.3">
      <c r="B65" s="9" t="s">
        <v>162</v>
      </c>
      <c r="C65" s="29" t="s">
        <v>170</v>
      </c>
      <c r="D65" s="153" cm="1">
        <f t="array" ref="D65">SUM(MMULT(TRANSPOSE(_xlfn._xlws.FILTER(_xlfn.CHOOSECOLS(contribution,_xlfn._xlws.FILTER(members,EffortType="Implement")),effort="B")),_xlfn._xlws.FILTER(workingdays,effort="B")))</f>
        <v>89.600000000000009</v>
      </c>
      <c r="E65" s="148"/>
      <c r="F65" s="148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</row>
    <row r="66" spans="2:29" ht="13" customHeight="1" x14ac:dyDescent="0.3">
      <c r="B66" s="9" t="s">
        <v>165</v>
      </c>
      <c r="C66" s="29" t="s">
        <v>173</v>
      </c>
      <c r="D66" s="153" cm="1">
        <f t="array" ref="D66">SUM(MMULT(TRANSPOSE(_xlfn._xlws.FILTER(_xlfn.CHOOSECOLS(contribution,_xlfn._xlws.FILTER(members,EffortType="Manage")),effort&lt;&gt;"A")),_xlfn._xlws.FILTER(workingdays,effort&lt;&gt;"A")))</f>
        <v>45.624999999999993</v>
      </c>
      <c r="E66" s="148"/>
      <c r="F66" s="148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</row>
    <row r="67" spans="2:29" x14ac:dyDescent="0.3">
      <c r="B67" s="9" t="s">
        <v>161</v>
      </c>
      <c r="C67" s="29" t="s">
        <v>172</v>
      </c>
      <c r="D67" s="153" cm="1">
        <f t="array" ref="D67">SUM(MMULT(TRANSPOSE(_xlfn._xlws.FILTER(_xlfn.CHOOSECOLS(contribution,_xlfn._xlws.FILTER(members,EffortType="Implement")),effort="D")),_xlfn._xlws.FILTER(workingdays,effort="D")))</f>
        <v>2</v>
      </c>
      <c r="E67" s="148"/>
      <c r="F67" s="148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</row>
    <row r="68" spans="2:29" x14ac:dyDescent="0.3">
      <c r="B68" s="15" t="s">
        <v>166</v>
      </c>
      <c r="C68" s="30" t="s">
        <v>171</v>
      </c>
      <c r="D68" s="154">
        <v>0</v>
      </c>
      <c r="E68" s="148"/>
      <c r="F68" s="148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</row>
    <row r="69" spans="2:29" ht="14" customHeight="1" x14ac:dyDescent="0.3">
      <c r="B69" s="173" t="s">
        <v>175</v>
      </c>
      <c r="C69" s="174"/>
      <c r="D69" s="155">
        <f>SUM(D64:D68)</f>
        <v>151.22499999999999</v>
      </c>
      <c r="E69" s="148"/>
      <c r="F69" s="148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</row>
    <row r="70" spans="2:29" ht="14" customHeight="1" x14ac:dyDescent="0.3">
      <c r="B70" s="175" t="s">
        <v>176</v>
      </c>
      <c r="C70" s="176"/>
      <c r="D70" s="156">
        <f>SUM(D64:D68)</f>
        <v>151.22499999999999</v>
      </c>
      <c r="E70" s="148"/>
      <c r="F70" s="148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</row>
  </sheetData>
  <mergeCells count="8">
    <mergeCell ref="E10:E11"/>
    <mergeCell ref="B60:E60"/>
    <mergeCell ref="F10:F11"/>
    <mergeCell ref="B69:C69"/>
    <mergeCell ref="B70:C70"/>
    <mergeCell ref="B10:B11"/>
    <mergeCell ref="C10:C11"/>
    <mergeCell ref="D10:D11"/>
  </mergeCells>
  <dataValidations count="4">
    <dataValidation allowBlank="1" showErrorMessage="1" sqref="C5:C8 D12:E47 D50:D59 D64:D70" xr:uid="{C85F75C4-F493-45F2-A033-A325E5418353}"/>
    <dataValidation type="whole" allowBlank="1" showErrorMessage="1" sqref="F50:F59 F12:F47 E64:F70" xr:uid="{844AA0B6-C8DC-4737-BC90-8AFB997FF2E3}">
      <formula1>0</formula1>
      <formula2>1000</formula2>
    </dataValidation>
    <dataValidation type="date" allowBlank="1" showErrorMessage="1" sqref="D50 E12:E47 D64" xr:uid="{DE7FEAA6-06E0-4AD1-BBEA-69CCFB70BB2B}">
      <formula1>45292</formula1>
      <formula2>54789</formula2>
    </dataValidation>
    <dataValidation type="list" allowBlank="1" showInputMessage="1" showErrorMessage="1" sqref="E50:E59" xr:uid="{2D731212-BC8E-4C82-816E-77BBF148C466}">
      <formula1>"Manage,Implement"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PublicHolidays</vt:lpstr>
      <vt:lpstr>WorkSchedule</vt:lpstr>
      <vt:lpstr>MandaySchedule</vt:lpstr>
      <vt:lpstr>Summary</vt:lpstr>
      <vt:lpstr>contribution</vt:lpstr>
      <vt:lpstr>duration</vt:lpstr>
      <vt:lpstr>effort</vt:lpstr>
      <vt:lpstr>EffortType</vt:lpstr>
      <vt:lpstr>holidays</vt:lpstr>
      <vt:lpstr>members</vt:lpstr>
      <vt:lpstr>workingdays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2025-06-14T02:52:05Z</dcterms:modified>
</cp:coreProperties>
</file>