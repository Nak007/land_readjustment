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"/>
    </mc:Choice>
  </mc:AlternateContent>
  <xr:revisionPtr revIDLastSave="1019" documentId="13_ncr:1_{7A903167-F083-48F0-97E2-5E9123C979B6}" xr6:coauthVersionLast="47" xr6:coauthVersionMax="47" xr10:uidLastSave="{F67D7B2D-46C6-4EBB-8DA4-1D4B96850357}"/>
  <bookViews>
    <workbookView xWindow="-38520" yWindow="795" windowWidth="38640" windowHeight="21120" firstSheet="1" activeTab="1" xr2:uid="{3AAFA5A8-BE87-48E4-8D01-8808AB85EB7F}"/>
  </bookViews>
  <sheets>
    <sheet name="PublicHolidays" sheetId="1" state="hidden" r:id="rId1"/>
    <sheet name="WorkSchedule" sheetId="20" r:id="rId2"/>
    <sheet name="MandaySchedule" sheetId="23" r:id="rId3"/>
  </sheets>
  <functionGroups builtInGroupCount="19"/>
  <definedNames>
    <definedName name="_xleta.AND" hidden="1" xlm="1">#NAME?</definedName>
    <definedName name="_xleta.COLUMN" hidden="1" xlm="1">#NAME?</definedName>
    <definedName name="_xleta.FIND" hidden="1" xlm="1">#NAME?</definedName>
    <definedName name="_xleta.MIN" hidden="1" xlm="1">#NAME?</definedName>
    <definedName name="_xleta.ROW" hidden="1" xlm="1">#NAME?</definedName>
    <definedName name="_xleta.WORKDAY" hidden="1" xlm="1">#NAME?</definedName>
    <definedName name="contribution">WorkSchedule!$T$12:$AC$56</definedName>
    <definedName name="holidays">PublicHolidays!$B$2:$B$74</definedName>
    <definedName name="workingdays">MandaySchedule!$G$12:$AC$56</definedName>
  </definedNames>
  <calcPr calcId="191029"/>
  <extLst>
    <ext xmlns:x14="http://schemas.microsoft.com/office/spreadsheetml/2009/9/main" uri="{8193D73E-4604-4355-AFF4-8A2333D13BE4}">
      <x14:definedNames>
        <x14:definedName name="AutoProgress">
          <x14:argumentDescriptions count="4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  <x14:argumentDescription index="3">is an optional serial date number that represents the  reference date (default=TODAY())</x14:argumentDescription>
          </x14:argumentDescriptions>
        </x14:definedName>
        <x14:definedName name="CompoundInterest">
          <x14:argumentDescriptions count="3">
            <x14:argumentDescription index="0">Principal: the starting amount of money</x14:argumentDescription>
            <x14:argumentDescription index="1">Rate: the annual interest rate (e.g., 0.05 for 5%)</x14:argumentDescription>
            <x14:argumentDescription index="2">Periods: number of periods to compound</x14:argumentDescription>
          </x14:argumentDescriptions>
        </x14:definedName>
        <x14:definedName name="CountWorkday">
          <x14:argumentDescriptions count="3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FinishDate">
          <x14:argumentDescriptions count="3">
            <x14:argumentDescription index="0">is a serial date number that represents the start date</x14:argumentDescription>
            <x14:argumentDescription index="1">is a serial date number that represents the start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GetUsedRangeDown">
          <x14:argumentDescriptions count="2">
            <x14:argumentDescription index="0">is a row index</x14:argumentDescription>
            <x14:argumentDescription index="1">is a column index</x14:argumentDescription>
          </x14:argumentDescriptions>
        </x14:definedName>
        <x14:definedName name="startdate">
          <x14:argumentDescriptions count="3">
            <x14:argumentDescription index="0">is a serial date number that represents the start date</x14:argumentDescription>
            <x14:argumentDescription index="1">is an optional array of one or more serial date numbers to  exclude from the working calendar, such as state and  federal holidays and floating holidays</x14:argumentDescription>
            <x14:argumentDescription index="2">is an optional maximum number of calendar days or search  limit (default=365)</x14:argumentDescription>
          </x14:argumentDescriptions>
        </x14:definedName>
        <x14:definedName name="WeightedProgress">
          <x14:argumentDescriptions count="2">
            <x14:argumentDescription index="0">is a range containing percent progress of respective tasks</x14:argumentDescription>
            <x14:argumentDescription index="1">is a range containing number of working days of respective tasks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3" i="20" l="1"/>
  <c r="T42" i="20"/>
  <c r="T41" i="20"/>
  <c r="B62" i="23"/>
  <c r="B63" i="23" s="1"/>
  <c r="B64" i="23" s="1"/>
  <c r="B65" i="23" s="1"/>
  <c r="B66" i="23" s="1"/>
  <c r="B67" i="23" s="1"/>
  <c r="B68" i="23" s="1"/>
  <c r="F12" i="23"/>
  <c r="F56" i="23"/>
  <c r="F55" i="23"/>
  <c r="F54" i="23"/>
  <c r="F53" i="23"/>
  <c r="F52" i="23"/>
  <c r="F51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B13" i="23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C5" i="23"/>
  <c r="T54" i="20"/>
  <c r="T52" i="20"/>
  <c r="T46" i="20"/>
  <c r="T44" i="20"/>
  <c r="T43" i="20"/>
  <c r="T38" i="20"/>
  <c r="T35" i="20"/>
  <c r="T33" i="20"/>
  <c r="T32" i="20"/>
  <c r="T27" i="20"/>
  <c r="B27" i="23" l="1"/>
  <c r="B28" i="23" s="1"/>
  <c r="B29" i="23" s="1"/>
  <c r="B30" i="23" s="1"/>
  <c r="B31" i="23" s="1"/>
  <c r="C5" i="20"/>
  <c r="S12" i="20"/>
  <c r="H12" i="20"/>
  <c r="B13" i="20"/>
  <c r="B14" i="20" s="1"/>
  <c r="B15" i="20" s="1"/>
  <c r="B16" i="20" s="1"/>
  <c r="B17" i="20" s="1"/>
  <c r="B18" i="20" s="1"/>
  <c r="B32" i="23" l="1"/>
  <c r="B33" i="23" s="1"/>
  <c r="B34" i="23" s="1"/>
  <c r="B19" i="20"/>
  <c r="B20" i="20" s="1"/>
  <c r="B21" i="20" s="1"/>
  <c r="B22" i="20" s="1"/>
  <c r="B23" i="20" s="1"/>
  <c r="B24" i="20" s="1"/>
  <c r="B25" i="20" s="1"/>
  <c r="I53" i="20"/>
  <c r="I52" i="20"/>
  <c r="D46" i="20"/>
  <c r="D40" i="20"/>
  <c r="D35" i="20"/>
  <c r="H13" i="20"/>
  <c r="H14" i="20" s="1"/>
  <c r="H15" i="20" s="1"/>
  <c r="H16" i="20" s="1"/>
  <c r="H17" i="20" s="1"/>
  <c r="H18" i="20" s="1"/>
  <c r="H19" i="20" s="1"/>
  <c r="H20" i="20" s="1"/>
  <c r="H21" i="20" s="1"/>
  <c r="H22" i="20" s="1"/>
  <c r="H23" i="20" s="1"/>
  <c r="H24" i="20" s="1"/>
  <c r="H25" i="20" s="1"/>
  <c r="I50" i="20"/>
  <c r="I49" i="20"/>
  <c r="I48" i="20"/>
  <c r="I47" i="20"/>
  <c r="I46" i="20"/>
  <c r="I44" i="20"/>
  <c r="I43" i="20"/>
  <c r="I42" i="20"/>
  <c r="I41" i="20"/>
  <c r="I40" i="20"/>
  <c r="I38" i="20"/>
  <c r="I37" i="20"/>
  <c r="I36" i="20"/>
  <c r="I35" i="20"/>
  <c r="I33" i="20"/>
  <c r="I32" i="20"/>
  <c r="I30" i="20"/>
  <c r="I29" i="20"/>
  <c r="I28" i="20"/>
  <c r="I27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J35" i="20" a="1"/>
  <c r="J46" i="20" a="1"/>
  <c r="J47" i="20" a="1"/>
  <c r="J37" i="20" a="1"/>
  <c r="J16" i="20" a="1"/>
  <c r="J42" i="20" a="1"/>
  <c r="J23" i="20" a="1"/>
  <c r="J40" i="20" a="1"/>
  <c r="J49" i="20" a="1"/>
  <c r="J15" i="20" a="1"/>
  <c r="J19" i="20" a="1"/>
  <c r="J25" i="20" a="1"/>
  <c r="J22" i="20" a="1"/>
  <c r="J50" i="20" a="1"/>
  <c r="J18" i="20" a="1"/>
  <c r="J30" i="20" a="1"/>
  <c r="J20" i="20" a="1"/>
  <c r="J32" i="20" a="1"/>
  <c r="J41" i="20" a="1"/>
  <c r="J29" i="20" a="1"/>
  <c r="J14" i="20" a="1"/>
  <c r="J33" i="20" a="1"/>
  <c r="J52" i="20" a="1"/>
  <c r="J27" i="20" a="1"/>
  <c r="J36" i="20" a="1"/>
  <c r="J17" i="20" a="1"/>
  <c r="J48" i="20" a="1"/>
  <c r="J38" i="20" a="1"/>
  <c r="J53" i="20" a="1"/>
  <c r="J24" i="20" a="1"/>
  <c r="J21" i="20" a="1"/>
  <c r="J44" i="20" a="1"/>
  <c r="J28" i="20" a="1"/>
  <c r="J43" i="20" a="1"/>
  <c r="B35" i="23" l="1"/>
  <c r="B36" i="23" s="1"/>
  <c r="B37" i="23" s="1"/>
  <c r="B38" i="23" s="1"/>
  <c r="B39" i="23" s="1"/>
  <c r="I45" i="20"/>
  <c r="F45" i="20" s="1"/>
  <c r="J53" i="20"/>
  <c r="I54" i="20" s="1"/>
  <c r="J52" i="20"/>
  <c r="I39" i="20"/>
  <c r="F39" i="20" s="1"/>
  <c r="I31" i="20"/>
  <c r="F31" i="20" s="1"/>
  <c r="I26" i="20"/>
  <c r="F26" i="20" s="1"/>
  <c r="I13" i="20"/>
  <c r="I34" i="20"/>
  <c r="F34" i="20" s="1"/>
  <c r="B26" i="20"/>
  <c r="J35" i="20"/>
  <c r="J36" i="20"/>
  <c r="J37" i="20"/>
  <c r="J38" i="20"/>
  <c r="J40" i="20"/>
  <c r="J41" i="20"/>
  <c r="J42" i="20"/>
  <c r="J43" i="20"/>
  <c r="J44" i="20"/>
  <c r="J46" i="20"/>
  <c r="J47" i="20"/>
  <c r="J48" i="20"/>
  <c r="J49" i="20"/>
  <c r="J50" i="20"/>
  <c r="J14" i="20"/>
  <c r="J22" i="20"/>
  <c r="J23" i="20"/>
  <c r="J24" i="20"/>
  <c r="J25" i="20"/>
  <c r="J27" i="20"/>
  <c r="J28" i="20"/>
  <c r="J29" i="20"/>
  <c r="J30" i="20"/>
  <c r="J32" i="20"/>
  <c r="J33" i="20"/>
  <c r="J21" i="20"/>
  <c r="J18" i="20"/>
  <c r="J19" i="20"/>
  <c r="J20" i="20"/>
  <c r="J15" i="20"/>
  <c r="J16" i="20"/>
  <c r="J17" i="20"/>
  <c r="L16" i="20" a="1"/>
  <c r="J54" i="20" a="1"/>
  <c r="B40" i="23" l="1"/>
  <c r="B41" i="23" s="1"/>
  <c r="B42" i="23" s="1"/>
  <c r="B43" i="23" s="1"/>
  <c r="B44" i="23" s="1"/>
  <c r="B45" i="23" s="1"/>
  <c r="L16" i="20"/>
  <c r="M16" i="20" s="1"/>
  <c r="J54" i="20"/>
  <c r="K52" i="20"/>
  <c r="K53" i="20"/>
  <c r="J45" i="20"/>
  <c r="F13" i="20"/>
  <c r="J31" i="20"/>
  <c r="J39" i="20"/>
  <c r="J34" i="20"/>
  <c r="J26" i="20"/>
  <c r="G26" i="20" s="1"/>
  <c r="H26" i="20"/>
  <c r="H27" i="20" s="1"/>
  <c r="H28" i="20" s="1"/>
  <c r="H29" i="20" s="1"/>
  <c r="H30" i="20" s="1"/>
  <c r="B27" i="20"/>
  <c r="J13" i="20"/>
  <c r="G13" i="20" s="1"/>
  <c r="K15" i="20"/>
  <c r="K20" i="20"/>
  <c r="K18" i="20"/>
  <c r="K25" i="20"/>
  <c r="K48" i="20"/>
  <c r="K38" i="20"/>
  <c r="K30" i="20"/>
  <c r="K43" i="20"/>
  <c r="K29" i="20"/>
  <c r="K42" i="20"/>
  <c r="K21" i="20"/>
  <c r="K24" i="20"/>
  <c r="K47" i="20"/>
  <c r="K37" i="20"/>
  <c r="K49" i="20"/>
  <c r="K33" i="20"/>
  <c r="K23" i="20"/>
  <c r="K46" i="20"/>
  <c r="K36" i="20"/>
  <c r="K16" i="20"/>
  <c r="K14" i="20"/>
  <c r="K28" i="20"/>
  <c r="K50" i="20"/>
  <c r="K41" i="20"/>
  <c r="K19" i="20"/>
  <c r="K27" i="20"/>
  <c r="K40" i="20"/>
  <c r="K17" i="20"/>
  <c r="K32" i="20"/>
  <c r="K22" i="20"/>
  <c r="K44" i="20"/>
  <c r="K35" i="20"/>
  <c r="K31" i="20" l="1"/>
  <c r="G31" i="20"/>
  <c r="K45" i="20"/>
  <c r="G45" i="20"/>
  <c r="K34" i="20"/>
  <c r="G34" i="20"/>
  <c r="K39" i="20"/>
  <c r="G39" i="20"/>
  <c r="B46" i="23"/>
  <c r="B47" i="23" s="1"/>
  <c r="B48" i="23" s="1"/>
  <c r="B49" i="23" s="1"/>
  <c r="B50" i="23" s="1"/>
  <c r="B51" i="23" s="1"/>
  <c r="B28" i="20"/>
  <c r="K54" i="20"/>
  <c r="F55" i="20"/>
  <c r="I55" i="20" s="1"/>
  <c r="K26" i="20"/>
  <c r="J55" i="20" a="1"/>
  <c r="B52" i="23" l="1"/>
  <c r="B53" i="23" s="1"/>
  <c r="B54" i="23" s="1"/>
  <c r="B55" i="23" s="1"/>
  <c r="B56" i="23" s="1"/>
  <c r="B29" i="20"/>
  <c r="J55" i="20"/>
  <c r="F56" i="20" s="1"/>
  <c r="I56" i="20" s="1"/>
  <c r="I51" i="20" s="1"/>
  <c r="I12" i="20" s="1"/>
  <c r="F12" i="20" s="1"/>
  <c r="J56" i="20" a="1"/>
  <c r="B30" i="20" l="1"/>
  <c r="F51" i="20"/>
  <c r="J56" i="20"/>
  <c r="J51" i="20" s="1"/>
  <c r="G51" i="20" s="1"/>
  <c r="K55" i="20"/>
  <c r="C7" i="23" l="1"/>
  <c r="C6" i="23"/>
  <c r="J12" i="20"/>
  <c r="G12" i="20" s="1"/>
  <c r="B31" i="20"/>
  <c r="K56" i="20"/>
  <c r="K51" i="20"/>
  <c r="G10" i="23" l="1"/>
  <c r="H10" i="23" s="1"/>
  <c r="H11" i="23" s="1"/>
  <c r="G58" i="23"/>
  <c r="H58" i="23" s="1"/>
  <c r="I58" i="23" s="1"/>
  <c r="J58" i="23" s="1"/>
  <c r="K58" i="23" s="1"/>
  <c r="L58" i="23" s="1"/>
  <c r="M58" i="23" s="1"/>
  <c r="N58" i="23" s="1"/>
  <c r="O58" i="23" s="1"/>
  <c r="P58" i="23" s="1"/>
  <c r="Q58" i="23" s="1"/>
  <c r="R58" i="23" s="1"/>
  <c r="S58" i="23" s="1"/>
  <c r="C8" i="23"/>
  <c r="K12" i="20"/>
  <c r="C7" i="20"/>
  <c r="C6" i="20"/>
  <c r="B32" i="20"/>
  <c r="H31" i="20"/>
  <c r="H32" i="20" s="1"/>
  <c r="H33" i="20" s="1"/>
  <c r="G53" i="23" a="1"/>
  <c r="G45" i="23" a="1"/>
  <c r="G41" i="23" a="1"/>
  <c r="G54" i="23" a="1"/>
  <c r="G46" i="23" a="1"/>
  <c r="G55" i="23" a="1"/>
  <c r="G47" i="23" a="1"/>
  <c r="G42" i="23" a="1"/>
  <c r="G56" i="23" a="1"/>
  <c r="G48" i="23" a="1"/>
  <c r="G49" i="23" a="1"/>
  <c r="G50" i="23" a="1"/>
  <c r="G51" i="23" a="1"/>
  <c r="G36" i="23" a="1"/>
  <c r="G33" i="23" a="1"/>
  <c r="G52" i="23" a="1"/>
  <c r="G44" i="23" a="1"/>
  <c r="G43" i="23" a="1"/>
  <c r="G39" i="23" a="1"/>
  <c r="G24" i="23" a="1"/>
  <c r="G20" i="23" a="1"/>
  <c r="G16" i="23" a="1"/>
  <c r="G37" i="23" a="1"/>
  <c r="G32" i="23" a="1"/>
  <c r="G21" i="23" a="1"/>
  <c r="G17" i="23" a="1"/>
  <c r="G13" i="23" a="1"/>
  <c r="G35" i="23" a="1"/>
  <c r="G18" i="23" a="1"/>
  <c r="G34" i="23" a="1"/>
  <c r="G22" i="23" a="1"/>
  <c r="G14" i="23" a="1"/>
  <c r="G40" i="23" a="1"/>
  <c r="G38" i="23" a="1"/>
  <c r="G31" i="23" a="1"/>
  <c r="G30" i="23" a="1"/>
  <c r="G29" i="23" a="1"/>
  <c r="G28" i="23" a="1"/>
  <c r="G27" i="23" a="1"/>
  <c r="G26" i="23" a="1"/>
  <c r="G23" i="23" a="1"/>
  <c r="G19" i="23" a="1"/>
  <c r="G15" i="23" a="1"/>
  <c r="G25" i="23" a="1"/>
  <c r="G12" i="23" a="1"/>
  <c r="H16" i="23" a="1"/>
  <c r="H20" i="23" a="1"/>
  <c r="H24" i="23" a="1"/>
  <c r="H25" i="23" a="1"/>
  <c r="H26" i="23" a="1"/>
  <c r="H33" i="23" a="1"/>
  <c r="H23" i="23" a="1"/>
  <c r="H27" i="23" a="1"/>
  <c r="H28" i="23" a="1"/>
  <c r="H29" i="23" a="1"/>
  <c r="H30" i="23" a="1"/>
  <c r="H12" i="23" a="1"/>
  <c r="H15" i="23" a="1"/>
  <c r="H19" i="23" a="1"/>
  <c r="H31" i="23" a="1"/>
  <c r="H14" i="23" a="1"/>
  <c r="H18" i="23" a="1"/>
  <c r="H22" i="23" a="1"/>
  <c r="H36" i="23" a="1"/>
  <c r="H53" i="23" a="1"/>
  <c r="H13" i="23" a="1"/>
  <c r="H17" i="23" a="1"/>
  <c r="H21" i="23" a="1"/>
  <c r="H32" i="23" a="1"/>
  <c r="H34" i="23" a="1"/>
  <c r="H37" i="23" a="1"/>
  <c r="H41" i="23" a="1"/>
  <c r="H38" i="23" a="1"/>
  <c r="H40" i="23" a="1"/>
  <c r="H35" i="23" a="1"/>
  <c r="H45" i="23" a="1"/>
  <c r="H44" i="23" a="1"/>
  <c r="H52" i="23" a="1"/>
  <c r="H39" i="23" a="1"/>
  <c r="H43" i="23" a="1"/>
  <c r="H51" i="23" a="1"/>
  <c r="H50" i="23" a="1"/>
  <c r="H49" i="23" a="1"/>
  <c r="H48" i="23" a="1"/>
  <c r="H56" i="23" a="1"/>
  <c r="H47" i="23" a="1"/>
  <c r="H55" i="23" a="1"/>
  <c r="H42" i="23" a="1"/>
  <c r="H46" i="23" a="1"/>
  <c r="H54" i="23" a="1"/>
  <c r="L56" i="20" a="1"/>
  <c r="L21" i="20" a="1"/>
  <c r="L36" i="20" a="1"/>
  <c r="L23" i="20" a="1"/>
  <c r="L46" i="20" a="1"/>
  <c r="L32" i="20" a="1"/>
  <c r="L29" i="20" a="1"/>
  <c r="L49" i="20" a="1"/>
  <c r="L14" i="20" a="1"/>
  <c r="L20" i="20" a="1"/>
  <c r="L18" i="20" a="1"/>
  <c r="L15" i="20" a="1"/>
  <c r="L40" i="20" a="1"/>
  <c r="L17" i="20" a="1"/>
  <c r="L52" i="20" a="1"/>
  <c r="L30" i="20" a="1"/>
  <c r="L50" i="20" a="1"/>
  <c r="L55" i="20" a="1"/>
  <c r="L24" i="20" a="1"/>
  <c r="L35" i="20" a="1"/>
  <c r="L54" i="20" a="1"/>
  <c r="L41" i="20" a="1"/>
  <c r="L37" i="20" a="1"/>
  <c r="L28" i="20" a="1"/>
  <c r="L42" i="20" a="1"/>
  <c r="L25" i="20" a="1"/>
  <c r="L44" i="20" a="1"/>
  <c r="L53" i="20" a="1"/>
  <c r="L22" i="20" a="1"/>
  <c r="L19" i="20" a="1"/>
  <c r="L27" i="20" a="1"/>
  <c r="L47" i="20" a="1"/>
  <c r="L43" i="20" a="1"/>
  <c r="L48" i="20" a="1"/>
  <c r="L38" i="20" a="1"/>
  <c r="L33" i="20" a="1"/>
  <c r="G12" i="23" l="1"/>
  <c r="G25" i="23"/>
  <c r="G15" i="23"/>
  <c r="G19" i="23"/>
  <c r="G23" i="23"/>
  <c r="G26" i="23"/>
  <c r="G27" i="23"/>
  <c r="G28" i="23"/>
  <c r="G29" i="23"/>
  <c r="G30" i="23"/>
  <c r="G31" i="23"/>
  <c r="G38" i="23"/>
  <c r="G40" i="23"/>
  <c r="G14" i="23"/>
  <c r="G22" i="23"/>
  <c r="G34" i="23"/>
  <c r="G18" i="23"/>
  <c r="G35" i="23"/>
  <c r="G13" i="23"/>
  <c r="G17" i="23"/>
  <c r="G21" i="23"/>
  <c r="G32" i="23"/>
  <c r="G37" i="23"/>
  <c r="G16" i="23"/>
  <c r="G20" i="23"/>
  <c r="G24" i="23"/>
  <c r="G39" i="23"/>
  <c r="G43" i="23"/>
  <c r="G44" i="23"/>
  <c r="G52" i="23"/>
  <c r="G33" i="23"/>
  <c r="G36" i="23"/>
  <c r="G51" i="23"/>
  <c r="G50" i="23"/>
  <c r="G49" i="23"/>
  <c r="G48" i="23"/>
  <c r="G56" i="23"/>
  <c r="G42" i="23"/>
  <c r="G47" i="23"/>
  <c r="G55" i="23"/>
  <c r="G46" i="23"/>
  <c r="G54" i="23"/>
  <c r="G41" i="23"/>
  <c r="G45" i="23"/>
  <c r="G53" i="23"/>
  <c r="G11" i="23"/>
  <c r="T58" i="23"/>
  <c r="H54" i="23"/>
  <c r="H46" i="23"/>
  <c r="H42" i="23"/>
  <c r="H55" i="23"/>
  <c r="H47" i="23"/>
  <c r="H56" i="23"/>
  <c r="H48" i="23"/>
  <c r="H49" i="23"/>
  <c r="H50" i="23"/>
  <c r="H51" i="23"/>
  <c r="H43" i="23"/>
  <c r="H39" i="23"/>
  <c r="H52" i="23"/>
  <c r="H44" i="23"/>
  <c r="H45" i="23"/>
  <c r="H35" i="23"/>
  <c r="H40" i="23"/>
  <c r="H38" i="23"/>
  <c r="H41" i="23"/>
  <c r="H37" i="23"/>
  <c r="H34" i="23"/>
  <c r="H32" i="23"/>
  <c r="H21" i="23"/>
  <c r="H17" i="23"/>
  <c r="H13" i="23"/>
  <c r="H53" i="23"/>
  <c r="H36" i="23"/>
  <c r="H22" i="23"/>
  <c r="H18" i="23"/>
  <c r="H14" i="23"/>
  <c r="H31" i="23"/>
  <c r="H19" i="23"/>
  <c r="H15" i="23"/>
  <c r="H12" i="23"/>
  <c r="H30" i="23"/>
  <c r="H29" i="23"/>
  <c r="H28" i="23"/>
  <c r="H27" i="23"/>
  <c r="H23" i="23"/>
  <c r="H33" i="23"/>
  <c r="H26" i="23"/>
  <c r="H25" i="23"/>
  <c r="H24" i="23"/>
  <c r="H20" i="23"/>
  <c r="H16" i="23"/>
  <c r="I10" i="23"/>
  <c r="I11" i="23" s="1"/>
  <c r="C8" i="20"/>
  <c r="L27" i="20"/>
  <c r="M27" i="20" s="1"/>
  <c r="R16" i="20"/>
  <c r="L38" i="20"/>
  <c r="M38" i="20" s="1"/>
  <c r="L37" i="20"/>
  <c r="L22" i="20"/>
  <c r="L43" i="20"/>
  <c r="L14" i="20"/>
  <c r="L15" i="20"/>
  <c r="M15" i="20" s="1"/>
  <c r="R15" i="20" s="1"/>
  <c r="L23" i="20"/>
  <c r="L30" i="20"/>
  <c r="M30" i="20" s="1"/>
  <c r="L35" i="20"/>
  <c r="L25" i="20"/>
  <c r="M25" i="20" s="1"/>
  <c r="R25" i="20" s="1"/>
  <c r="L17" i="20"/>
  <c r="M17" i="20" s="1"/>
  <c r="L47" i="20"/>
  <c r="M47" i="20" s="1"/>
  <c r="R47" i="20" s="1"/>
  <c r="L21" i="20"/>
  <c r="L41" i="20"/>
  <c r="L20" i="20"/>
  <c r="L42" i="20"/>
  <c r="M42" i="20" s="1"/>
  <c r="L36" i="20"/>
  <c r="M36" i="20" s="1"/>
  <c r="L46" i="20"/>
  <c r="L53" i="20"/>
  <c r="M53" i="20" s="1"/>
  <c r="R53" i="20" s="1"/>
  <c r="L50" i="20"/>
  <c r="M50" i="20" s="1"/>
  <c r="L18" i="20"/>
  <c r="L54" i="20"/>
  <c r="M54" i="20" s="1"/>
  <c r="L48" i="20"/>
  <c r="M48" i="20" s="1"/>
  <c r="L40" i="20"/>
  <c r="L52" i="20"/>
  <c r="M52" i="20" s="1"/>
  <c r="R52" i="20" s="1"/>
  <c r="L56" i="20"/>
  <c r="M56" i="20" s="1"/>
  <c r="R56" i="20" s="1"/>
  <c r="L44" i="20"/>
  <c r="M44" i="20" s="1"/>
  <c r="L49" i="20"/>
  <c r="M49" i="20" s="1"/>
  <c r="R49" i="20" s="1"/>
  <c r="L24" i="20"/>
  <c r="L28" i="20"/>
  <c r="L55" i="20"/>
  <c r="M55" i="20" s="1"/>
  <c r="R55" i="20" s="1"/>
  <c r="L33" i="20"/>
  <c r="M33" i="20" s="1"/>
  <c r="L32" i="20"/>
  <c r="M32" i="20" s="1"/>
  <c r="L19" i="20"/>
  <c r="M19" i="20" s="1"/>
  <c r="R19" i="20" s="1"/>
  <c r="L29" i="20"/>
  <c r="B33" i="20"/>
  <c r="I17" i="23" a="1"/>
  <c r="I21" i="23" a="1"/>
  <c r="I46" i="23" a="1"/>
  <c r="I12" i="23" a="1"/>
  <c r="I20" i="23" a="1"/>
  <c r="I24" i="23" a="1"/>
  <c r="I33" i="23" a="1"/>
  <c r="I13" i="23" a="1"/>
  <c r="I16" i="23" a="1"/>
  <c r="I25" i="23" a="1"/>
  <c r="I26" i="23" a="1"/>
  <c r="I27" i="23" a="1"/>
  <c r="I15" i="23" a="1"/>
  <c r="I19" i="23" a="1"/>
  <c r="I23" i="23" a="1"/>
  <c r="I28" i="23" a="1"/>
  <c r="I29" i="23" a="1"/>
  <c r="I30" i="23" a="1"/>
  <c r="I31" i="23" a="1"/>
  <c r="I37" i="23" a="1"/>
  <c r="I14" i="23" a="1"/>
  <c r="I18" i="23" a="1"/>
  <c r="I22" i="23" a="1"/>
  <c r="I36" i="23" a="1"/>
  <c r="I54" i="23" a="1"/>
  <c r="I32" i="23" a="1"/>
  <c r="I34" i="23" a="1"/>
  <c r="I42" i="23" a="1"/>
  <c r="I53" i="23" a="1"/>
  <c r="I35" i="23" a="1"/>
  <c r="I38" i="23" a="1"/>
  <c r="I40" i="23" a="1"/>
  <c r="I45" i="23" a="1"/>
  <c r="I39" i="23" a="1"/>
  <c r="I44" i="23" a="1"/>
  <c r="I52" i="23" a="1"/>
  <c r="I41" i="23" a="1"/>
  <c r="I43" i="23" a="1"/>
  <c r="I51" i="23" a="1"/>
  <c r="I50" i="23" a="1"/>
  <c r="I49" i="23" a="1"/>
  <c r="I48" i="23" a="1"/>
  <c r="I56" i="23" a="1"/>
  <c r="I47" i="23" a="1"/>
  <c r="I55" i="23" a="1"/>
  <c r="L31" i="20" a="1"/>
  <c r="M51" i="20" a="1"/>
  <c r="M31" i="20" a="1"/>
  <c r="L51" i="20" a="1"/>
  <c r="L39" i="20" a="1"/>
  <c r="L45" i="20" a="1"/>
  <c r="L13" i="20" a="1"/>
  <c r="L26" i="20" a="1"/>
  <c r="L34" i="20" a="1"/>
  <c r="H59" i="23" l="1"/>
  <c r="G59" i="23"/>
  <c r="G60" i="23" s="1"/>
  <c r="U58" i="23"/>
  <c r="I55" i="23"/>
  <c r="I47" i="23"/>
  <c r="I56" i="23"/>
  <c r="I48" i="23"/>
  <c r="I49" i="23"/>
  <c r="I50" i="23"/>
  <c r="I51" i="23"/>
  <c r="I43" i="23"/>
  <c r="I41" i="23"/>
  <c r="I52" i="23"/>
  <c r="I44" i="23"/>
  <c r="I39" i="23"/>
  <c r="I45" i="23"/>
  <c r="I40" i="23"/>
  <c r="I38" i="23"/>
  <c r="I35" i="23"/>
  <c r="I53" i="23"/>
  <c r="I42" i="23"/>
  <c r="I34" i="23"/>
  <c r="I32" i="23"/>
  <c r="I54" i="23"/>
  <c r="I36" i="23"/>
  <c r="I22" i="23"/>
  <c r="I18" i="23"/>
  <c r="I14" i="23"/>
  <c r="I37" i="23"/>
  <c r="I31" i="23"/>
  <c r="I30" i="23"/>
  <c r="I29" i="23"/>
  <c r="I28" i="23"/>
  <c r="I23" i="23"/>
  <c r="I19" i="23"/>
  <c r="I15" i="23"/>
  <c r="I27" i="23"/>
  <c r="I26" i="23"/>
  <c r="I25" i="23"/>
  <c r="I16" i="23"/>
  <c r="I13" i="23"/>
  <c r="I33" i="23"/>
  <c r="I24" i="23"/>
  <c r="I20" i="23"/>
  <c r="I12" i="23"/>
  <c r="I46" i="23"/>
  <c r="I21" i="23"/>
  <c r="I17" i="23"/>
  <c r="J10" i="23"/>
  <c r="J11" i="23" s="1"/>
  <c r="O42" i="20"/>
  <c r="R42" i="20"/>
  <c r="P50" i="20"/>
  <c r="R50" i="20"/>
  <c r="O44" i="20"/>
  <c r="R44" i="20"/>
  <c r="O37" i="20"/>
  <c r="R37" i="20"/>
  <c r="O36" i="20"/>
  <c r="R36" i="20"/>
  <c r="O38" i="20"/>
  <c r="R38" i="20"/>
  <c r="O54" i="20"/>
  <c r="R54" i="20"/>
  <c r="N32" i="20"/>
  <c r="R32" i="20"/>
  <c r="O33" i="20"/>
  <c r="R33" i="20"/>
  <c r="O30" i="20"/>
  <c r="R30" i="20"/>
  <c r="N48" i="20"/>
  <c r="R48" i="20"/>
  <c r="M14" i="20"/>
  <c r="M43" i="20"/>
  <c r="M40" i="20"/>
  <c r="M41" i="20"/>
  <c r="M35" i="20"/>
  <c r="M28" i="20"/>
  <c r="M29" i="20"/>
  <c r="R27" i="20"/>
  <c r="M20" i="20"/>
  <c r="M23" i="20"/>
  <c r="M24" i="20"/>
  <c r="M18" i="20"/>
  <c r="M21" i="20"/>
  <c r="M22" i="20"/>
  <c r="R22" i="20" s="1"/>
  <c r="N33" i="20"/>
  <c r="P33" i="20"/>
  <c r="O32" i="20"/>
  <c r="P56" i="20"/>
  <c r="N47" i="20"/>
  <c r="N56" i="20"/>
  <c r="O47" i="20"/>
  <c r="P49" i="20"/>
  <c r="L13" i="20"/>
  <c r="L45" i="20"/>
  <c r="L31" i="20"/>
  <c r="L51" i="20"/>
  <c r="L34" i="20"/>
  <c r="L39" i="20"/>
  <c r="L26" i="20"/>
  <c r="N54" i="20"/>
  <c r="N15" i="20"/>
  <c r="P15" i="20"/>
  <c r="O15" i="20"/>
  <c r="O49" i="20"/>
  <c r="N49" i="20"/>
  <c r="O56" i="20"/>
  <c r="P47" i="20"/>
  <c r="N50" i="20"/>
  <c r="P44" i="20"/>
  <c r="N44" i="20"/>
  <c r="P53" i="20"/>
  <c r="O53" i="20"/>
  <c r="N53" i="20"/>
  <c r="N19" i="20"/>
  <c r="P19" i="20"/>
  <c r="O19" i="20"/>
  <c r="N25" i="20"/>
  <c r="O25" i="20"/>
  <c r="P25" i="20"/>
  <c r="N37" i="20"/>
  <c r="P37" i="20"/>
  <c r="N55" i="20"/>
  <c r="O55" i="20"/>
  <c r="P55" i="20"/>
  <c r="O48" i="20"/>
  <c r="P48" i="20"/>
  <c r="M46" i="20"/>
  <c r="R46" i="20" s="1"/>
  <c r="O50" i="20"/>
  <c r="P54" i="20"/>
  <c r="N36" i="20"/>
  <c r="P36" i="20"/>
  <c r="N38" i="20"/>
  <c r="P38" i="20"/>
  <c r="P42" i="20"/>
  <c r="N42" i="20"/>
  <c r="N30" i="20"/>
  <c r="P30" i="20"/>
  <c r="P16" i="20"/>
  <c r="N16" i="20"/>
  <c r="O16" i="20"/>
  <c r="P32" i="20"/>
  <c r="M51" i="20"/>
  <c r="M31" i="20"/>
  <c r="P52" i="20"/>
  <c r="N52" i="20"/>
  <c r="O52" i="20"/>
  <c r="B34" i="20"/>
  <c r="J14" i="23" a="1"/>
  <c r="J22" i="23" a="1"/>
  <c r="J18" i="23" a="1"/>
  <c r="J17" i="23" a="1"/>
  <c r="J21" i="23" a="1"/>
  <c r="J13" i="23" a="1"/>
  <c r="J33" i="23" a="1"/>
  <c r="J12" i="23" a="1"/>
  <c r="J20" i="23" a="1"/>
  <c r="J24" i="23" a="1"/>
  <c r="J16" i="23" a="1"/>
  <c r="J25" i="23" a="1"/>
  <c r="J26" i="23" a="1"/>
  <c r="J27" i="23" a="1"/>
  <c r="J28" i="23" a="1"/>
  <c r="J35" i="23" a="1"/>
  <c r="J15" i="23" a="1"/>
  <c r="J19" i="23" a="1"/>
  <c r="J23" i="23" a="1"/>
  <c r="J29" i="23" a="1"/>
  <c r="J30" i="23" a="1"/>
  <c r="J31" i="23" a="1"/>
  <c r="J47" i="23" a="1"/>
  <c r="J36" i="23" a="1"/>
  <c r="J39" i="23" a="1"/>
  <c r="J54" i="23" a="1"/>
  <c r="J46" i="23" a="1"/>
  <c r="J34" i="23" a="1"/>
  <c r="J37" i="23" a="1"/>
  <c r="J32" i="23" a="1"/>
  <c r="J43" i="23" a="1"/>
  <c r="J38" i="23" a="1"/>
  <c r="J55" i="23" a="1"/>
  <c r="J45" i="23" a="1"/>
  <c r="J53" i="23" a="1"/>
  <c r="J42" i="23" a="1"/>
  <c r="J44" i="23" a="1"/>
  <c r="J52" i="23" a="1"/>
  <c r="J51" i="23" a="1"/>
  <c r="J41" i="23" a="1"/>
  <c r="J50" i="23" a="1"/>
  <c r="J49" i="23" a="1"/>
  <c r="J40" i="23" a="1"/>
  <c r="J48" i="23" a="1"/>
  <c r="J56" i="23" a="1"/>
  <c r="M39" i="20" a="1"/>
  <c r="M13" i="20" a="1"/>
  <c r="M34" i="20" a="1"/>
  <c r="M26" i="20" a="1"/>
  <c r="M45" i="20" a="1"/>
  <c r="H60" i="23" l="1"/>
  <c r="H61" i="23" s="1"/>
  <c r="I59" i="23"/>
  <c r="G61" i="23"/>
  <c r="V58" i="23"/>
  <c r="J56" i="23"/>
  <c r="J48" i="23"/>
  <c r="J40" i="23"/>
  <c r="J49" i="23"/>
  <c r="J50" i="23"/>
  <c r="J41" i="23"/>
  <c r="J51" i="23"/>
  <c r="J52" i="23"/>
  <c r="J44" i="23"/>
  <c r="J42" i="23"/>
  <c r="J53" i="23"/>
  <c r="J45" i="23"/>
  <c r="J55" i="23"/>
  <c r="J38" i="23"/>
  <c r="J43" i="23"/>
  <c r="J32" i="23"/>
  <c r="J37" i="23"/>
  <c r="J34" i="23"/>
  <c r="J46" i="23"/>
  <c r="J54" i="23"/>
  <c r="J39" i="23"/>
  <c r="J36" i="23"/>
  <c r="J47" i="23"/>
  <c r="J31" i="23"/>
  <c r="J30" i="23"/>
  <c r="J29" i="23"/>
  <c r="J23" i="23"/>
  <c r="J19" i="23"/>
  <c r="J15" i="23"/>
  <c r="J35" i="23"/>
  <c r="J28" i="23"/>
  <c r="J27" i="23"/>
  <c r="J26" i="23"/>
  <c r="J25" i="23"/>
  <c r="J16" i="23"/>
  <c r="J24" i="23"/>
  <c r="J20" i="23"/>
  <c r="J12" i="23"/>
  <c r="J33" i="23"/>
  <c r="J13" i="23"/>
  <c r="J21" i="23"/>
  <c r="J17" i="23"/>
  <c r="J18" i="23"/>
  <c r="J22" i="23"/>
  <c r="J14" i="23"/>
  <c r="K10" i="23"/>
  <c r="K11" i="23" s="1"/>
  <c r="O41" i="20"/>
  <c r="R41" i="20"/>
  <c r="N40" i="20"/>
  <c r="R40" i="20"/>
  <c r="O31" i="20"/>
  <c r="R31" i="20"/>
  <c r="O23" i="20"/>
  <c r="R23" i="20"/>
  <c r="O43" i="20"/>
  <c r="R43" i="20"/>
  <c r="N18" i="20"/>
  <c r="R18" i="20"/>
  <c r="O24" i="20"/>
  <c r="R24" i="20"/>
  <c r="R51" i="20"/>
  <c r="P20" i="20"/>
  <c r="R20" i="20"/>
  <c r="O14" i="20"/>
  <c r="R14" i="20"/>
  <c r="O29" i="20"/>
  <c r="R29" i="20"/>
  <c r="P17" i="20"/>
  <c r="R17" i="20"/>
  <c r="O28" i="20"/>
  <c r="R28" i="20"/>
  <c r="O21" i="20"/>
  <c r="R21" i="20"/>
  <c r="P35" i="20"/>
  <c r="R35" i="20"/>
  <c r="N14" i="20"/>
  <c r="P14" i="20"/>
  <c r="P43" i="20"/>
  <c r="N43" i="20"/>
  <c r="N41" i="20"/>
  <c r="N27" i="20"/>
  <c r="P21" i="20"/>
  <c r="N21" i="20"/>
  <c r="M39" i="20"/>
  <c r="O40" i="20"/>
  <c r="N28" i="20"/>
  <c r="N17" i="20"/>
  <c r="P41" i="20"/>
  <c r="P40" i="20"/>
  <c r="M34" i="20"/>
  <c r="N24" i="20"/>
  <c r="N22" i="20"/>
  <c r="P24" i="20"/>
  <c r="O35" i="20"/>
  <c r="O22" i="20"/>
  <c r="P29" i="20"/>
  <c r="N35" i="20"/>
  <c r="M26" i="20"/>
  <c r="N23" i="20"/>
  <c r="O27" i="20"/>
  <c r="N20" i="20"/>
  <c r="P27" i="20"/>
  <c r="P23" i="20"/>
  <c r="N29" i="20"/>
  <c r="O20" i="20"/>
  <c r="P28" i="20"/>
  <c r="M13" i="20"/>
  <c r="O18" i="20"/>
  <c r="P18" i="20"/>
  <c r="P22" i="20"/>
  <c r="O17" i="20"/>
  <c r="Q33" i="20"/>
  <c r="Q32" i="20"/>
  <c r="Q47" i="20"/>
  <c r="Q54" i="20"/>
  <c r="Q44" i="20"/>
  <c r="Q56" i="20"/>
  <c r="P51" i="20"/>
  <c r="Q53" i="20"/>
  <c r="Q30" i="20"/>
  <c r="Q38" i="20"/>
  <c r="Q37" i="20"/>
  <c r="O51" i="20"/>
  <c r="N51" i="20"/>
  <c r="Q48" i="20"/>
  <c r="Q49" i="20"/>
  <c r="M45" i="20"/>
  <c r="R45" i="20" s="1"/>
  <c r="P31" i="20"/>
  <c r="Q16" i="20"/>
  <c r="Q36" i="20"/>
  <c r="N31" i="20"/>
  <c r="Q55" i="20"/>
  <c r="Q25" i="20"/>
  <c r="Q15" i="20"/>
  <c r="Q50" i="20"/>
  <c r="Q19" i="20"/>
  <c r="Q52" i="20"/>
  <c r="Q42" i="20"/>
  <c r="P46" i="20"/>
  <c r="O46" i="20"/>
  <c r="N46" i="20"/>
  <c r="H34" i="20"/>
  <c r="H35" i="20" s="1"/>
  <c r="H36" i="20" s="1"/>
  <c r="H37" i="20" s="1"/>
  <c r="H38" i="20" s="1"/>
  <c r="B35" i="20"/>
  <c r="K28" i="23" a="1"/>
  <c r="K19" i="23" a="1"/>
  <c r="K23" i="23" a="1"/>
  <c r="K30" i="23" a="1"/>
  <c r="K29" i="23" a="1"/>
  <c r="K15" i="23" a="1"/>
  <c r="K32" i="23" a="1"/>
  <c r="K18" i="23" a="1"/>
  <c r="K22" i="23" a="1"/>
  <c r="K38" i="23" a="1"/>
  <c r="K14" i="23" a="1"/>
  <c r="K39" i="23" a="1"/>
  <c r="K26" i="23" a="1"/>
  <c r="K21" i="23" a="1"/>
  <c r="K34" i="23" a="1"/>
  <c r="K12" i="23" a="1"/>
  <c r="K27" i="23" a="1"/>
  <c r="K13" i="23" a="1"/>
  <c r="K17" i="23" a="1"/>
  <c r="K16" i="23" a="1"/>
  <c r="K20" i="23" a="1"/>
  <c r="K24" i="23" a="1"/>
  <c r="K25" i="23" a="1"/>
  <c r="K35" i="23" a="1"/>
  <c r="K31" i="23" a="1"/>
  <c r="K47" i="23" a="1"/>
  <c r="K33" i="23" a="1"/>
  <c r="K36" i="23" a="1"/>
  <c r="K56" i="23" a="1"/>
  <c r="K37" i="23" a="1"/>
  <c r="K44" i="23" a="1"/>
  <c r="K48" i="23" a="1"/>
  <c r="K40" i="23" a="1"/>
  <c r="K55" i="23" a="1"/>
  <c r="K46" i="23" a="1"/>
  <c r="K54" i="23" a="1"/>
  <c r="K45" i="23" a="1"/>
  <c r="K53" i="23" a="1"/>
  <c r="K52" i="23" a="1"/>
  <c r="K42" i="23" a="1"/>
  <c r="K43" i="23" a="1"/>
  <c r="K51" i="23" a="1"/>
  <c r="K50" i="23" a="1"/>
  <c r="K41" i="23" a="1"/>
  <c r="K49" i="23" a="1"/>
  <c r="J59" i="23" l="1"/>
  <c r="J60" i="23" s="1"/>
  <c r="G62" i="23"/>
  <c r="H62" i="23"/>
  <c r="I60" i="23"/>
  <c r="W58" i="23"/>
  <c r="K49" i="23"/>
  <c r="K41" i="23"/>
  <c r="K50" i="23"/>
  <c r="K51" i="23"/>
  <c r="K43" i="23"/>
  <c r="K42" i="23"/>
  <c r="K52" i="23"/>
  <c r="K53" i="23"/>
  <c r="K45" i="23"/>
  <c r="K54" i="23"/>
  <c r="K46" i="23"/>
  <c r="K55" i="23"/>
  <c r="K40" i="23"/>
  <c r="K48" i="23"/>
  <c r="K44" i="23"/>
  <c r="K37" i="23"/>
  <c r="K56" i="23"/>
  <c r="K36" i="23"/>
  <c r="K33" i="23"/>
  <c r="K47" i="23"/>
  <c r="K31" i="23"/>
  <c r="K35" i="23"/>
  <c r="K25" i="23"/>
  <c r="K24" i="23"/>
  <c r="K20" i="23"/>
  <c r="K16" i="23"/>
  <c r="K17" i="23"/>
  <c r="K13" i="23"/>
  <c r="K27" i="23"/>
  <c r="K12" i="23"/>
  <c r="K34" i="23"/>
  <c r="K21" i="23"/>
  <c r="K26" i="23"/>
  <c r="K39" i="23"/>
  <c r="K14" i="23"/>
  <c r="K38" i="23"/>
  <c r="K22" i="23"/>
  <c r="K18" i="23"/>
  <c r="K32" i="23"/>
  <c r="K15" i="23"/>
  <c r="K29" i="23"/>
  <c r="K30" i="23"/>
  <c r="K23" i="23"/>
  <c r="K19" i="23"/>
  <c r="K28" i="23"/>
  <c r="L10" i="23"/>
  <c r="L11" i="23" s="1"/>
  <c r="O13" i="20"/>
  <c r="O39" i="20"/>
  <c r="R39" i="20"/>
  <c r="O26" i="20"/>
  <c r="R26" i="20"/>
  <c r="O34" i="20"/>
  <c r="R34" i="20"/>
  <c r="Q14" i="20"/>
  <c r="P34" i="20"/>
  <c r="Q41" i="20"/>
  <c r="Q43" i="20"/>
  <c r="Q21" i="20"/>
  <c r="Q20" i="20"/>
  <c r="Q17" i="20"/>
  <c r="Q40" i="20"/>
  <c r="Q35" i="20"/>
  <c r="Q28" i="20"/>
  <c r="N39" i="20"/>
  <c r="Q29" i="20"/>
  <c r="P39" i="20"/>
  <c r="N26" i="20"/>
  <c r="Q24" i="20"/>
  <c r="Q27" i="20"/>
  <c r="Q18" i="20"/>
  <c r="P26" i="20"/>
  <c r="Q22" i="20"/>
  <c r="N34" i="20"/>
  <c r="Q23" i="20"/>
  <c r="Q31" i="20"/>
  <c r="Q51" i="20"/>
  <c r="Q46" i="20"/>
  <c r="P45" i="20"/>
  <c r="O45" i="20"/>
  <c r="N45" i="20"/>
  <c r="B36" i="20"/>
  <c r="L20" i="23" a="1"/>
  <c r="L24" i="23" a="1"/>
  <c r="L25" i="23" a="1"/>
  <c r="L26" i="23" a="1"/>
  <c r="L35" i="23" a="1"/>
  <c r="L16" i="23" a="1"/>
  <c r="L27" i="23" a="1"/>
  <c r="L28" i="23" a="1"/>
  <c r="L29" i="23" a="1"/>
  <c r="L30" i="23" a="1"/>
  <c r="L31" i="23" a="1"/>
  <c r="L15" i="23" a="1"/>
  <c r="L19" i="23" a="1"/>
  <c r="L23" i="23" a="1"/>
  <c r="L40" i="23" a="1"/>
  <c r="L12" i="23" a="1"/>
  <c r="L22" i="23" a="1"/>
  <c r="L14" i="23" a="1"/>
  <c r="L18" i="23" a="1"/>
  <c r="L34" i="23" a="1"/>
  <c r="L13" i="23" a="1"/>
  <c r="L17" i="23" a="1"/>
  <c r="L21" i="23" a="1"/>
  <c r="L32" i="23" a="1"/>
  <c r="L38" i="23" a="1"/>
  <c r="L36" i="23" a="1"/>
  <c r="L39" i="23" a="1"/>
  <c r="L41" i="23" a="1"/>
  <c r="L49" i="23" a="1"/>
  <c r="L33" i="23" a="1"/>
  <c r="L56" i="23" a="1"/>
  <c r="L37" i="23" a="1"/>
  <c r="L48" i="23" a="1"/>
  <c r="L47" i="23" a="1"/>
  <c r="L55" i="23" a="1"/>
  <c r="L46" i="23" a="1"/>
  <c r="L54" i="23" a="1"/>
  <c r="L45" i="23" a="1"/>
  <c r="L53" i="23" a="1"/>
  <c r="L44" i="23" a="1"/>
  <c r="L52" i="23" a="1"/>
  <c r="L43" i="23" a="1"/>
  <c r="L51" i="23" a="1"/>
  <c r="L42" i="23" a="1"/>
  <c r="L50" i="23" a="1"/>
  <c r="K59" i="23" l="1"/>
  <c r="I61" i="23"/>
  <c r="J61" i="23"/>
  <c r="G63" i="23"/>
  <c r="H63" i="23"/>
  <c r="X58" i="23"/>
  <c r="L50" i="23"/>
  <c r="L42" i="23"/>
  <c r="L51" i="23"/>
  <c r="L43" i="23"/>
  <c r="L52" i="23"/>
  <c r="L44" i="23"/>
  <c r="L53" i="23"/>
  <c r="L45" i="23"/>
  <c r="L54" i="23"/>
  <c r="L46" i="23"/>
  <c r="L55" i="23"/>
  <c r="L47" i="23"/>
  <c r="L48" i="23"/>
  <c r="L37" i="23"/>
  <c r="L56" i="23"/>
  <c r="L33" i="23"/>
  <c r="L49" i="23"/>
  <c r="L41" i="23"/>
  <c r="L39" i="23"/>
  <c r="L36" i="23"/>
  <c r="L38" i="23"/>
  <c r="L32" i="23"/>
  <c r="L21" i="23"/>
  <c r="L17" i="23"/>
  <c r="L13" i="23"/>
  <c r="L34" i="23"/>
  <c r="L18" i="23"/>
  <c r="L14" i="23"/>
  <c r="L22" i="23"/>
  <c r="L12" i="23"/>
  <c r="L40" i="23"/>
  <c r="L23" i="23"/>
  <c r="L19" i="23"/>
  <c r="L15" i="23"/>
  <c r="L31" i="23"/>
  <c r="L30" i="23"/>
  <c r="L29" i="23"/>
  <c r="L28" i="23"/>
  <c r="L27" i="23"/>
  <c r="L16" i="23"/>
  <c r="L35" i="23"/>
  <c r="L26" i="23"/>
  <c r="L25" i="23"/>
  <c r="L24" i="23"/>
  <c r="L20" i="23"/>
  <c r="M10" i="23"/>
  <c r="M11" i="23" s="1"/>
  <c r="Q34" i="20"/>
  <c r="Q39" i="20"/>
  <c r="Q26" i="20"/>
  <c r="Q45" i="20"/>
  <c r="B37" i="20"/>
  <c r="M21" i="23" a="1"/>
  <c r="M36" i="23" a="1"/>
  <c r="M13" i="23" a="1"/>
  <c r="M17" i="23" a="1"/>
  <c r="M37" i="23" a="1"/>
  <c r="M16" i="23" a="1"/>
  <c r="M20" i="23" a="1"/>
  <c r="M24" i="23" a="1"/>
  <c r="M25" i="23" a="1"/>
  <c r="M26" i="23" a="1"/>
  <c r="M27" i="23" a="1"/>
  <c r="M31" i="23" a="1"/>
  <c r="M50" i="23" a="1"/>
  <c r="M12" i="23" a="1"/>
  <c r="M28" i="23" a="1"/>
  <c r="M29" i="23" a="1"/>
  <c r="M30" i="23" a="1"/>
  <c r="M40" i="23" a="1"/>
  <c r="M23" i="23" a="1"/>
  <c r="M33" i="23" a="1"/>
  <c r="M15" i="23" a="1"/>
  <c r="M19" i="23" a="1"/>
  <c r="M14" i="23" a="1"/>
  <c r="M18" i="23" a="1"/>
  <c r="M22" i="23" a="1"/>
  <c r="M34" i="23" a="1"/>
  <c r="M32" i="23" a="1"/>
  <c r="M35" i="23" a="1"/>
  <c r="M38" i="23" a="1"/>
  <c r="M42" i="23" a="1"/>
  <c r="M49" i="23" a="1"/>
  <c r="M48" i="23" a="1"/>
  <c r="M56" i="23" a="1"/>
  <c r="M41" i="23" a="1"/>
  <c r="M47" i="23" a="1"/>
  <c r="M55" i="23" a="1"/>
  <c r="M46" i="23" a="1"/>
  <c r="M54" i="23" a="1"/>
  <c r="M45" i="23" a="1"/>
  <c r="M53" i="23" a="1"/>
  <c r="M44" i="23" a="1"/>
  <c r="M52" i="23" a="1"/>
  <c r="M39" i="23" a="1"/>
  <c r="M43" i="23" a="1"/>
  <c r="M51" i="23" a="1"/>
  <c r="G64" i="23" l="1"/>
  <c r="H64" i="23"/>
  <c r="L59" i="23"/>
  <c r="L60" i="23" s="1"/>
  <c r="J62" i="23"/>
  <c r="I62" i="23"/>
  <c r="K60" i="23"/>
  <c r="Y58" i="23"/>
  <c r="M51" i="23"/>
  <c r="M43" i="23"/>
  <c r="M39" i="23"/>
  <c r="M52" i="23"/>
  <c r="M44" i="23"/>
  <c r="M53" i="23"/>
  <c r="M45" i="23"/>
  <c r="M54" i="23"/>
  <c r="M46" i="23"/>
  <c r="M55" i="23"/>
  <c r="M47" i="23"/>
  <c r="M41" i="23"/>
  <c r="M56" i="23"/>
  <c r="M48" i="23"/>
  <c r="M49" i="23"/>
  <c r="M42" i="23"/>
  <c r="M38" i="23"/>
  <c r="M35" i="23"/>
  <c r="M32" i="23"/>
  <c r="M34" i="23"/>
  <c r="M22" i="23"/>
  <c r="M18" i="23"/>
  <c r="M14" i="23"/>
  <c r="M19" i="23"/>
  <c r="M15" i="23"/>
  <c r="M33" i="23"/>
  <c r="M23" i="23"/>
  <c r="M40" i="23"/>
  <c r="M30" i="23"/>
  <c r="M29" i="23"/>
  <c r="M28" i="23"/>
  <c r="M12" i="23"/>
  <c r="M50" i="23"/>
  <c r="M31" i="23"/>
  <c r="M27" i="23"/>
  <c r="M26" i="23"/>
  <c r="M25" i="23"/>
  <c r="M24" i="23"/>
  <c r="M20" i="23"/>
  <c r="M16" i="23"/>
  <c r="M37" i="23"/>
  <c r="M17" i="23"/>
  <c r="M13" i="23"/>
  <c r="M36" i="23"/>
  <c r="M21" i="23"/>
  <c r="N10" i="23"/>
  <c r="N11" i="23" s="1"/>
  <c r="B38" i="20"/>
  <c r="N18" i="23" a="1"/>
  <c r="N22" i="23" a="1"/>
  <c r="N14" i="23" a="1"/>
  <c r="N36" i="23" a="1"/>
  <c r="N13" i="23" a="1"/>
  <c r="N21" i="23" a="1"/>
  <c r="N37" i="23" a="1"/>
  <c r="N17" i="23" a="1"/>
  <c r="N24" i="23" a="1"/>
  <c r="N34" i="23" a="1"/>
  <c r="N16" i="23" a="1"/>
  <c r="N20" i="23" a="1"/>
  <c r="N25" i="23" a="1"/>
  <c r="N26" i="23" a="1"/>
  <c r="N27" i="23" a="1"/>
  <c r="N28" i="23" a="1"/>
  <c r="N31" i="23" a="1"/>
  <c r="N12" i="23" a="1"/>
  <c r="N29" i="23" a="1"/>
  <c r="N30" i="23" a="1"/>
  <c r="N15" i="23" a="1"/>
  <c r="N19" i="23" a="1"/>
  <c r="N23" i="23" a="1"/>
  <c r="N33" i="23" a="1"/>
  <c r="N51" i="23" a="1"/>
  <c r="N50" i="23" a="1"/>
  <c r="N38" i="23" a="1"/>
  <c r="N32" i="23" a="1"/>
  <c r="N35" i="23" a="1"/>
  <c r="N39" i="23" a="1"/>
  <c r="N42" i="23" a="1"/>
  <c r="N43" i="23" a="1"/>
  <c r="N49" i="23" a="1"/>
  <c r="N48" i="23" a="1"/>
  <c r="N56" i="23" a="1"/>
  <c r="N47" i="23" a="1"/>
  <c r="N55" i="23" a="1"/>
  <c r="N41" i="23" a="1"/>
  <c r="N46" i="23" a="1"/>
  <c r="N54" i="23" a="1"/>
  <c r="N45" i="23" a="1"/>
  <c r="N53" i="23" a="1"/>
  <c r="N40" i="23" a="1"/>
  <c r="N44" i="23" a="1"/>
  <c r="N52" i="23" a="1"/>
  <c r="I63" i="23" l="1"/>
  <c r="J63" i="23"/>
  <c r="M59" i="23"/>
  <c r="K61" i="23"/>
  <c r="L61" i="23"/>
  <c r="G65" i="23"/>
  <c r="H65" i="23"/>
  <c r="Z58" i="23"/>
  <c r="N52" i="23"/>
  <c r="N44" i="23"/>
  <c r="N40" i="23"/>
  <c r="N53" i="23"/>
  <c r="N45" i="23"/>
  <c r="N54" i="23"/>
  <c r="N46" i="23"/>
  <c r="N41" i="23"/>
  <c r="N55" i="23"/>
  <c r="N47" i="23"/>
  <c r="N56" i="23"/>
  <c r="N48" i="23"/>
  <c r="N49" i="23"/>
  <c r="N43" i="23"/>
  <c r="N42" i="23"/>
  <c r="N39" i="23"/>
  <c r="N35" i="23"/>
  <c r="N32" i="23"/>
  <c r="N38" i="23"/>
  <c r="N50" i="23"/>
  <c r="N51" i="23"/>
  <c r="N33" i="23"/>
  <c r="N23" i="23"/>
  <c r="N19" i="23"/>
  <c r="N15" i="23"/>
  <c r="N30" i="23"/>
  <c r="N29" i="23"/>
  <c r="N12" i="23"/>
  <c r="N31" i="23"/>
  <c r="N28" i="23"/>
  <c r="N27" i="23"/>
  <c r="N26" i="23"/>
  <c r="N25" i="23"/>
  <c r="N20" i="23"/>
  <c r="N16" i="23"/>
  <c r="N34" i="23"/>
  <c r="N24" i="23"/>
  <c r="N17" i="23"/>
  <c r="N37" i="23"/>
  <c r="N21" i="23"/>
  <c r="N13" i="23"/>
  <c r="N36" i="23"/>
  <c r="N14" i="23"/>
  <c r="N22" i="23"/>
  <c r="N18" i="23"/>
  <c r="O10" i="23"/>
  <c r="O11" i="23" s="1"/>
  <c r="B39" i="20"/>
  <c r="O15" i="23" a="1"/>
  <c r="O19" i="23" a="1"/>
  <c r="O23" i="23" a="1"/>
  <c r="O35" i="23" a="1"/>
  <c r="O22" i="23" a="1"/>
  <c r="O12" i="23" a="1"/>
  <c r="O30" i="23" a="1"/>
  <c r="O14" i="23" a="1"/>
  <c r="O18" i="23" a="1"/>
  <c r="O13" i="23" a="1"/>
  <c r="O17" i="23" a="1"/>
  <c r="O21" i="23" a="1"/>
  <c r="O24" i="23" a="1"/>
  <c r="O25" i="23" a="1"/>
  <c r="O32" i="23" a="1"/>
  <c r="O16" i="23" a="1"/>
  <c r="O20" i="23" a="1"/>
  <c r="O26" i="23" a="1"/>
  <c r="O27" i="23" a="1"/>
  <c r="O28" i="23" a="1"/>
  <c r="O29" i="23" a="1"/>
  <c r="O31" i="23" a="1"/>
  <c r="O33" i="23" a="1"/>
  <c r="O36" i="23" a="1"/>
  <c r="O51" i="23" a="1"/>
  <c r="O37" i="23" a="1"/>
  <c r="O34" i="23" a="1"/>
  <c r="O40" i="23" a="1"/>
  <c r="O38" i="23" a="1"/>
  <c r="O52" i="23" a="1"/>
  <c r="O39" i="23" a="1"/>
  <c r="O43" i="23" a="1"/>
  <c r="O44" i="23" a="1"/>
  <c r="O42" i="23" a="1"/>
  <c r="O50" i="23" a="1"/>
  <c r="O49" i="23" a="1"/>
  <c r="O48" i="23" a="1"/>
  <c r="O56" i="23" a="1"/>
  <c r="O47" i="23" a="1"/>
  <c r="O55" i="23" a="1"/>
  <c r="O46" i="23" a="1"/>
  <c r="O54" i="23" a="1"/>
  <c r="O41" i="23" a="1"/>
  <c r="O45" i="23" a="1"/>
  <c r="O53" i="23" a="1"/>
  <c r="I64" i="23" l="1"/>
  <c r="J64" i="23"/>
  <c r="N59" i="23"/>
  <c r="K62" i="23"/>
  <c r="L62" i="23"/>
  <c r="G66" i="23"/>
  <c r="H66" i="23"/>
  <c r="M60" i="23"/>
  <c r="AA58" i="23"/>
  <c r="O53" i="23"/>
  <c r="O45" i="23"/>
  <c r="O41" i="23"/>
  <c r="O54" i="23"/>
  <c r="O46" i="23"/>
  <c r="O55" i="23"/>
  <c r="O47" i="23"/>
  <c r="O56" i="23"/>
  <c r="O48" i="23"/>
  <c r="O49" i="23"/>
  <c r="O50" i="23"/>
  <c r="O42" i="23"/>
  <c r="O44" i="23"/>
  <c r="O43" i="23"/>
  <c r="O39" i="23"/>
  <c r="O52" i="23"/>
  <c r="O38" i="23"/>
  <c r="O40" i="23"/>
  <c r="O34" i="23"/>
  <c r="O37" i="23"/>
  <c r="O51" i="23"/>
  <c r="O36" i="23"/>
  <c r="O33" i="23"/>
  <c r="O31" i="23"/>
  <c r="O29" i="23"/>
  <c r="O28" i="23"/>
  <c r="O27" i="23"/>
  <c r="O26" i="23"/>
  <c r="O20" i="23"/>
  <c r="O16" i="23"/>
  <c r="O32" i="23"/>
  <c r="O25" i="23"/>
  <c r="O24" i="23"/>
  <c r="O21" i="23"/>
  <c r="O17" i="23"/>
  <c r="O13" i="23"/>
  <c r="O18" i="23"/>
  <c r="O14" i="23"/>
  <c r="O30" i="23"/>
  <c r="O12" i="23"/>
  <c r="O22" i="23"/>
  <c r="O35" i="23"/>
  <c r="O23" i="23"/>
  <c r="O19" i="23"/>
  <c r="O15" i="23"/>
  <c r="P10" i="23"/>
  <c r="P11" i="23" s="1"/>
  <c r="H39" i="20"/>
  <c r="H40" i="20" s="1"/>
  <c r="H41" i="20" s="1"/>
  <c r="H42" i="20" s="1"/>
  <c r="H43" i="20" s="1"/>
  <c r="H44" i="20" s="1"/>
  <c r="B40" i="20"/>
  <c r="P26" i="23" a="1"/>
  <c r="P16" i="23" a="1"/>
  <c r="P20" i="23" a="1"/>
  <c r="P27" i="23" a="1"/>
  <c r="P28" i="23" a="1"/>
  <c r="P29" i="23" a="1"/>
  <c r="P30" i="23" a="1"/>
  <c r="P12" i="23" a="1"/>
  <c r="P24" i="23" a="1"/>
  <c r="P23" i="23" a="1"/>
  <c r="P35" i="23" a="1"/>
  <c r="P25" i="23" a="1"/>
  <c r="P15" i="23" a="1"/>
  <c r="P19" i="23" a="1"/>
  <c r="P36" i="23" a="1"/>
  <c r="P31" i="23" a="1"/>
  <c r="P14" i="23" a="1"/>
  <c r="P18" i="23" a="1"/>
  <c r="P22" i="23" a="1"/>
  <c r="P13" i="23" a="1"/>
  <c r="P17" i="23" a="1"/>
  <c r="P21" i="23" a="1"/>
  <c r="P32" i="23" a="1"/>
  <c r="P44" i="23" a="1"/>
  <c r="P39" i="23" a="1"/>
  <c r="P33" i="23" a="1"/>
  <c r="P53" i="23" a="1"/>
  <c r="P34" i="23" a="1"/>
  <c r="P37" i="23" a="1"/>
  <c r="P45" i="23" a="1"/>
  <c r="P38" i="23" a="1"/>
  <c r="P41" i="23" a="1"/>
  <c r="P52" i="23" a="1"/>
  <c r="P43" i="23" a="1"/>
  <c r="P51" i="23" a="1"/>
  <c r="P40" i="23" a="1"/>
  <c r="P42" i="23" a="1"/>
  <c r="P50" i="23" a="1"/>
  <c r="P49" i="23" a="1"/>
  <c r="P48" i="23" a="1"/>
  <c r="P56" i="23" a="1"/>
  <c r="P47" i="23" a="1"/>
  <c r="P55" i="23" a="1"/>
  <c r="P46" i="23" a="1"/>
  <c r="P54" i="23" a="1"/>
  <c r="N60" i="23" l="1"/>
  <c r="N61" i="23" s="1"/>
  <c r="I65" i="23"/>
  <c r="J65" i="23"/>
  <c r="G67" i="23"/>
  <c r="H67" i="23"/>
  <c r="O59" i="23"/>
  <c r="O60" i="23" s="1"/>
  <c r="M61" i="23"/>
  <c r="L63" i="23"/>
  <c r="K63" i="23"/>
  <c r="AB58" i="23"/>
  <c r="P54" i="23"/>
  <c r="P46" i="23"/>
  <c r="P55" i="23"/>
  <c r="P47" i="23"/>
  <c r="P56" i="23"/>
  <c r="P48" i="23"/>
  <c r="P49" i="23"/>
  <c r="P50" i="23"/>
  <c r="P42" i="23"/>
  <c r="P40" i="23"/>
  <c r="P51" i="23"/>
  <c r="P43" i="23"/>
  <c r="P52" i="23"/>
  <c r="P41" i="23"/>
  <c r="P38" i="23"/>
  <c r="P45" i="23"/>
  <c r="P37" i="23"/>
  <c r="P34" i="23"/>
  <c r="P53" i="23"/>
  <c r="P33" i="23"/>
  <c r="P39" i="23"/>
  <c r="P44" i="23"/>
  <c r="P32" i="23"/>
  <c r="P21" i="23"/>
  <c r="P17" i="23"/>
  <c r="P13" i="23"/>
  <c r="P22" i="23"/>
  <c r="P18" i="23"/>
  <c r="P14" i="23"/>
  <c r="P31" i="23"/>
  <c r="P36" i="23"/>
  <c r="P19" i="23"/>
  <c r="P15" i="23"/>
  <c r="P25" i="23"/>
  <c r="P35" i="23"/>
  <c r="P23" i="23"/>
  <c r="P24" i="23"/>
  <c r="P12" i="23"/>
  <c r="P30" i="23"/>
  <c r="P29" i="23"/>
  <c r="P28" i="23"/>
  <c r="P27" i="23"/>
  <c r="P20" i="23"/>
  <c r="P16" i="23"/>
  <c r="P26" i="23"/>
  <c r="Q10" i="23"/>
  <c r="Q11" i="23" s="1"/>
  <c r="B41" i="20"/>
  <c r="Q17" i="23" a="1"/>
  <c r="Q21" i="23" a="1"/>
  <c r="Q32" i="23" a="1"/>
  <c r="Q24" i="23" a="1"/>
  <c r="Q25" i="23" a="1"/>
  <c r="Q26" i="23" a="1"/>
  <c r="Q27" i="23" a="1"/>
  <c r="Q34" i="23" a="1"/>
  <c r="Q13" i="23" a="1"/>
  <c r="Q12" i="23" a="1"/>
  <c r="Q20" i="23" a="1"/>
  <c r="Q28" i="23" a="1"/>
  <c r="Q29" i="23" a="1"/>
  <c r="Q30" i="23" a="1"/>
  <c r="Q16" i="23" a="1"/>
  <c r="Q37" i="23" a="1"/>
  <c r="Q15" i="23" a="1"/>
  <c r="Q19" i="23" a="1"/>
  <c r="Q23" i="23" a="1"/>
  <c r="Q54" i="23" a="1"/>
  <c r="Q14" i="23" a="1"/>
  <c r="Q18" i="23" a="1"/>
  <c r="Q22" i="23" a="1"/>
  <c r="Q35" i="23" a="1"/>
  <c r="Q38" i="23" a="1"/>
  <c r="Q33" i="23" a="1"/>
  <c r="Q36" i="23" a="1"/>
  <c r="Q46" i="23" a="1"/>
  <c r="Q31" i="23" a="1"/>
  <c r="Q53" i="23" a="1"/>
  <c r="Q40" i="23" a="1"/>
  <c r="Q42" i="23" a="1"/>
  <c r="Q45" i="23" a="1"/>
  <c r="Q44" i="23" a="1"/>
  <c r="Q52" i="23" a="1"/>
  <c r="Q41" i="23" a="1"/>
  <c r="Q43" i="23" a="1"/>
  <c r="Q51" i="23" a="1"/>
  <c r="Q50" i="23" a="1"/>
  <c r="Q49" i="23" a="1"/>
  <c r="Q48" i="23" a="1"/>
  <c r="Q56" i="23" a="1"/>
  <c r="Q39" i="23" a="1"/>
  <c r="Q47" i="23" a="1"/>
  <c r="Q55" i="23" a="1"/>
  <c r="J66" i="23" l="1"/>
  <c r="I66" i="23"/>
  <c r="K64" i="23"/>
  <c r="L64" i="23"/>
  <c r="G68" i="23"/>
  <c r="H68" i="23"/>
  <c r="M62" i="23"/>
  <c r="N62" i="23"/>
  <c r="P59" i="23"/>
  <c r="P60" i="23" s="1"/>
  <c r="O61" i="23"/>
  <c r="O62" i="23" s="1"/>
  <c r="AC58" i="23"/>
  <c r="Q55" i="23"/>
  <c r="Q47" i="23"/>
  <c r="Q39" i="23"/>
  <c r="Q56" i="23"/>
  <c r="Q48" i="23"/>
  <c r="Q49" i="23"/>
  <c r="Q50" i="23"/>
  <c r="Q51" i="23"/>
  <c r="Q43" i="23"/>
  <c r="Q41" i="23"/>
  <c r="Q52" i="23"/>
  <c r="Q44" i="23"/>
  <c r="Q45" i="23"/>
  <c r="Q42" i="23"/>
  <c r="Q40" i="23"/>
  <c r="Q53" i="23"/>
  <c r="Q31" i="23"/>
  <c r="Q46" i="23"/>
  <c r="Q36" i="23"/>
  <c r="Q33" i="23"/>
  <c r="Q38" i="23"/>
  <c r="Q35" i="23"/>
  <c r="Q22" i="23"/>
  <c r="Q18" i="23"/>
  <c r="Q14" i="23"/>
  <c r="Q54" i="23"/>
  <c r="Q23" i="23"/>
  <c r="Q19" i="23"/>
  <c r="Q15" i="23"/>
  <c r="Q37" i="23"/>
  <c r="Q16" i="23"/>
  <c r="Q30" i="23"/>
  <c r="Q29" i="23"/>
  <c r="Q28" i="23"/>
  <c r="Q20" i="23"/>
  <c r="Q12" i="23"/>
  <c r="Q13" i="23"/>
  <c r="Q34" i="23"/>
  <c r="Q27" i="23"/>
  <c r="Q26" i="23"/>
  <c r="Q25" i="23"/>
  <c r="Q24" i="23"/>
  <c r="Q32" i="23"/>
  <c r="Q21" i="23"/>
  <c r="Q17" i="23"/>
  <c r="R10" i="23"/>
  <c r="R11" i="23" s="1"/>
  <c r="B42" i="20"/>
  <c r="R14" i="23" a="1"/>
  <c r="R18" i="23" a="1"/>
  <c r="R22" i="23" a="1"/>
  <c r="R33" i="23" a="1"/>
  <c r="R47" i="23" a="1"/>
  <c r="R31" i="23" a="1"/>
  <c r="R17" i="23" a="1"/>
  <c r="R21" i="23" a="1"/>
  <c r="R24" i="23" a="1"/>
  <c r="R34" i="23" a="1"/>
  <c r="R13" i="23" a="1"/>
  <c r="R25" i="23" a="1"/>
  <c r="R26" i="23" a="1"/>
  <c r="R27" i="23" a="1"/>
  <c r="R28" i="23" a="1"/>
  <c r="R12" i="23" a="1"/>
  <c r="R20" i="23" a="1"/>
  <c r="R29" i="23" a="1"/>
  <c r="R30" i="23" a="1"/>
  <c r="R37" i="23" a="1"/>
  <c r="R16" i="23" a="1"/>
  <c r="R38" i="23" a="1"/>
  <c r="R15" i="23" a="1"/>
  <c r="R19" i="23" a="1"/>
  <c r="R23" i="23" a="1"/>
  <c r="R43" i="23" a="1"/>
  <c r="R55" i="23" a="1"/>
  <c r="R32" i="23" a="1"/>
  <c r="R35" i="23" a="1"/>
  <c r="R39" i="23" a="1"/>
  <c r="R54" i="23" a="1"/>
  <c r="R36" i="23" a="1"/>
  <c r="R46" i="23" a="1"/>
  <c r="R45" i="23" a="1"/>
  <c r="R53" i="23" a="1"/>
  <c r="R44" i="23" a="1"/>
  <c r="R52" i="23" a="1"/>
  <c r="R51" i="23" a="1"/>
  <c r="R41" i="23" a="1"/>
  <c r="R42" i="23" a="1"/>
  <c r="R50" i="23" a="1"/>
  <c r="R49" i="23" a="1"/>
  <c r="R40" i="23" a="1"/>
  <c r="R48" i="23" a="1"/>
  <c r="R56" i="23" a="1"/>
  <c r="M63" i="23" l="1"/>
  <c r="O63" i="23"/>
  <c r="N63" i="23"/>
  <c r="I67" i="23"/>
  <c r="J67" i="23"/>
  <c r="Q59" i="23"/>
  <c r="Q60" i="23" s="1"/>
  <c r="Q61" i="23" s="1"/>
  <c r="P61" i="23"/>
  <c r="L65" i="23"/>
  <c r="K65" i="23"/>
  <c r="R56" i="23"/>
  <c r="R48" i="23"/>
  <c r="R40" i="23"/>
  <c r="R49" i="23"/>
  <c r="R50" i="23"/>
  <c r="R42" i="23"/>
  <c r="R41" i="23"/>
  <c r="R51" i="23"/>
  <c r="R52" i="23"/>
  <c r="R44" i="23"/>
  <c r="R53" i="23"/>
  <c r="R45" i="23"/>
  <c r="R46" i="23"/>
  <c r="R36" i="23"/>
  <c r="R54" i="23"/>
  <c r="R39" i="23"/>
  <c r="R35" i="23"/>
  <c r="R32" i="23"/>
  <c r="R55" i="23"/>
  <c r="R43" i="23"/>
  <c r="R23" i="23"/>
  <c r="R19" i="23"/>
  <c r="R15" i="23"/>
  <c r="R38" i="23"/>
  <c r="R16" i="23"/>
  <c r="R37" i="23"/>
  <c r="R30" i="23"/>
  <c r="R29" i="23"/>
  <c r="R20" i="23"/>
  <c r="R12" i="23"/>
  <c r="R28" i="23"/>
  <c r="R27" i="23"/>
  <c r="R26" i="23"/>
  <c r="R25" i="23"/>
  <c r="R13" i="23"/>
  <c r="R34" i="23"/>
  <c r="R24" i="23"/>
  <c r="R21" i="23"/>
  <c r="R17" i="23"/>
  <c r="R31" i="23"/>
  <c r="R47" i="23"/>
  <c r="R33" i="23"/>
  <c r="R22" i="23"/>
  <c r="R18" i="23"/>
  <c r="R14" i="23"/>
  <c r="S10" i="23"/>
  <c r="S11" i="23" s="1"/>
  <c r="B43" i="20"/>
  <c r="S19" i="23" a="1"/>
  <c r="S23" i="23" a="1"/>
  <c r="S15" i="23" a="1"/>
  <c r="S33" i="23" a="1"/>
  <c r="S14" i="23" a="1"/>
  <c r="S18" i="23" a="1"/>
  <c r="S22" i="23" a="1"/>
  <c r="S34" i="23" a="1"/>
  <c r="S12" i="23" a="1"/>
  <c r="S21" i="23" a="1"/>
  <c r="S24" i="23" a="1"/>
  <c r="S25" i="23" a="1"/>
  <c r="S40" i="23" a="1"/>
  <c r="S13" i="23" a="1"/>
  <c r="S17" i="23" a="1"/>
  <c r="S26" i="23" a="1"/>
  <c r="S27" i="23" a="1"/>
  <c r="S28" i="23" a="1"/>
  <c r="S29" i="23" a="1"/>
  <c r="S36" i="23" a="1"/>
  <c r="S16" i="23" a="1"/>
  <c r="S20" i="23" a="1"/>
  <c r="S30" i="23" a="1"/>
  <c r="S48" i="23" a="1"/>
  <c r="S31" i="23" a="1"/>
  <c r="S37" i="23" a="1"/>
  <c r="S44" i="23" a="1"/>
  <c r="S55" i="23" a="1"/>
  <c r="S47" i="23" a="1"/>
  <c r="S35" i="23" a="1"/>
  <c r="S38" i="23" a="1"/>
  <c r="S39" i="23" a="1"/>
  <c r="S32" i="23" a="1"/>
  <c r="S56" i="23" a="1"/>
  <c r="S46" i="23" a="1"/>
  <c r="S54" i="23" a="1"/>
  <c r="S45" i="23" a="1"/>
  <c r="S53" i="23" a="1"/>
  <c r="S52" i="23" a="1"/>
  <c r="S43" i="23" a="1"/>
  <c r="S51" i="23" a="1"/>
  <c r="S42" i="23" a="1"/>
  <c r="S50" i="23" a="1"/>
  <c r="S41" i="23" a="1"/>
  <c r="S49" i="23" a="1"/>
  <c r="Q62" i="23" l="1"/>
  <c r="L66" i="23"/>
  <c r="K66" i="23"/>
  <c r="R59" i="23"/>
  <c r="R60" i="23" s="1"/>
  <c r="R61" i="23" s="1"/>
  <c r="R62" i="23" s="1"/>
  <c r="I68" i="23"/>
  <c r="J68" i="23"/>
  <c r="M64" i="23"/>
  <c r="N64" i="23"/>
  <c r="O64" i="23"/>
  <c r="P62" i="23"/>
  <c r="S49" i="23"/>
  <c r="S41" i="23"/>
  <c r="S50" i="23"/>
  <c r="S42" i="23"/>
  <c r="S51" i="23"/>
  <c r="S43" i="23"/>
  <c r="S52" i="23"/>
  <c r="S53" i="23"/>
  <c r="S45" i="23"/>
  <c r="S54" i="23"/>
  <c r="S46" i="23"/>
  <c r="S56" i="23"/>
  <c r="S32" i="23"/>
  <c r="S39" i="23"/>
  <c r="S38" i="23"/>
  <c r="S35" i="23"/>
  <c r="S47" i="23"/>
  <c r="S55" i="23"/>
  <c r="S44" i="23"/>
  <c r="S37" i="23"/>
  <c r="S31" i="23"/>
  <c r="S48" i="23"/>
  <c r="S30" i="23"/>
  <c r="S20" i="23"/>
  <c r="S16" i="23"/>
  <c r="S36" i="23"/>
  <c r="S29" i="23"/>
  <c r="S28" i="23"/>
  <c r="S27" i="23"/>
  <c r="S26" i="23"/>
  <c r="S17" i="23"/>
  <c r="S13" i="23"/>
  <c r="S40" i="23"/>
  <c r="S25" i="23"/>
  <c r="S24" i="23"/>
  <c r="S21" i="23"/>
  <c r="S12" i="23"/>
  <c r="S34" i="23"/>
  <c r="S22" i="23"/>
  <c r="S18" i="23"/>
  <c r="S14" i="23"/>
  <c r="S33" i="23"/>
  <c r="S15" i="23"/>
  <c r="S23" i="23"/>
  <c r="S19" i="23"/>
  <c r="T10" i="23"/>
  <c r="T11" i="23" s="1"/>
  <c r="B44" i="20"/>
  <c r="K13" i="20"/>
  <c r="T20" i="23" a="1"/>
  <c r="T32" i="23" a="1"/>
  <c r="T27" i="23" a="1"/>
  <c r="T16" i="23" a="1"/>
  <c r="T41" i="23" a="1"/>
  <c r="T29" i="23" a="1"/>
  <c r="T30" i="23" a="1"/>
  <c r="T12" i="23" a="1"/>
  <c r="T15" i="23" a="1"/>
  <c r="T19" i="23" a="1"/>
  <c r="T23" i="23" a="1"/>
  <c r="T28" i="23" a="1"/>
  <c r="T22" i="23" a="1"/>
  <c r="T35" i="23" a="1"/>
  <c r="T14" i="23" a="1"/>
  <c r="T18" i="23" a="1"/>
  <c r="T13" i="23" a="1"/>
  <c r="T17" i="23" a="1"/>
  <c r="T21" i="23" a="1"/>
  <c r="T24" i="23" a="1"/>
  <c r="T25" i="23" a="1"/>
  <c r="T26" i="23" a="1"/>
  <c r="T36" i="23" a="1"/>
  <c r="T33" i="23" a="1"/>
  <c r="T48" i="23" a="1"/>
  <c r="T31" i="23" a="1"/>
  <c r="T34" i="23" a="1"/>
  <c r="T37" i="23" a="1"/>
  <c r="T38" i="23" a="1"/>
  <c r="T39" i="23" a="1"/>
  <c r="T49" i="23" a="1"/>
  <c r="T56" i="23" a="1"/>
  <c r="T47" i="23" a="1"/>
  <c r="T55" i="23" a="1"/>
  <c r="T40" i="23" a="1"/>
  <c r="T46" i="23" a="1"/>
  <c r="T54" i="23" a="1"/>
  <c r="T45" i="23" a="1"/>
  <c r="T53" i="23" a="1"/>
  <c r="T44" i="23" a="1"/>
  <c r="T52" i="23" a="1"/>
  <c r="T43" i="23" a="1"/>
  <c r="T51" i="23" a="1"/>
  <c r="T42" i="23" a="1"/>
  <c r="T50" i="23" a="1"/>
  <c r="S59" i="23" l="1"/>
  <c r="S60" i="23" s="1"/>
  <c r="S61" i="23" s="1"/>
  <c r="S62" i="23" s="1"/>
  <c r="S63" i="23" s="1"/>
  <c r="N65" i="23"/>
  <c r="O65" i="23"/>
  <c r="M65" i="23"/>
  <c r="Q63" i="23"/>
  <c r="R63" i="23"/>
  <c r="P63" i="23"/>
  <c r="L67" i="23"/>
  <c r="K67" i="23"/>
  <c r="T50" i="23"/>
  <c r="T42" i="23"/>
  <c r="T51" i="23"/>
  <c r="T43" i="23"/>
  <c r="T52" i="23"/>
  <c r="T44" i="23"/>
  <c r="T53" i="23"/>
  <c r="T45" i="23"/>
  <c r="T54" i="23"/>
  <c r="T46" i="23"/>
  <c r="T40" i="23"/>
  <c r="T55" i="23"/>
  <c r="T47" i="23"/>
  <c r="T56" i="23"/>
  <c r="T49" i="23"/>
  <c r="T39" i="23"/>
  <c r="T38" i="23"/>
  <c r="T37" i="23"/>
  <c r="T34" i="23"/>
  <c r="T31" i="23"/>
  <c r="T48" i="23"/>
  <c r="T33" i="23"/>
  <c r="T36" i="23"/>
  <c r="T26" i="23"/>
  <c r="T25" i="23"/>
  <c r="T24" i="23"/>
  <c r="T21" i="23"/>
  <c r="T17" i="23"/>
  <c r="T13" i="23"/>
  <c r="T18" i="23"/>
  <c r="T14" i="23"/>
  <c r="T35" i="23"/>
  <c r="T22" i="23"/>
  <c r="T28" i="23"/>
  <c r="T23" i="23"/>
  <c r="T19" i="23"/>
  <c r="T15" i="23"/>
  <c r="T12" i="23"/>
  <c r="T30" i="23"/>
  <c r="T29" i="23"/>
  <c r="T41" i="23"/>
  <c r="T16" i="23"/>
  <c r="T27" i="23"/>
  <c r="T32" i="23"/>
  <c r="T20" i="23"/>
  <c r="U10" i="23"/>
  <c r="U11" i="23" s="1"/>
  <c r="B45" i="20"/>
  <c r="R13" i="20"/>
  <c r="N13" i="20"/>
  <c r="P13" i="20"/>
  <c r="U36" i="23" a="1"/>
  <c r="U13" i="23" a="1"/>
  <c r="U21" i="23" a="1"/>
  <c r="U24" i="23" a="1"/>
  <c r="U25" i="23" a="1"/>
  <c r="U26" i="23" a="1"/>
  <c r="U27" i="23" a="1"/>
  <c r="U17" i="23" a="1"/>
  <c r="U28" i="23" a="1"/>
  <c r="U29" i="23" a="1"/>
  <c r="U30" i="23" a="1"/>
  <c r="U32" i="23" a="1"/>
  <c r="U12" i="23" a="1"/>
  <c r="U16" i="23" a="1"/>
  <c r="U20" i="23" a="1"/>
  <c r="U33" i="23" a="1"/>
  <c r="U23" i="23" a="1"/>
  <c r="U15" i="23" a="1"/>
  <c r="U19" i="23" a="1"/>
  <c r="U35" i="23" a="1"/>
  <c r="U14" i="23" a="1"/>
  <c r="U18" i="23" a="1"/>
  <c r="U22" i="23" a="1"/>
  <c r="U42" i="23" a="1"/>
  <c r="U37" i="23" a="1"/>
  <c r="U50" i="23" a="1"/>
  <c r="U31" i="23" a="1"/>
  <c r="U34" i="23" a="1"/>
  <c r="U38" i="23" a="1"/>
  <c r="U49" i="23" a="1"/>
  <c r="U48" i="23" a="1"/>
  <c r="U56" i="23" a="1"/>
  <c r="U41" i="23" a="1"/>
  <c r="U47" i="23" a="1"/>
  <c r="U55" i="23" a="1"/>
  <c r="U46" i="23" a="1"/>
  <c r="U54" i="23" a="1"/>
  <c r="U40" i="23" a="1"/>
  <c r="U45" i="23" a="1"/>
  <c r="U53" i="23" a="1"/>
  <c r="U44" i="23" a="1"/>
  <c r="U52" i="23" a="1"/>
  <c r="U39" i="23" a="1"/>
  <c r="U43" i="23" a="1"/>
  <c r="U51" i="23" a="1"/>
  <c r="M12" i="20" a="1"/>
  <c r="L12" i="20" a="1"/>
  <c r="T59" i="23" l="1"/>
  <c r="T60" i="23" s="1"/>
  <c r="T61" i="23" s="1"/>
  <c r="T62" i="23" s="1"/>
  <c r="T63" i="23" s="1"/>
  <c r="T64" i="23" s="1"/>
  <c r="P64" i="23"/>
  <c r="S64" i="23"/>
  <c r="Q64" i="23"/>
  <c r="R64" i="23"/>
  <c r="M66" i="23"/>
  <c r="O66" i="23"/>
  <c r="N66" i="23"/>
  <c r="L68" i="23"/>
  <c r="K68" i="23"/>
  <c r="U51" i="23"/>
  <c r="U43" i="23"/>
  <c r="U39" i="23"/>
  <c r="U52" i="23"/>
  <c r="U44" i="23"/>
  <c r="U53" i="23"/>
  <c r="U45" i="23"/>
  <c r="U40" i="23"/>
  <c r="U54" i="23"/>
  <c r="U46" i="23"/>
  <c r="U55" i="23"/>
  <c r="U47" i="23"/>
  <c r="U41" i="23"/>
  <c r="U56" i="23"/>
  <c r="U48" i="23"/>
  <c r="U49" i="23"/>
  <c r="U38" i="23"/>
  <c r="U34" i="23"/>
  <c r="U31" i="23"/>
  <c r="U50" i="23"/>
  <c r="U37" i="23"/>
  <c r="U42" i="23"/>
  <c r="U22" i="23"/>
  <c r="U18" i="23"/>
  <c r="U14" i="23"/>
  <c r="U35" i="23"/>
  <c r="U19" i="23"/>
  <c r="U15" i="23"/>
  <c r="U23" i="23"/>
  <c r="U33" i="23"/>
  <c r="U20" i="23"/>
  <c r="U16" i="23"/>
  <c r="U12" i="23"/>
  <c r="U32" i="23"/>
  <c r="U30" i="23"/>
  <c r="U29" i="23"/>
  <c r="U28" i="23"/>
  <c r="U17" i="23"/>
  <c r="U27" i="23"/>
  <c r="U26" i="23"/>
  <c r="U25" i="23"/>
  <c r="U24" i="23"/>
  <c r="U21" i="23"/>
  <c r="U13" i="23"/>
  <c r="U36" i="23"/>
  <c r="V10" i="23"/>
  <c r="V11" i="23" s="1"/>
  <c r="L12" i="20"/>
  <c r="M12" i="20"/>
  <c r="B46" i="20"/>
  <c r="H45" i="20"/>
  <c r="H46" i="20" s="1"/>
  <c r="H47" i="20" s="1"/>
  <c r="H48" i="20" s="1"/>
  <c r="H49" i="20" s="1"/>
  <c r="H50" i="20" s="1"/>
  <c r="Q13" i="20"/>
  <c r="V18" i="23" a="1"/>
  <c r="V22" i="23" a="1"/>
  <c r="V14" i="23" a="1"/>
  <c r="V24" i="23" a="1"/>
  <c r="V13" i="23" a="1"/>
  <c r="V21" i="23" a="1"/>
  <c r="V25" i="23" a="1"/>
  <c r="V26" i="23" a="1"/>
  <c r="V27" i="23" a="1"/>
  <c r="V28" i="23" a="1"/>
  <c r="V17" i="23" a="1"/>
  <c r="V29" i="23" a="1"/>
  <c r="V30" i="23" a="1"/>
  <c r="V51" i="23" a="1"/>
  <c r="V16" i="23" a="1"/>
  <c r="V34" i="23" a="1"/>
  <c r="V12" i="23" a="1"/>
  <c r="V20" i="23" a="1"/>
  <c r="V31" i="23" a="1"/>
  <c r="V15" i="23" a="1"/>
  <c r="V19" i="23" a="1"/>
  <c r="V23" i="23" a="1"/>
  <c r="V38" i="23" a="1"/>
  <c r="V39" i="23" a="1"/>
  <c r="V32" i="23" a="1"/>
  <c r="V35" i="23" a="1"/>
  <c r="V42" i="23" a="1"/>
  <c r="V43" i="23" a="1"/>
  <c r="V36" i="23" a="1"/>
  <c r="V33" i="23" a="1"/>
  <c r="V50" i="23" a="1"/>
  <c r="V37" i="23" a="1"/>
  <c r="V49" i="23" a="1"/>
  <c r="V48" i="23" a="1"/>
  <c r="V56" i="23" a="1"/>
  <c r="V47" i="23" a="1"/>
  <c r="V55" i="23" a="1"/>
  <c r="V41" i="23" a="1"/>
  <c r="V46" i="23" a="1"/>
  <c r="V54" i="23" a="1"/>
  <c r="V45" i="23" a="1"/>
  <c r="V53" i="23" a="1"/>
  <c r="V40" i="23" a="1"/>
  <c r="V44" i="23" a="1"/>
  <c r="V52" i="23" a="1"/>
  <c r="U59" i="23" l="1"/>
  <c r="U60" i="23" s="1"/>
  <c r="U61" i="23" s="1"/>
  <c r="U62" i="23" s="1"/>
  <c r="U63" i="23" s="1"/>
  <c r="U64" i="23" s="1"/>
  <c r="U65" i="23" s="1"/>
  <c r="Q65" i="23"/>
  <c r="T65" i="23"/>
  <c r="S65" i="23"/>
  <c r="P65" i="23"/>
  <c r="R65" i="23"/>
  <c r="M67" i="23"/>
  <c r="N67" i="23"/>
  <c r="O67" i="23"/>
  <c r="V52" i="23"/>
  <c r="V44" i="23"/>
  <c r="V40" i="23"/>
  <c r="V53" i="23"/>
  <c r="V45" i="23"/>
  <c r="V54" i="23"/>
  <c r="V46" i="23"/>
  <c r="V41" i="23"/>
  <c r="V55" i="23"/>
  <c r="V47" i="23"/>
  <c r="V56" i="23"/>
  <c r="V48" i="23"/>
  <c r="V49" i="23"/>
  <c r="V37" i="23"/>
  <c r="V50" i="23"/>
  <c r="V33" i="23"/>
  <c r="V36" i="23"/>
  <c r="V43" i="23"/>
  <c r="V42" i="23"/>
  <c r="V35" i="23"/>
  <c r="V32" i="23"/>
  <c r="V39" i="23"/>
  <c r="V38" i="23"/>
  <c r="V23" i="23"/>
  <c r="V19" i="23"/>
  <c r="V15" i="23"/>
  <c r="V31" i="23"/>
  <c r="V20" i="23"/>
  <c r="V12" i="23"/>
  <c r="V34" i="23"/>
  <c r="V16" i="23"/>
  <c r="V51" i="23"/>
  <c r="V30" i="23"/>
  <c r="V29" i="23"/>
  <c r="V17" i="23"/>
  <c r="V28" i="23"/>
  <c r="V27" i="23"/>
  <c r="V26" i="23"/>
  <c r="V25" i="23"/>
  <c r="V21" i="23"/>
  <c r="V13" i="23"/>
  <c r="V24" i="23"/>
  <c r="V14" i="23"/>
  <c r="V22" i="23"/>
  <c r="V18" i="23"/>
  <c r="W10" i="23"/>
  <c r="W11" i="23" s="1"/>
  <c r="R12" i="20"/>
  <c r="N12" i="20"/>
  <c r="O12" i="20"/>
  <c r="P12" i="20"/>
  <c r="B47" i="20"/>
  <c r="W12" i="23" a="1"/>
  <c r="W15" i="23" a="1"/>
  <c r="W19" i="23" a="1"/>
  <c r="W23" i="23" a="1"/>
  <c r="W22" i="23" a="1"/>
  <c r="W35" i="23" a="1"/>
  <c r="W14" i="23" a="1"/>
  <c r="W18" i="23" a="1"/>
  <c r="W24" i="23" a="1"/>
  <c r="W25" i="23" a="1"/>
  <c r="W38" i="23" a="1"/>
  <c r="W13" i="23" a="1"/>
  <c r="W17" i="23" a="1"/>
  <c r="W21" i="23" a="1"/>
  <c r="W26" i="23" a="1"/>
  <c r="W27" i="23" a="1"/>
  <c r="W28" i="23" a="1"/>
  <c r="W29" i="23" a="1"/>
  <c r="W30" i="23" a="1"/>
  <c r="W43" i="23" a="1"/>
  <c r="W16" i="23" a="1"/>
  <c r="W20" i="23" a="1"/>
  <c r="W34" i="23" a="1"/>
  <c r="W44" i="23" a="1"/>
  <c r="W52" i="23" a="1"/>
  <c r="W31" i="23" a="1"/>
  <c r="W39" i="23" a="1"/>
  <c r="W32" i="23" a="1"/>
  <c r="W40" i="23" a="1"/>
  <c r="W51" i="23" a="1"/>
  <c r="W33" i="23" a="1"/>
  <c r="W36" i="23" a="1"/>
  <c r="W37" i="23" a="1"/>
  <c r="W42" i="23" a="1"/>
  <c r="W50" i="23" a="1"/>
  <c r="W49" i="23" a="1"/>
  <c r="W48" i="23" a="1"/>
  <c r="W56" i="23" a="1"/>
  <c r="W47" i="23" a="1"/>
  <c r="W55" i="23" a="1"/>
  <c r="W46" i="23" a="1"/>
  <c r="W54" i="23" a="1"/>
  <c r="W41" i="23" a="1"/>
  <c r="W45" i="23" a="1"/>
  <c r="W53" i="23" a="1"/>
  <c r="M68" i="23" l="1"/>
  <c r="N68" i="23"/>
  <c r="O68" i="23"/>
  <c r="V59" i="23"/>
  <c r="V60" i="23" s="1"/>
  <c r="V61" i="23" s="1"/>
  <c r="V62" i="23" s="1"/>
  <c r="V63" i="23" s="1"/>
  <c r="V64" i="23" s="1"/>
  <c r="V65" i="23" s="1"/>
  <c r="V66" i="23" s="1"/>
  <c r="Q66" i="23"/>
  <c r="T66" i="23"/>
  <c r="U66" i="23"/>
  <c r="P66" i="23"/>
  <c r="R66" i="23"/>
  <c r="S66" i="23"/>
  <c r="W53" i="23"/>
  <c r="W45" i="23"/>
  <c r="W41" i="23"/>
  <c r="W54" i="23"/>
  <c r="W46" i="23"/>
  <c r="W55" i="23"/>
  <c r="W47" i="23"/>
  <c r="W56" i="23"/>
  <c r="W48" i="23"/>
  <c r="W49" i="23"/>
  <c r="W50" i="23"/>
  <c r="W42" i="23"/>
  <c r="W37" i="23"/>
  <c r="W36" i="23"/>
  <c r="W33" i="23"/>
  <c r="W51" i="23"/>
  <c r="W40" i="23"/>
  <c r="W32" i="23"/>
  <c r="W39" i="23"/>
  <c r="W31" i="23"/>
  <c r="W52" i="23"/>
  <c r="W44" i="23"/>
  <c r="W34" i="23"/>
  <c r="W20" i="23"/>
  <c r="W16" i="23"/>
  <c r="W43" i="23"/>
  <c r="W30" i="23"/>
  <c r="W29" i="23"/>
  <c r="W28" i="23"/>
  <c r="W27" i="23"/>
  <c r="W26" i="23"/>
  <c r="W21" i="23"/>
  <c r="W17" i="23"/>
  <c r="W13" i="23"/>
  <c r="W38" i="23"/>
  <c r="W25" i="23"/>
  <c r="W24" i="23"/>
  <c r="W18" i="23"/>
  <c r="W14" i="23"/>
  <c r="W35" i="23"/>
  <c r="W22" i="23"/>
  <c r="W23" i="23"/>
  <c r="W19" i="23"/>
  <c r="W15" i="23"/>
  <c r="W12" i="23"/>
  <c r="X10" i="23"/>
  <c r="X11" i="23" s="1"/>
  <c r="Q12" i="20"/>
  <c r="S13" i="20"/>
  <c r="S18" i="20"/>
  <c r="S56" i="20"/>
  <c r="S43" i="20"/>
  <c r="S48" i="20"/>
  <c r="S47" i="20"/>
  <c r="S44" i="20"/>
  <c r="S34" i="20"/>
  <c r="S51" i="20"/>
  <c r="S38" i="20"/>
  <c r="S55" i="20"/>
  <c r="S53" i="20"/>
  <c r="S42" i="20"/>
  <c r="S29" i="20"/>
  <c r="S27" i="20"/>
  <c r="S22" i="20"/>
  <c r="S52" i="20"/>
  <c r="S54" i="20"/>
  <c r="S26" i="20"/>
  <c r="S46" i="20"/>
  <c r="S16" i="20"/>
  <c r="S50" i="20"/>
  <c r="S41" i="20"/>
  <c r="S49" i="20"/>
  <c r="S14" i="20"/>
  <c r="S19" i="20"/>
  <c r="S25" i="20"/>
  <c r="S24" i="20"/>
  <c r="S21" i="20"/>
  <c r="S33" i="20"/>
  <c r="S31" i="20"/>
  <c r="S20" i="20"/>
  <c r="S39" i="20"/>
  <c r="S23" i="20"/>
  <c r="S40" i="20"/>
  <c r="S36" i="20"/>
  <c r="S35" i="20"/>
  <c r="S32" i="20"/>
  <c r="S15" i="20"/>
  <c r="S30" i="20"/>
  <c r="S37" i="20"/>
  <c r="S17" i="20"/>
  <c r="S45" i="20"/>
  <c r="S28" i="20"/>
  <c r="B48" i="20"/>
  <c r="X12" i="23" a="1"/>
  <c r="X16" i="23" a="1"/>
  <c r="X20" i="23" a="1"/>
  <c r="X36" i="23" a="1"/>
  <c r="X19" i="23" a="1"/>
  <c r="X23" i="23" a="1"/>
  <c r="X15" i="23" a="1"/>
  <c r="X14" i="23" a="1"/>
  <c r="X18" i="23" a="1"/>
  <c r="X22" i="23" a="1"/>
  <c r="X24" i="23" a="1"/>
  <c r="X25" i="23" a="1"/>
  <c r="X26" i="23" a="1"/>
  <c r="X33" i="23" a="1"/>
  <c r="X13" i="23" a="1"/>
  <c r="X17" i="23" a="1"/>
  <c r="X21" i="23" a="1"/>
  <c r="X27" i="23" a="1"/>
  <c r="X28" i="23" a="1"/>
  <c r="X29" i="23" a="1"/>
  <c r="X30" i="23" a="1"/>
  <c r="X45" i="23" a="1"/>
  <c r="X34" i="23" a="1"/>
  <c r="X37" i="23" a="1"/>
  <c r="X52" i="23" a="1"/>
  <c r="X31" i="23" a="1"/>
  <c r="X38" i="23" a="1"/>
  <c r="X39" i="23" a="1"/>
  <c r="X44" i="23" a="1"/>
  <c r="X32" i="23" a="1"/>
  <c r="X35" i="23" a="1"/>
  <c r="X41" i="23" a="1"/>
  <c r="X53" i="23" a="1"/>
  <c r="X43" i="23" a="1"/>
  <c r="X51" i="23" a="1"/>
  <c r="X40" i="23" a="1"/>
  <c r="X42" i="23" a="1"/>
  <c r="X50" i="23" a="1"/>
  <c r="X49" i="23" a="1"/>
  <c r="X48" i="23" a="1"/>
  <c r="X56" i="23" a="1"/>
  <c r="X47" i="23" a="1"/>
  <c r="X55" i="23" a="1"/>
  <c r="X46" i="23" a="1"/>
  <c r="X54" i="23" a="1"/>
  <c r="W59" i="23" l="1"/>
  <c r="W60" i="23" s="1"/>
  <c r="W61" i="23" s="1"/>
  <c r="W62" i="23" s="1"/>
  <c r="W63" i="23" s="1"/>
  <c r="W64" i="23" s="1"/>
  <c r="W65" i="23" s="1"/>
  <c r="W66" i="23" s="1"/>
  <c r="W67" i="23" s="1"/>
  <c r="P67" i="23"/>
  <c r="V67" i="23"/>
  <c r="S67" i="23"/>
  <c r="U67" i="23"/>
  <c r="R67" i="23"/>
  <c r="T67" i="23"/>
  <c r="Q67" i="23"/>
  <c r="X54" i="23"/>
  <c r="X46" i="23"/>
  <c r="X55" i="23"/>
  <c r="X47" i="23"/>
  <c r="X56" i="23"/>
  <c r="X48" i="23"/>
  <c r="X49" i="23"/>
  <c r="X50" i="23"/>
  <c r="X42" i="23"/>
  <c r="X40" i="23"/>
  <c r="X51" i="23"/>
  <c r="X43" i="23"/>
  <c r="X53" i="23"/>
  <c r="X41" i="23"/>
  <c r="X35" i="23"/>
  <c r="X32" i="23"/>
  <c r="X44" i="23"/>
  <c r="X39" i="23"/>
  <c r="X38" i="23"/>
  <c r="X31" i="23"/>
  <c r="X52" i="23"/>
  <c r="X37" i="23"/>
  <c r="X34" i="23"/>
  <c r="X45" i="23"/>
  <c r="X30" i="23"/>
  <c r="X29" i="23"/>
  <c r="X28" i="23"/>
  <c r="X27" i="23"/>
  <c r="X21" i="23"/>
  <c r="X17" i="23"/>
  <c r="X13" i="23"/>
  <c r="X33" i="23"/>
  <c r="X26" i="23"/>
  <c r="X25" i="23"/>
  <c r="X24" i="23"/>
  <c r="X22" i="23"/>
  <c r="X18" i="23"/>
  <c r="X14" i="23"/>
  <c r="X15" i="23"/>
  <c r="X23" i="23"/>
  <c r="X19" i="23"/>
  <c r="X36" i="23"/>
  <c r="X20" i="23"/>
  <c r="X16" i="23"/>
  <c r="X12" i="23"/>
  <c r="Y10" i="23"/>
  <c r="Y11" i="23" s="1"/>
  <c r="B49" i="20"/>
  <c r="Y17" i="23" a="1"/>
  <c r="Y21" i="23" a="1"/>
  <c r="Y28" i="23" a="1"/>
  <c r="Y29" i="23" a="1"/>
  <c r="Y30" i="23" a="1"/>
  <c r="Y25" i="23" a="1"/>
  <c r="Y37" i="23" a="1"/>
  <c r="Y27" i="23" a="1"/>
  <c r="Y16" i="23" a="1"/>
  <c r="Y20" i="23" a="1"/>
  <c r="Y36" i="23" a="1"/>
  <c r="Y26" i="23" a="1"/>
  <c r="Y13" i="23" a="1"/>
  <c r="Y12" i="23" a="1"/>
  <c r="Y15" i="23" a="1"/>
  <c r="Y19" i="23" a="1"/>
  <c r="Y23" i="23" a="1"/>
  <c r="Y32" i="23" a="1"/>
  <c r="Y42" i="23" a="1"/>
  <c r="Y24" i="23" a="1"/>
  <c r="Y14" i="23" a="1"/>
  <c r="Y18" i="23" a="1"/>
  <c r="Y22" i="23" a="1"/>
  <c r="Y33" i="23" a="1"/>
  <c r="Y45" i="23" a="1"/>
  <c r="Y34" i="23" a="1"/>
  <c r="Y54" i="23" a="1"/>
  <c r="Y31" i="23" a="1"/>
  <c r="Y35" i="23" a="1"/>
  <c r="Y38" i="23" a="1"/>
  <c r="Y46" i="23" a="1"/>
  <c r="Y53" i="23" a="1"/>
  <c r="Y44" i="23" a="1"/>
  <c r="Y52" i="23" a="1"/>
  <c r="Y41" i="23" a="1"/>
  <c r="Y43" i="23" a="1"/>
  <c r="Y51" i="23" a="1"/>
  <c r="Y50" i="23" a="1"/>
  <c r="Y40" i="23" a="1"/>
  <c r="Y49" i="23" a="1"/>
  <c r="Y48" i="23" a="1"/>
  <c r="Y56" i="23" a="1"/>
  <c r="Y39" i="23" a="1"/>
  <c r="Y47" i="23" a="1"/>
  <c r="Y55" i="23" a="1"/>
  <c r="X59" i="23" l="1"/>
  <c r="X60" i="23" s="1"/>
  <c r="X61" i="23" s="1"/>
  <c r="X62" i="23" s="1"/>
  <c r="X63" i="23" s="1"/>
  <c r="X64" i="23" s="1"/>
  <c r="X65" i="23" s="1"/>
  <c r="X66" i="23" s="1"/>
  <c r="X67" i="23" s="1"/>
  <c r="X68" i="23" s="1"/>
  <c r="V68" i="23"/>
  <c r="S68" i="23"/>
  <c r="W68" i="23"/>
  <c r="Q68" i="23"/>
  <c r="U68" i="23"/>
  <c r="R68" i="23"/>
  <c r="T68" i="23"/>
  <c r="P68" i="23"/>
  <c r="Y55" i="23"/>
  <c r="Y47" i="23"/>
  <c r="Y39" i="23"/>
  <c r="Y56" i="23"/>
  <c r="Y48" i="23"/>
  <c r="Y49" i="23"/>
  <c r="Y40" i="23"/>
  <c r="Y50" i="23"/>
  <c r="Y51" i="23"/>
  <c r="Y43" i="23"/>
  <c r="Y41" i="23"/>
  <c r="Y52" i="23"/>
  <c r="Y44" i="23"/>
  <c r="Y53" i="23"/>
  <c r="Y46" i="23"/>
  <c r="Y38" i="23"/>
  <c r="Y35" i="23"/>
  <c r="Y31" i="23"/>
  <c r="Y54" i="23"/>
  <c r="Y34" i="23"/>
  <c r="Y45" i="23"/>
  <c r="Y33" i="23"/>
  <c r="Y22" i="23"/>
  <c r="Y18" i="23"/>
  <c r="Y14" i="23"/>
  <c r="Y24" i="23"/>
  <c r="Y42" i="23"/>
  <c r="Y32" i="23"/>
  <c r="Y23" i="23"/>
  <c r="Y19" i="23"/>
  <c r="Y15" i="23"/>
  <c r="Y12" i="23"/>
  <c r="Y13" i="23"/>
  <c r="Y26" i="23"/>
  <c r="Y36" i="23"/>
  <c r="Y20" i="23"/>
  <c r="Y16" i="23"/>
  <c r="Y27" i="23"/>
  <c r="Y37" i="23"/>
  <c r="Y25" i="23"/>
  <c r="Y30" i="23"/>
  <c r="Y29" i="23"/>
  <c r="Y28" i="23"/>
  <c r="Y21" i="23"/>
  <c r="Y17" i="23"/>
  <c r="Z10" i="23"/>
  <c r="Z11" i="23" s="1"/>
  <c r="B50" i="20"/>
  <c r="Z33" i="23" a="1"/>
  <c r="Z14" i="23" a="1"/>
  <c r="Z18" i="23" a="1"/>
  <c r="Z22" i="23" a="1"/>
  <c r="Z24" i="23" a="1"/>
  <c r="Z25" i="23" a="1"/>
  <c r="Z26" i="23" a="1"/>
  <c r="Z27" i="23" a="1"/>
  <c r="Z28" i="23" a="1"/>
  <c r="Z31" i="23" a="1"/>
  <c r="Z35" i="23" a="1"/>
  <c r="Z17" i="23" a="1"/>
  <c r="Z21" i="23" a="1"/>
  <c r="Z29" i="23" a="1"/>
  <c r="Z30" i="23" a="1"/>
  <c r="Z13" i="23" a="1"/>
  <c r="Z20" i="23" a="1"/>
  <c r="Z12" i="23" a="1"/>
  <c r="Z16" i="23" a="1"/>
  <c r="Z32" i="23" a="1"/>
  <c r="Z15" i="23" a="1"/>
  <c r="Z19" i="23" a="1"/>
  <c r="Z23" i="23" a="1"/>
  <c r="Z55" i="23" a="1"/>
  <c r="Z36" i="23" a="1"/>
  <c r="Z43" i="23" a="1"/>
  <c r="Z34" i="23" a="1"/>
  <c r="Z37" i="23" a="1"/>
  <c r="Z47" i="23" a="1"/>
  <c r="Z39" i="23" a="1"/>
  <c r="Z54" i="23" a="1"/>
  <c r="Z38" i="23" a="1"/>
  <c r="Z46" i="23" a="1"/>
  <c r="Z45" i="23" a="1"/>
  <c r="Z53" i="23" a="1"/>
  <c r="Z44" i="23" a="1"/>
  <c r="Z52" i="23" a="1"/>
  <c r="Z51" i="23" a="1"/>
  <c r="Z41" i="23" a="1"/>
  <c r="Z42" i="23" a="1"/>
  <c r="Z50" i="23" a="1"/>
  <c r="Z49" i="23" a="1"/>
  <c r="Z40" i="23" a="1"/>
  <c r="Z48" i="23" a="1"/>
  <c r="Z56" i="23" a="1"/>
  <c r="Y59" i="23" l="1"/>
  <c r="Y60" i="23" s="1"/>
  <c r="Y61" i="23" s="1"/>
  <c r="Y62" i="23" s="1"/>
  <c r="Y63" i="23" s="1"/>
  <c r="Y64" i="23" s="1"/>
  <c r="Y65" i="23" s="1"/>
  <c r="Y66" i="23" s="1"/>
  <c r="Y67" i="23" s="1"/>
  <c r="Y68" i="23" s="1"/>
  <c r="Z56" i="23"/>
  <c r="Z48" i="23"/>
  <c r="Z40" i="23"/>
  <c r="Z49" i="23"/>
  <c r="Z50" i="23"/>
  <c r="Z42" i="23"/>
  <c r="Z41" i="23"/>
  <c r="Z51" i="23"/>
  <c r="Z52" i="23"/>
  <c r="Z44" i="23"/>
  <c r="Z53" i="23"/>
  <c r="Z45" i="23"/>
  <c r="Z46" i="23"/>
  <c r="Z38" i="23"/>
  <c r="Z54" i="23"/>
  <c r="Z39" i="23"/>
  <c r="Z47" i="23"/>
  <c r="Z37" i="23"/>
  <c r="Z34" i="23"/>
  <c r="Z43" i="23"/>
  <c r="Z36" i="23"/>
  <c r="Z55" i="23"/>
  <c r="Z23" i="23"/>
  <c r="Z19" i="23"/>
  <c r="Z15" i="23"/>
  <c r="Z32" i="23"/>
  <c r="Z16" i="23"/>
  <c r="Z12" i="23"/>
  <c r="Z59" i="23" s="1"/>
  <c r="Z20" i="23"/>
  <c r="Z13" i="23"/>
  <c r="Z30" i="23"/>
  <c r="Z29" i="23"/>
  <c r="Z21" i="23"/>
  <c r="Z17" i="23"/>
  <c r="Z35" i="23"/>
  <c r="Z31" i="23"/>
  <c r="Z28" i="23"/>
  <c r="Z27" i="23"/>
  <c r="Z26" i="23"/>
  <c r="Z25" i="23"/>
  <c r="Z24" i="23"/>
  <c r="Z22" i="23"/>
  <c r="Z18" i="23"/>
  <c r="Z14" i="23"/>
  <c r="Z33" i="23"/>
  <c r="AA10" i="23"/>
  <c r="AA11" i="23" s="1"/>
  <c r="B51" i="20"/>
  <c r="AA19" i="23" a="1"/>
  <c r="AA23" i="23" a="1"/>
  <c r="AA34" i="23" a="1"/>
  <c r="AA38" i="23" a="1"/>
  <c r="AA15" i="23" a="1"/>
  <c r="AA48" i="23" a="1"/>
  <c r="AA14" i="23" a="1"/>
  <c r="AA18" i="23" a="1"/>
  <c r="AA22" i="23" a="1"/>
  <c r="AA24" i="23" a="1"/>
  <c r="AA25" i="23" a="1"/>
  <c r="AA35" i="23" a="1"/>
  <c r="AA26" i="23" a="1"/>
  <c r="AA27" i="23" a="1"/>
  <c r="AA28" i="23" a="1"/>
  <c r="AA29" i="23" a="1"/>
  <c r="AA21" i="23" a="1"/>
  <c r="AA30" i="23" a="1"/>
  <c r="AA13" i="23" a="1"/>
  <c r="AA17" i="23" a="1"/>
  <c r="AA12" i="23" a="1"/>
  <c r="AA16" i="23" a="1"/>
  <c r="AA20" i="23" a="1"/>
  <c r="AA31" i="23" a="1"/>
  <c r="AA32" i="23" a="1"/>
  <c r="AA33" i="23" a="1"/>
  <c r="AA36" i="23" a="1"/>
  <c r="AA55" i="23" a="1"/>
  <c r="AA37" i="23" a="1"/>
  <c r="AA47" i="23" a="1"/>
  <c r="AA39" i="23" a="1"/>
  <c r="AA40" i="23" a="1"/>
  <c r="AA46" i="23" a="1"/>
  <c r="AA54" i="23" a="1"/>
  <c r="AA45" i="23" a="1"/>
  <c r="AA53" i="23" a="1"/>
  <c r="AA44" i="23" a="1"/>
  <c r="AA52" i="23" a="1"/>
  <c r="AA43" i="23" a="1"/>
  <c r="AA51" i="23" a="1"/>
  <c r="AA42" i="23" a="1"/>
  <c r="AA50" i="23" a="1"/>
  <c r="AA41" i="23" a="1"/>
  <c r="AA49" i="23" a="1"/>
  <c r="AA56" i="23" a="1"/>
  <c r="Z60" i="23" l="1"/>
  <c r="Z61" i="23" s="1"/>
  <c r="Z62" i="23" s="1"/>
  <c r="Z63" i="23" s="1"/>
  <c r="Z64" i="23" s="1"/>
  <c r="Z65" i="23" s="1"/>
  <c r="Z66" i="23" s="1"/>
  <c r="Z67" i="23" s="1"/>
  <c r="Z68" i="23" s="1"/>
  <c r="AA56" i="23"/>
  <c r="AA49" i="23"/>
  <c r="AA41" i="23"/>
  <c r="AA50" i="23"/>
  <c r="AA42" i="23"/>
  <c r="AA51" i="23"/>
  <c r="AA43" i="23"/>
  <c r="AA52" i="23"/>
  <c r="AA44" i="23"/>
  <c r="AA53" i="23"/>
  <c r="AA45" i="23"/>
  <c r="AA54" i="23"/>
  <c r="AA46" i="23"/>
  <c r="AA40" i="23"/>
  <c r="AA39" i="23"/>
  <c r="AA47" i="23"/>
  <c r="AA37" i="23"/>
  <c r="AA55" i="23"/>
  <c r="AA36" i="23"/>
  <c r="AA33" i="23"/>
  <c r="AA32" i="23"/>
  <c r="AA31" i="23"/>
  <c r="AA20" i="23"/>
  <c r="AA16" i="23"/>
  <c r="AA12" i="23"/>
  <c r="AA17" i="23"/>
  <c r="AA13" i="23"/>
  <c r="AA30" i="23"/>
  <c r="AA21" i="23"/>
  <c r="AA29" i="23"/>
  <c r="AA28" i="23"/>
  <c r="AA27" i="23"/>
  <c r="AA26" i="23"/>
  <c r="AA35" i="23"/>
  <c r="AA25" i="23"/>
  <c r="AA24" i="23"/>
  <c r="AA22" i="23"/>
  <c r="AA18" i="23"/>
  <c r="AA14" i="23"/>
  <c r="AA48" i="23"/>
  <c r="AA15" i="23"/>
  <c r="AA38" i="23"/>
  <c r="AA34" i="23"/>
  <c r="AA23" i="23"/>
  <c r="AA19" i="23"/>
  <c r="AB10" i="23"/>
  <c r="AB11" i="23" s="1"/>
  <c r="B52" i="20"/>
  <c r="H51" i="20"/>
  <c r="AB20" i="23" a="1"/>
  <c r="AB39" i="23" a="1"/>
  <c r="AB16" i="23" a="1"/>
  <c r="AB34" i="23" a="1"/>
  <c r="AB15" i="23" a="1"/>
  <c r="AB23" i="23" a="1"/>
  <c r="AB41" i="23" a="1"/>
  <c r="AB32" i="23" a="1"/>
  <c r="AB19" i="23" a="1"/>
  <c r="AB35" i="23" a="1"/>
  <c r="AB22" i="23" a="1"/>
  <c r="AB24" i="23" a="1"/>
  <c r="AB25" i="23" a="1"/>
  <c r="AB26" i="23" a="1"/>
  <c r="AB12" i="23" a="1"/>
  <c r="AB14" i="23" a="1"/>
  <c r="AB18" i="23" a="1"/>
  <c r="AB27" i="23" a="1"/>
  <c r="AB28" i="23" a="1"/>
  <c r="AB29" i="23" a="1"/>
  <c r="AB30" i="23" a="1"/>
  <c r="AB13" i="23" a="1"/>
  <c r="AB17" i="23" a="1"/>
  <c r="AB21" i="23" a="1"/>
  <c r="AB49" i="23" a="1"/>
  <c r="AB38" i="23" a="1"/>
  <c r="AB31" i="23" a="1"/>
  <c r="AB48" i="23" a="1"/>
  <c r="AB36" i="23" a="1"/>
  <c r="AB33" i="23" a="1"/>
  <c r="AB37" i="23" a="1"/>
  <c r="AB47" i="23" a="1"/>
  <c r="AB55" i="23" a="1"/>
  <c r="AB40" i="23" a="1"/>
  <c r="AB46" i="23" a="1"/>
  <c r="AB54" i="23" a="1"/>
  <c r="AB45" i="23" a="1"/>
  <c r="AB53" i="23" a="1"/>
  <c r="AB44" i="23" a="1"/>
  <c r="AB52" i="23" a="1"/>
  <c r="AB43" i="23" a="1"/>
  <c r="AB51" i="23" a="1"/>
  <c r="AB42" i="23" a="1"/>
  <c r="AB50" i="23" a="1"/>
  <c r="AB56" i="23" a="1"/>
  <c r="AA59" i="23" l="1"/>
  <c r="AA60" i="23" s="1"/>
  <c r="AA61" i="23" s="1"/>
  <c r="AA62" i="23" s="1"/>
  <c r="AA63" i="23" s="1"/>
  <c r="AA64" i="23" s="1"/>
  <c r="AA65" i="23" s="1"/>
  <c r="AA66" i="23" s="1"/>
  <c r="AA67" i="23" s="1"/>
  <c r="AA68" i="23" s="1"/>
  <c r="AB56" i="23"/>
  <c r="AB50" i="23"/>
  <c r="AB42" i="23"/>
  <c r="AB51" i="23"/>
  <c r="AB43" i="23"/>
  <c r="AB52" i="23"/>
  <c r="AB44" i="23"/>
  <c r="AB53" i="23"/>
  <c r="AB45" i="23"/>
  <c r="AB54" i="23"/>
  <c r="AB46" i="23"/>
  <c r="AB40" i="23"/>
  <c r="AB55" i="23"/>
  <c r="AB47" i="23"/>
  <c r="AB37" i="23"/>
  <c r="AB33" i="23"/>
  <c r="AB36" i="23"/>
  <c r="AB48" i="23"/>
  <c r="AB31" i="23"/>
  <c r="AB38" i="23"/>
  <c r="AB49" i="23"/>
  <c r="AB21" i="23"/>
  <c r="AB17" i="23"/>
  <c r="AB13" i="23"/>
  <c r="AB30" i="23"/>
  <c r="AB29" i="23"/>
  <c r="AB28" i="23"/>
  <c r="AB27" i="23"/>
  <c r="AB18" i="23"/>
  <c r="AB14" i="23"/>
  <c r="AB12" i="23"/>
  <c r="AB59" i="23" s="1"/>
  <c r="AB60" i="23" s="1"/>
  <c r="AB61" i="23" s="1"/>
  <c r="AB62" i="23" s="1"/>
  <c r="AB26" i="23"/>
  <c r="AB25" i="23"/>
  <c r="AB24" i="23"/>
  <c r="AB22" i="23"/>
  <c r="AB35" i="23"/>
  <c r="AB19" i="23"/>
  <c r="AB32" i="23"/>
  <c r="AB41" i="23"/>
  <c r="AB23" i="23"/>
  <c r="AB15" i="23"/>
  <c r="AB34" i="23"/>
  <c r="AB16" i="23"/>
  <c r="AB39" i="23"/>
  <c r="AB20" i="23"/>
  <c r="AC10" i="23"/>
  <c r="AC11" i="23" s="1"/>
  <c r="H52" i="20"/>
  <c r="B53" i="20"/>
  <c r="AC30" i="23" a="1"/>
  <c r="AC17" i="23" a="1"/>
  <c r="AC21" i="23" a="1"/>
  <c r="AC33" i="23" a="1"/>
  <c r="AC37" i="23" a="1"/>
  <c r="AC13" i="23" a="1"/>
  <c r="AC12" i="23" a="1"/>
  <c r="AC20" i="23" a="1"/>
  <c r="AC16" i="23" a="1"/>
  <c r="AC28" i="23" a="1"/>
  <c r="AC23" i="23" a="1"/>
  <c r="AC36" i="23" a="1"/>
  <c r="AC29" i="23" a="1"/>
  <c r="AC15" i="23" a="1"/>
  <c r="AC19" i="23" a="1"/>
  <c r="AC14" i="23" a="1"/>
  <c r="AC18" i="23" a="1"/>
  <c r="AC22" i="23" a="1"/>
  <c r="AC24" i="23" a="1"/>
  <c r="AC25" i="23" a="1"/>
  <c r="AC26" i="23" a="1"/>
  <c r="AC27" i="23" a="1"/>
  <c r="AC34" i="23" a="1"/>
  <c r="AC49" i="23" a="1"/>
  <c r="AC35" i="23" a="1"/>
  <c r="AC38" i="23" a="1"/>
  <c r="AC42" i="23" a="1"/>
  <c r="AC32" i="23" a="1"/>
  <c r="AC31" i="23" a="1"/>
  <c r="AC50" i="23" a="1"/>
  <c r="AC48" i="23" a="1"/>
  <c r="AC41" i="23" a="1"/>
  <c r="AC47" i="23" a="1"/>
  <c r="AC55" i="23" a="1"/>
  <c r="AC46" i="23" a="1"/>
  <c r="AC54" i="23" a="1"/>
  <c r="AC40" i="23" a="1"/>
  <c r="AC45" i="23" a="1"/>
  <c r="AC53" i="23" a="1"/>
  <c r="AC44" i="23" a="1"/>
  <c r="AC52" i="23" a="1"/>
  <c r="AC39" i="23" a="1"/>
  <c r="AC43" i="23" a="1"/>
  <c r="AC51" i="23" a="1"/>
  <c r="AC56" i="23" a="1"/>
  <c r="AB63" i="23" l="1"/>
  <c r="AB64" i="23" s="1"/>
  <c r="AB65" i="23" s="1"/>
  <c r="AB66" i="23" s="1"/>
  <c r="AB67" i="23" s="1"/>
  <c r="AB68" i="23" s="1"/>
  <c r="AC56" i="23"/>
  <c r="AC51" i="23"/>
  <c r="AC43" i="23"/>
  <c r="AC39" i="23"/>
  <c r="AC52" i="23"/>
  <c r="AC44" i="23"/>
  <c r="AC53" i="23"/>
  <c r="AC45" i="23"/>
  <c r="AC40" i="23"/>
  <c r="AC54" i="23"/>
  <c r="AC46" i="23"/>
  <c r="AC55" i="23"/>
  <c r="AC47" i="23"/>
  <c r="AC41" i="23"/>
  <c r="AC48" i="23"/>
  <c r="AC50" i="23"/>
  <c r="AC31" i="23"/>
  <c r="AC32" i="23"/>
  <c r="AC42" i="23"/>
  <c r="AC38" i="23"/>
  <c r="AC35" i="23"/>
  <c r="AC49" i="23"/>
  <c r="AC34" i="23"/>
  <c r="AC27" i="23"/>
  <c r="AC26" i="23"/>
  <c r="AC25" i="23"/>
  <c r="AC24" i="23"/>
  <c r="AC22" i="23"/>
  <c r="AC18" i="23"/>
  <c r="AC14" i="23"/>
  <c r="AC19" i="23"/>
  <c r="AC15" i="23"/>
  <c r="AC29" i="23"/>
  <c r="AC36" i="23"/>
  <c r="AC23" i="23"/>
  <c r="AC28" i="23"/>
  <c r="AC16" i="23"/>
  <c r="AC20" i="23"/>
  <c r="AC12" i="23"/>
  <c r="AC13" i="23"/>
  <c r="AC37" i="23"/>
  <c r="AC33" i="23"/>
  <c r="AC21" i="23"/>
  <c r="AC17" i="23"/>
  <c r="AC30" i="23"/>
  <c r="B54" i="20"/>
  <c r="H53" i="20"/>
  <c r="AC59" i="23" l="1"/>
  <c r="AC60" i="23" s="1"/>
  <c r="H54" i="20"/>
  <c r="B55" i="20"/>
  <c r="F59" i="23" l="1"/>
  <c r="F60" i="23"/>
  <c r="AC61" i="23"/>
  <c r="B56" i="20"/>
  <c r="H55" i="20"/>
  <c r="F61" i="23" l="1"/>
  <c r="AC62" i="23"/>
  <c r="H56" i="20"/>
  <c r="AC63" i="23" l="1"/>
  <c r="F62" i="23"/>
  <c r="F63" i="23" l="1"/>
  <c r="AC64" i="23"/>
  <c r="F64" i="23" l="1"/>
  <c r="AC65" i="23"/>
  <c r="AC66" i="23" l="1"/>
  <c r="F65" i="23"/>
  <c r="AC67" i="23" l="1"/>
  <c r="F66" i="23"/>
  <c r="AC68" i="23" l="1"/>
  <c r="F68" i="23" s="1"/>
  <c r="F67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Danusorn Sitdhirasdr</author>
  </authors>
  <commentList>
    <comment ref="F10" authorId="0" shapeId="0" xr:uid="{E5A0AF8F-82C7-43E8-886A-01998CF02B97}">
      <text>
        <r>
          <rPr>
            <b/>
            <sz val="10"/>
            <color indexed="81"/>
            <rFont val="Tahoma"/>
            <family val="2"/>
          </rPr>
          <t>Expected Starting Date</t>
        </r>
        <r>
          <rPr>
            <sz val="10"/>
            <color indexed="81"/>
            <rFont val="Tahoma"/>
            <family val="2"/>
          </rPr>
          <t xml:space="preserve">
"exp_start" represents the starting time, occurring in the morning of the specified date. This date will be adjusted if it falls on a weekend or holiday.</t>
        </r>
      </text>
    </comment>
    <comment ref="G10" authorId="0" shapeId="0" xr:uid="{20C6FBAD-2033-474F-B6A0-68F41F34ABF8}">
      <text>
        <r>
          <rPr>
            <sz val="10"/>
            <color indexed="81"/>
            <rFont val="Tahoma"/>
            <family val="2"/>
          </rPr>
          <t>Number of working days</t>
        </r>
      </text>
    </comment>
    <comment ref="I10" authorId="0" shapeId="0" xr:uid="{8E8362D5-6C57-485D-9BAB-AB1AC6014ECF}">
      <text>
        <r>
          <rPr>
            <b/>
            <sz val="10"/>
            <color indexed="81"/>
            <rFont val="Tahoma"/>
            <family val="2"/>
          </rPr>
          <t>Starting Date</t>
        </r>
        <r>
          <rPr>
            <sz val="10"/>
            <color indexed="81"/>
            <rFont val="Tahoma"/>
            <family val="2"/>
          </rPr>
          <t xml:space="preserve">
"start" represents the adjusted start time, taking both weekends and holidays into account.</t>
        </r>
      </text>
    </comment>
    <comment ref="J10" authorId="0" shapeId="0" xr:uid="{8B12946E-23C2-4766-B987-C033C5516594}">
      <text>
        <r>
          <rPr>
            <b/>
            <sz val="10"/>
            <color indexed="81"/>
            <rFont val="Tahoma"/>
            <family val="2"/>
          </rPr>
          <t>Finishing Date</t>
        </r>
        <r>
          <rPr>
            <sz val="10"/>
            <color indexed="81"/>
            <rFont val="Tahoma"/>
            <family val="2"/>
          </rPr>
          <t xml:space="preserve">
"Finish" represents the finishing time, which occurs in the morning of the specified date.</t>
        </r>
      </text>
    </comment>
    <comment ref="L10" authorId="0" shapeId="0" xr:uid="{638469C7-CDC9-43CA-A70D-DE723E96F71C}">
      <text>
        <r>
          <rPr>
            <sz val="10"/>
            <color indexed="81"/>
            <rFont val="Tahoma"/>
            <family val="2"/>
          </rPr>
          <t>Percent target completion (%)</t>
        </r>
      </text>
    </comment>
    <comment ref="M10" authorId="0" shapeId="0" xr:uid="{DFAF4069-95A8-431E-8A77-CBCA17EBA91C}">
      <text>
        <r>
          <rPr>
            <sz val="10"/>
            <color indexed="81"/>
            <rFont val="Tahoma"/>
            <family val="2"/>
          </rPr>
          <t>Percent actual completion (%)</t>
        </r>
      </text>
    </comment>
    <comment ref="C28" authorId="0" shapeId="0" xr:uid="{34D014D9-17EA-465B-B532-79A9DC0D6F5A}">
      <text>
        <r>
          <rPr>
            <sz val="10"/>
            <color indexed="81"/>
            <rFont val="Tahoma"/>
            <family val="2"/>
          </rPr>
          <t>• Potential opportunities to synergize operational teams to deliver greater effectiveness and efficiencies
• Embed scientific methodologies for capacity planning</t>
        </r>
      </text>
    </comment>
    <comment ref="C33" authorId="0" shapeId="0" xr:uid="{E428AA79-883E-49DE-B51E-EFAC26428650}">
      <text>
        <r>
          <rPr>
            <sz val="10"/>
            <color indexed="81"/>
            <rFont val="Tahoma"/>
            <family val="2"/>
          </rPr>
          <t>• STIP Approval Rates were at 55%, recommended changes to thresholds (based on risk appetite) can improve approvals to between 67% to 73%
• Changes to certain configurations settings can further improve approvals</t>
        </r>
      </text>
    </comment>
    <comment ref="C36" authorId="0" shapeId="0" xr:uid="{747F7E00-E27F-4835-A21A-B8FA377DB0CC}">
      <text>
        <r>
          <rPr>
            <sz val="10"/>
            <color indexed="81"/>
            <rFont val="Tahoma"/>
            <family val="2"/>
          </rPr>
          <t>• Final metric suite to be finalized in mid-April (69 metrics shortlisted)
• Data mapping workshop planned for end-April/early-May
• Metric repository (definitions &amp; algorithms) under draft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<sst xmlns="http://schemas.openxmlformats.org/spreadsheetml/2006/main" count="267" uniqueCount="158">
  <si>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</si>
  <si>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</si>
  <si>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</si>
  <si>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</si>
  <si>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</si>
  <si>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</si>
  <si>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</si>
  <si>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</si>
  <si>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</si>
  <si>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</si>
  <si>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</si>
  <si>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</si>
  <si>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</si>
  <si>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</si>
  <si>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</si>
  <si>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</si>
  <si>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</si>
  <si>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</si>
  <si>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</si>
  <si>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</si>
  <si>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</si>
  <si>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</si>
  <si>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</si>
  <si>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</si>
  <si>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</si>
  <si>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</si>
  <si>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</si>
  <si>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</si>
  <si>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CSR + FR Outing</t>
  </si>
  <si>
    <t>วันขึ้นปีใหม่</t>
  </si>
  <si>
    <t>ชดเชยวันจักรี</t>
  </si>
  <si>
    <t>ชดเชยวันฉัตรมงคล (วันอาทิตย์ที่ 4 พฤษภาคม 2568)</t>
  </si>
  <si>
    <t>ชดเชยวันวิสาขบูชา (วันอาทิตย์ที่ 11 พฤษภาคม 2568)</t>
  </si>
  <si>
    <t>วันหยุดพิเศษ</t>
  </si>
  <si>
    <t>วันรัฐธรรมนูญ</t>
  </si>
  <si>
    <t>วันสิ้นปี</t>
  </si>
  <si>
    <t>exp_start</t>
  </si>
  <si>
    <t>PJ2502_0137</t>
  </si>
  <si>
    <t>Description</t>
  </si>
  <si>
    <t>Status</t>
  </si>
  <si>
    <t>Start</t>
  </si>
  <si>
    <t>Target</t>
  </si>
  <si>
    <t>Actual</t>
  </si>
  <si>
    <t>Duration</t>
  </si>
  <si>
    <t>Delay</t>
  </si>
  <si>
    <t>Complete</t>
  </si>
  <si>
    <t>Task ID</t>
  </si>
  <si>
    <t>Workshop 1 : Fraud Framework</t>
  </si>
  <si>
    <t>Final Delivery : Presentation &amp; Documentation (Tentative)</t>
  </si>
  <si>
    <t>Recommended configurations</t>
  </si>
  <si>
    <t>Workshop : calculation &amp; data sources</t>
  </si>
  <si>
    <t>Final Delivery : Presentation (Tentative)</t>
  </si>
  <si>
    <t>VPTL – Credit &amp; Debit Portfolio</t>
  </si>
  <si>
    <t xml:space="preserve">2-week Testing by Visa : Credit Card </t>
  </si>
  <si>
    <t>2-week Testing by Visa : Debit Card</t>
  </si>
  <si>
    <t>Workshop 1 : Authentication Overview &amp; Decision Strategy</t>
  </si>
  <si>
    <t>Workshop 4 : TBC (Tentative)</t>
  </si>
  <si>
    <t>Not Started</t>
  </si>
  <si>
    <t>In Progress</t>
  </si>
  <si>
    <t>Short Description</t>
  </si>
  <si>
    <t>Label</t>
  </si>
  <si>
    <t>Offset</t>
  </si>
  <si>
    <t>Percent</t>
  </si>
  <si>
    <t>danusorn.s</t>
  </si>
  <si>
    <t>Kick-Off Meeting</t>
  </si>
  <si>
    <t>VSRM - Credit Portfolio</t>
  </si>
  <si>
    <t>VSRM - Round 1</t>
  </si>
  <si>
    <t>VSRM - Round 2</t>
  </si>
  <si>
    <t>VSRM - Round 3</t>
  </si>
  <si>
    <t>VSRM - Round 4</t>
  </si>
  <si>
    <t>VSRM - Round 5</t>
  </si>
  <si>
    <t>VSRM - Round 6</t>
  </si>
  <si>
    <t>VSRM - Round 7</t>
  </si>
  <si>
    <t>VSRM - Round 8</t>
  </si>
  <si>
    <t>VSRM - Round 9</t>
  </si>
  <si>
    <t>VSRM - Round 10</t>
  </si>
  <si>
    <t>VSRM - Round 11</t>
  </si>
  <si>
    <t>VSRM - Round 12</t>
  </si>
  <si>
    <t>Kick-Off meeting</t>
  </si>
  <si>
    <t>WS1</t>
  </si>
  <si>
    <t>WS2</t>
  </si>
  <si>
    <t>Final Delivery</t>
  </si>
  <si>
    <t>Workshop</t>
  </si>
  <si>
    <t>Kick-Off meetings</t>
  </si>
  <si>
    <t xml:space="preserve">Fraud Risk Analytics </t>
  </si>
  <si>
    <t>Recommendation</t>
  </si>
  <si>
    <t>Credit Card Recommendations</t>
  </si>
  <si>
    <t>Debit Card Recommendations</t>
  </si>
  <si>
    <t>Workshop 2 : Org. Design &amp; Sourcing</t>
  </si>
  <si>
    <t>Metric shortlisting</t>
  </si>
  <si>
    <t>Fraud Upskilling Workshops</t>
  </si>
  <si>
    <t>Metric shortlisting process</t>
  </si>
  <si>
    <t>Credit Card STIP Optimization</t>
  </si>
  <si>
    <t>Finish</t>
  </si>
  <si>
    <t>Recommendation (Credit)</t>
  </si>
  <si>
    <t>Recommendation (Debit)</t>
  </si>
  <si>
    <t>Workshop 3 : Fraud Risk and Authorization</t>
  </si>
  <si>
    <t>Workshop 2 : Analytics and MIS Suite</t>
  </si>
  <si>
    <t>WS1 (4 mods)</t>
  </si>
  <si>
    <t>WS2 (1 mod)</t>
  </si>
  <si>
    <t>WS3 (5 mods)</t>
  </si>
  <si>
    <t>WS4 (5 mods)</t>
  </si>
  <si>
    <t>360° Enterprise Fraud Management</t>
  </si>
  <si>
    <t>VCAS Feasibility</t>
  </si>
  <si>
    <t>Business Feasibility</t>
  </si>
  <si>
    <t>Technical Feasibility</t>
  </si>
  <si>
    <t>Business Feasibility (Template &amp; Assumptions)</t>
  </si>
  <si>
    <t>Technical Feasibility (define target state architecture and development plan)</t>
  </si>
  <si>
    <t>Revise business feasibility given</t>
  </si>
  <si>
    <t>Material preparation for IT investment</t>
  </si>
  <si>
    <t>IT investment (prep)</t>
  </si>
  <si>
    <t>Project Information</t>
  </si>
  <si>
    <t>Code</t>
  </si>
  <si>
    <t>Name</t>
  </si>
  <si>
    <t>Visa Fraud Project</t>
  </si>
  <si>
    <t>Asof</t>
  </si>
  <si>
    <t>VSRM R1</t>
  </si>
  <si>
    <t>VSRM R2</t>
  </si>
  <si>
    <t>VSRM R3</t>
  </si>
  <si>
    <t>VSRM R4</t>
  </si>
  <si>
    <t>VSRM R5</t>
  </si>
  <si>
    <t>VSRM R6</t>
  </si>
  <si>
    <t>VSRM R7</t>
  </si>
  <si>
    <t>VSRM R8</t>
  </si>
  <si>
    <t>VSRM R9</t>
  </si>
  <si>
    <t>VSRM R10</t>
  </si>
  <si>
    <t>VSRM R11</t>
  </si>
  <si>
    <t>VSRM R12</t>
  </si>
  <si>
    <t>Recommendation from Visa</t>
  </si>
  <si>
    <t>Visa's assessment</t>
  </si>
  <si>
    <t>2-week testing (Debit)</t>
  </si>
  <si>
    <t>2-week testing (Credit)</t>
  </si>
  <si>
    <t>Group</t>
  </si>
  <si>
    <t>Revise Business feasibility</t>
  </si>
  <si>
    <t>(P1) VSRM - Credit Portfolio</t>
  </si>
  <si>
    <t>(P2) Enterprise Fraud Mgmt.</t>
  </si>
  <si>
    <t>(P3) STIP Optimization</t>
  </si>
  <si>
    <t xml:space="preserve">(P4) Fraud Risk Analytics </t>
  </si>
  <si>
    <t>(P5) VPTL – Credit &amp; Debit</t>
  </si>
  <si>
    <t>(P6) Upskilling Workshops</t>
  </si>
  <si>
    <t>(P7) VCAS (Authentication)</t>
  </si>
  <si>
    <t>Deliverables</t>
  </si>
  <si>
    <t>% Contribution / day</t>
  </si>
  <si>
    <t>Working Days</t>
  </si>
  <si>
    <t>Calendar
Days</t>
  </si>
  <si>
    <t>Member</t>
  </si>
  <si>
    <t>Role</t>
  </si>
  <si>
    <t>Danusorn Sitdhirasdr</t>
  </si>
  <si>
    <t>Member1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</si>
  <si>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</si>
  <si>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</si>
  <si>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</si>
  <si>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</si>
  <si>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</si>
  <si>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</si>
  <si>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</si>
  <si>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</si>
  <si>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Squad Lead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</si>
</sst>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87" formatCode="_(* #,##0_);_(* \(#,##0\);_(* &quot;-&quot;??_);_(@_)"/>
    <numFmt numFmtId="188" formatCode="_(* #,##0.00_);_(* \(#,##0.00\);_(* &quot;-&quot;??_);_(@_)"/>
    <numFmt numFmtId="189" formatCode="_-* #,##0_-;\-* #,##0_-;_-* &quot;-&quot;??_-;_-@_-"/>
    <numFmt numFmtId="190" formatCode="_-* #,##0.0_-;\-* #,##0.0_-;_-* &quot;-&quot;??_-;_-@_-"/>
    <numFmt numFmtId="192" formatCode="[$-409]mmm\-yy;@"/>
    <numFmt numFmtId="193" formatCode="#,##0\ &quot;days&quot;"/>
  </numFmts>
  <fonts count="19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theme="1"/>
      <name val="Calibri"/>
      <family val="2"/>
    </font>
    <font>
      <b/>
      <sz val="9"/>
      <color theme="1" tint="0.249977111117893"/>
      <name val="Calibri"/>
      <family val="2"/>
    </font>
    <font>
      <b/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499984740745262"/>
      <name val="Calibri"/>
      <family val="2"/>
    </font>
    <font>
      <sz val="10"/>
      <color theme="1" tint="4.9989318521683403E-2"/>
      <name val="Calibri"/>
      <family val="2"/>
    </font>
    <font>
      <sz val="10"/>
      <color theme="1" tint="0.499984740745262"/>
      <name val="Calibri"/>
      <family val="2"/>
    </font>
    <font>
      <b/>
      <sz val="10"/>
      <color theme="1"/>
      <name val="Calibri"/>
      <family val="2"/>
    </font>
    <font>
      <sz val="8"/>
      <name val="Tahoma"/>
      <family val="2"/>
      <scheme val="minor"/>
    </font>
    <font>
      <b/>
      <sz val="10"/>
      <color rgb="FF0000FF"/>
      <name val="Calibri"/>
      <family val="2"/>
    </font>
    <font>
      <b/>
      <sz val="10"/>
      <color rgb="FF000000"/>
      <name val="Calibri"/>
      <family val="2"/>
    </font>
    <font>
      <sz val="10"/>
      <color theme="1" tint="0.249977111117893"/>
      <name val="Calibri"/>
      <family val="2"/>
    </font>
    <font>
      <sz val="10"/>
      <color theme="0"/>
      <name val="Calibri"/>
      <family val="2"/>
    </font>
    <font>
      <b/>
      <sz val="10"/>
      <color rgb="FF444444"/>
      <name val="Calibri"/>
      <family val="2"/>
    </font>
    <font>
      <sz val="10"/>
      <color rgb="FF444444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9CFC"/>
        <bgColor indexed="64"/>
      </patternFill>
    </fill>
    <fill>
      <patternFill patternType="solid">
        <fgColor rgb="FF55E6C1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1" fillId="0" borderId="0" applyFont="0" applyFill="0" applyBorder="0" applyAlignment="0" applyProtection="0"/>
  </cellStyleXfs>
  <cellXfs count="160">
    <xf numFmtId="0" fontId="0" fillId="0" borderId="0" xfId="0"/>
    <xf numFmtId="0" fontId="4" fillId="0" borderId="0" xfId="0" applyFont="1" applyAlignment="1">
      <alignment vertical="center"/>
    </xf>
    <xf numFmtId="1" fontId="9" fillId="0" borderId="3" xfId="0" applyNumberFormat="1" applyFont="1" applyBorder="1" applyAlignment="1">
      <alignment horizontal="center" vertical="top" wrapText="1"/>
    </xf>
    <xf numFmtId="49" fontId="9" fillId="0" borderId="4" xfId="0" applyNumberFormat="1" applyFont="1" applyBorder="1" applyAlignment="1">
      <alignment horizontal="left" vertical="top" wrapText="1"/>
    </xf>
    <xf numFmtId="14" fontId="9" fillId="0" borderId="4" xfId="0" applyNumberFormat="1" applyFont="1" applyBorder="1" applyAlignment="1">
      <alignment horizontal="center" vertical="top"/>
    </xf>
    <xf numFmtId="187" fontId="9" fillId="0" borderId="4" xfId="3" applyNumberFormat="1" applyFont="1" applyFill="1" applyBorder="1" applyAlignment="1">
      <alignment vertical="top"/>
    </xf>
    <xf numFmtId="14" fontId="10" fillId="0" borderId="4" xfId="0" applyNumberFormat="1" applyFont="1" applyBorder="1" applyAlignment="1">
      <alignment horizontal="center" vertical="top"/>
    </xf>
    <xf numFmtId="189" fontId="10" fillId="0" borderId="4" xfId="1" applyNumberFormat="1" applyFont="1" applyBorder="1" applyAlignment="1">
      <alignment horizontal="center" vertical="top"/>
    </xf>
    <xf numFmtId="0" fontId="10" fillId="0" borderId="4" xfId="1" applyNumberFormat="1" applyFont="1" applyBorder="1" applyAlignment="1">
      <alignment horizontal="left" vertical="top" shrinkToFit="1"/>
    </xf>
    <xf numFmtId="1" fontId="9" fillId="0" borderId="9" xfId="0" applyNumberFormat="1" applyFont="1" applyBorder="1" applyAlignment="1">
      <alignment horizontal="center" vertical="top" wrapText="1"/>
    </xf>
    <xf numFmtId="14" fontId="9" fillId="0" borderId="10" xfId="0" applyNumberFormat="1" applyFont="1" applyBorder="1" applyAlignment="1">
      <alignment horizontal="center" vertical="top"/>
    </xf>
    <xf numFmtId="187" fontId="9" fillId="0" borderId="10" xfId="3" applyNumberFormat="1" applyFont="1" applyFill="1" applyBorder="1" applyAlignment="1">
      <alignment vertical="top"/>
    </xf>
    <xf numFmtId="14" fontId="10" fillId="0" borderId="10" xfId="0" applyNumberFormat="1" applyFont="1" applyBorder="1" applyAlignment="1">
      <alignment horizontal="center" vertical="top"/>
    </xf>
    <xf numFmtId="189" fontId="10" fillId="0" borderId="10" xfId="1" applyNumberFormat="1" applyFont="1" applyBorder="1" applyAlignment="1">
      <alignment horizontal="center" vertical="top"/>
    </xf>
    <xf numFmtId="0" fontId="10" fillId="0" borderId="10" xfId="1" applyNumberFormat="1" applyFont="1" applyBorder="1" applyAlignment="1">
      <alignment horizontal="left" vertical="top" shrinkToFit="1"/>
    </xf>
    <xf numFmtId="1" fontId="9" fillId="0" borderId="7" xfId="0" applyNumberFormat="1" applyFont="1" applyBorder="1" applyAlignment="1">
      <alignment horizontal="center" vertical="top" wrapText="1"/>
    </xf>
    <xf numFmtId="14" fontId="9" fillId="0" borderId="8" xfId="0" applyNumberFormat="1" applyFont="1" applyBorder="1" applyAlignment="1">
      <alignment horizontal="center" vertical="top"/>
    </xf>
    <xf numFmtId="187" fontId="9" fillId="0" borderId="8" xfId="3" applyNumberFormat="1" applyFont="1" applyFill="1" applyBorder="1" applyAlignment="1">
      <alignment vertical="top"/>
    </xf>
    <xf numFmtId="14" fontId="10" fillId="0" borderId="8" xfId="0" applyNumberFormat="1" applyFont="1" applyBorder="1" applyAlignment="1">
      <alignment horizontal="center" vertical="top"/>
    </xf>
    <xf numFmtId="189" fontId="10" fillId="0" borderId="8" xfId="1" applyNumberFormat="1" applyFont="1" applyBorder="1" applyAlignment="1">
      <alignment horizontal="center" vertical="top"/>
    </xf>
    <xf numFmtId="0" fontId="10" fillId="0" borderId="8" xfId="1" applyNumberFormat="1" applyFont="1" applyBorder="1" applyAlignment="1">
      <alignment horizontal="left" vertical="top" shrinkToFit="1"/>
    </xf>
    <xf numFmtId="1" fontId="9" fillId="0" borderId="5" xfId="0" applyNumberFormat="1" applyFont="1" applyBorder="1" applyAlignment="1">
      <alignment horizontal="center" vertical="top" wrapText="1"/>
    </xf>
    <xf numFmtId="14" fontId="9" fillId="0" borderId="6" xfId="0" applyNumberFormat="1" applyFont="1" applyBorder="1" applyAlignment="1">
      <alignment horizontal="center" vertical="top"/>
    </xf>
    <xf numFmtId="187" fontId="9" fillId="0" borderId="6" xfId="3" applyNumberFormat="1" applyFont="1" applyFill="1" applyBorder="1" applyAlignment="1">
      <alignment vertical="top"/>
    </xf>
    <xf numFmtId="14" fontId="10" fillId="0" borderId="6" xfId="0" applyNumberFormat="1" applyFont="1" applyBorder="1" applyAlignment="1">
      <alignment horizontal="center" vertical="top"/>
    </xf>
    <xf numFmtId="189" fontId="10" fillId="0" borderId="6" xfId="1" applyNumberFormat="1" applyFont="1" applyBorder="1" applyAlignment="1">
      <alignment horizontal="center" vertical="top"/>
    </xf>
    <xf numFmtId="0" fontId="10" fillId="0" borderId="6" xfId="1" applyNumberFormat="1" applyFont="1" applyBorder="1" applyAlignment="1">
      <alignment horizontal="left" vertical="top" shrinkToFit="1"/>
    </xf>
    <xf numFmtId="9" fontId="10" fillId="0" borderId="4" xfId="2" applyFont="1" applyBorder="1" applyAlignment="1">
      <alignment horizontal="center" vertical="top"/>
    </xf>
    <xf numFmtId="9" fontId="9" fillId="0" borderId="4" xfId="2" applyFont="1" applyFill="1" applyBorder="1" applyAlignment="1">
      <alignment horizontal="center" vertical="top"/>
    </xf>
    <xf numFmtId="9" fontId="10" fillId="0" borderId="10" xfId="2" applyFont="1" applyBorder="1" applyAlignment="1">
      <alignment horizontal="center" vertical="top"/>
    </xf>
    <xf numFmtId="9" fontId="9" fillId="0" borderId="10" xfId="2" applyFont="1" applyFill="1" applyBorder="1" applyAlignment="1">
      <alignment horizontal="center" vertical="top"/>
    </xf>
    <xf numFmtId="9" fontId="10" fillId="0" borderId="8" xfId="2" applyFont="1" applyBorder="1" applyAlignment="1">
      <alignment horizontal="center" vertical="top"/>
    </xf>
    <xf numFmtId="9" fontId="9" fillId="0" borderId="8" xfId="2" applyFont="1" applyFill="1" applyBorder="1" applyAlignment="1">
      <alignment horizontal="center" vertical="top"/>
    </xf>
    <xf numFmtId="9" fontId="10" fillId="0" borderId="6" xfId="2" applyFont="1" applyBorder="1" applyAlignment="1">
      <alignment horizontal="center" vertical="top"/>
    </xf>
    <xf numFmtId="9" fontId="9" fillId="0" borderId="6" xfId="2" applyFont="1" applyFill="1" applyBorder="1" applyAlignment="1">
      <alignment horizontal="center" vertical="top"/>
    </xf>
    <xf numFmtId="0" fontId="9" fillId="0" borderId="4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11" fillId="0" borderId="0" xfId="0" applyFont="1" applyAlignment="1">
      <alignment vertical="center"/>
    </xf>
    <xf numFmtId="1" fontId="11" fillId="0" borderId="3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left" vertical="top" wrapText="1"/>
    </xf>
    <xf numFmtId="14" fontId="11" fillId="0" borderId="4" xfId="0" applyNumberFormat="1" applyFont="1" applyBorder="1" applyAlignment="1">
      <alignment horizontal="center" vertical="top"/>
    </xf>
    <xf numFmtId="187" fontId="11" fillId="0" borderId="4" xfId="3" applyNumberFormat="1" applyFont="1" applyFill="1" applyBorder="1" applyAlignment="1">
      <alignment vertical="top"/>
    </xf>
    <xf numFmtId="189" fontId="11" fillId="0" borderId="4" xfId="1" applyNumberFormat="1" applyFont="1" applyBorder="1" applyAlignment="1">
      <alignment horizontal="center" vertical="top"/>
    </xf>
    <xf numFmtId="9" fontId="11" fillId="0" borderId="4" xfId="2" applyFont="1" applyBorder="1" applyAlignment="1">
      <alignment horizontal="center" vertical="top"/>
    </xf>
    <xf numFmtId="9" fontId="11" fillId="0" borderId="4" xfId="2" applyFont="1" applyFill="1" applyBorder="1" applyAlignment="1">
      <alignment horizontal="center" vertical="top"/>
    </xf>
    <xf numFmtId="0" fontId="11" fillId="0" borderId="4" xfId="1" applyNumberFormat="1" applyFont="1" applyBorder="1" applyAlignment="1">
      <alignment horizontal="left" vertical="top" shrinkToFit="1"/>
    </xf>
    <xf numFmtId="1" fontId="11" fillId="0" borderId="18" xfId="0" applyNumberFormat="1" applyFont="1" applyBorder="1" applyAlignment="1">
      <alignment horizontal="center" vertical="top" wrapText="1"/>
    </xf>
    <xf numFmtId="0" fontId="11" fillId="0" borderId="19" xfId="0" applyFont="1" applyBorder="1" applyAlignment="1">
      <alignment horizontal="left" vertical="top" wrapText="1"/>
    </xf>
    <xf numFmtId="14" fontId="11" fillId="0" borderId="19" xfId="0" applyNumberFormat="1" applyFont="1" applyBorder="1" applyAlignment="1">
      <alignment horizontal="center" vertical="top"/>
    </xf>
    <xf numFmtId="187" fontId="11" fillId="0" borderId="19" xfId="3" applyNumberFormat="1" applyFont="1" applyFill="1" applyBorder="1" applyAlignment="1">
      <alignment vertical="top"/>
    </xf>
    <xf numFmtId="189" fontId="11" fillId="0" borderId="19" xfId="1" applyNumberFormat="1" applyFont="1" applyBorder="1" applyAlignment="1">
      <alignment horizontal="center" vertical="top"/>
    </xf>
    <xf numFmtId="9" fontId="11" fillId="0" borderId="19" xfId="2" applyFont="1" applyBorder="1" applyAlignment="1">
      <alignment horizontal="center" vertical="top"/>
    </xf>
    <xf numFmtId="9" fontId="11" fillId="0" borderId="19" xfId="2" applyFont="1" applyFill="1" applyBorder="1" applyAlignment="1">
      <alignment horizontal="center" vertical="top"/>
    </xf>
    <xf numFmtId="0" fontId="11" fillId="0" borderId="19" xfId="1" applyNumberFormat="1" applyFont="1" applyBorder="1" applyAlignment="1">
      <alignment horizontal="left" vertical="top" shrinkToFit="1"/>
    </xf>
    <xf numFmtId="1" fontId="11" fillId="0" borderId="3" xfId="0" applyNumberFormat="1" applyFont="1" applyBorder="1" applyAlignment="1">
      <alignment horizontal="left" vertical="top" wrapText="1"/>
    </xf>
    <xf numFmtId="1" fontId="11" fillId="0" borderId="2" xfId="0" applyNumberFormat="1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center" indent="1"/>
    </xf>
    <xf numFmtId="14" fontId="10" fillId="0" borderId="13" xfId="0" applyNumberFormat="1" applyFont="1" applyBorder="1" applyAlignment="1">
      <alignment horizontal="left" vertical="top" indent="1"/>
    </xf>
    <xf numFmtId="1" fontId="11" fillId="0" borderId="5" xfId="0" applyNumberFormat="1" applyFont="1" applyBorder="1" applyAlignment="1">
      <alignment horizontal="left" vertical="top" wrapText="1"/>
    </xf>
    <xf numFmtId="1" fontId="11" fillId="0" borderId="7" xfId="0" applyNumberFormat="1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center" indent="1"/>
    </xf>
    <xf numFmtId="189" fontId="10" fillId="7" borderId="12" xfId="1" applyNumberFormat="1" applyFont="1" applyFill="1" applyBorder="1" applyAlignment="1">
      <alignment horizontal="center" vertical="center" shrinkToFit="1"/>
    </xf>
    <xf numFmtId="0" fontId="10" fillId="7" borderId="12" xfId="0" applyFont="1" applyFill="1" applyBorder="1" applyAlignment="1">
      <alignment horizontal="center" vertical="center" shrinkToFit="1"/>
    </xf>
    <xf numFmtId="0" fontId="4" fillId="0" borderId="23" xfId="0" applyFont="1" applyBorder="1" applyAlignment="1">
      <alignment vertical="center"/>
    </xf>
    <xf numFmtId="2" fontId="10" fillId="0" borderId="15" xfId="0" applyNumberFormat="1" applyFont="1" applyBorder="1" applyAlignment="1">
      <alignment horizontal="left" vertical="top" indent="1"/>
    </xf>
    <xf numFmtId="190" fontId="4" fillId="0" borderId="0" xfId="0" applyNumberFormat="1" applyFont="1" applyAlignment="1">
      <alignment vertical="center"/>
    </xf>
    <xf numFmtId="1" fontId="13" fillId="0" borderId="2" xfId="0" applyNumberFormat="1" applyFont="1" applyBorder="1" applyAlignment="1">
      <alignment horizontal="center" vertical="top" wrapText="1"/>
    </xf>
    <xf numFmtId="0" fontId="13" fillId="0" borderId="26" xfId="0" applyFont="1" applyBorder="1" applyAlignment="1">
      <alignment horizontal="left" vertical="top" wrapText="1"/>
    </xf>
    <xf numFmtId="14" fontId="13" fillId="0" borderId="26" xfId="0" applyNumberFormat="1" applyFont="1" applyBorder="1" applyAlignment="1">
      <alignment horizontal="center" vertical="top"/>
    </xf>
    <xf numFmtId="187" fontId="13" fillId="0" borderId="26" xfId="3" applyNumberFormat="1" applyFont="1" applyFill="1" applyBorder="1" applyAlignment="1">
      <alignment vertical="top"/>
    </xf>
    <xf numFmtId="189" fontId="13" fillId="0" borderId="26" xfId="1" applyNumberFormat="1" applyFont="1" applyBorder="1" applyAlignment="1">
      <alignment horizontal="center" vertical="top"/>
    </xf>
    <xf numFmtId="9" fontId="13" fillId="0" borderId="26" xfId="2" applyFont="1" applyBorder="1" applyAlignment="1">
      <alignment horizontal="center" vertical="top"/>
    </xf>
    <xf numFmtId="9" fontId="13" fillId="0" borderId="26" xfId="2" applyFont="1" applyFill="1" applyBorder="1" applyAlignment="1">
      <alignment horizontal="center" vertical="top"/>
    </xf>
    <xf numFmtId="0" fontId="13" fillId="0" borderId="26" xfId="1" applyNumberFormat="1" applyFont="1" applyBorder="1" applyAlignment="1">
      <alignment horizontal="left" vertical="top" shrinkToFit="1"/>
    </xf>
    <xf numFmtId="190" fontId="13" fillId="0" borderId="28" xfId="1" applyNumberFormat="1" applyFont="1" applyBorder="1" applyAlignment="1">
      <alignment horizontal="center" vertical="top"/>
    </xf>
    <xf numFmtId="190" fontId="11" fillId="0" borderId="29" xfId="1" applyNumberFormat="1" applyFont="1" applyBorder="1" applyAlignment="1">
      <alignment horizontal="center" vertical="top"/>
    </xf>
    <xf numFmtId="190" fontId="10" fillId="0" borderId="29" xfId="1" applyNumberFormat="1" applyFont="1" applyBorder="1" applyAlignment="1">
      <alignment horizontal="center" vertical="top"/>
    </xf>
    <xf numFmtId="190" fontId="10" fillId="0" borderId="30" xfId="1" applyNumberFormat="1" applyFont="1" applyBorder="1" applyAlignment="1">
      <alignment horizontal="center" vertical="top"/>
    </xf>
    <xf numFmtId="190" fontId="11" fillId="0" borderId="24" xfId="1" applyNumberFormat="1" applyFont="1" applyBorder="1" applyAlignment="1">
      <alignment horizontal="center" vertical="top"/>
    </xf>
    <xf numFmtId="190" fontId="10" fillId="0" borderId="31" xfId="1" applyNumberFormat="1" applyFont="1" applyBorder="1" applyAlignment="1">
      <alignment horizontal="center" vertical="top"/>
    </xf>
    <xf numFmtId="190" fontId="10" fillId="0" borderId="32" xfId="1" applyNumberFormat="1" applyFont="1" applyBorder="1" applyAlignment="1">
      <alignment horizontal="center" vertical="top"/>
    </xf>
    <xf numFmtId="189" fontId="15" fillId="6" borderId="27" xfId="1" applyNumberFormat="1" applyFont="1" applyFill="1" applyBorder="1" applyAlignment="1">
      <alignment horizontal="center" vertical="center" shrinkToFit="1"/>
    </xf>
    <xf numFmtId="0" fontId="10" fillId="7" borderId="34" xfId="0" applyFont="1" applyFill="1" applyBorder="1" applyAlignment="1">
      <alignment horizontal="center" vertical="center" shrinkToFit="1"/>
    </xf>
    <xf numFmtId="189" fontId="15" fillId="6" borderId="25" xfId="1" applyNumberFormat="1" applyFont="1" applyFill="1" applyBorder="1" applyAlignment="1">
      <alignment horizontal="center" vertical="center" shrinkToFit="1"/>
    </xf>
    <xf numFmtId="0" fontId="8" fillId="7" borderId="21" xfId="0" applyFont="1" applyFill="1" applyBorder="1" applyAlignment="1">
      <alignment horizontal="center" vertical="center" shrinkToFit="1"/>
    </xf>
    <xf numFmtId="0" fontId="8" fillId="7" borderId="22" xfId="0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shrinkToFit="1"/>
    </xf>
    <xf numFmtId="0" fontId="6" fillId="6" borderId="1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shrinkToFit="1"/>
    </xf>
    <xf numFmtId="0" fontId="7" fillId="5" borderId="12" xfId="0" applyFont="1" applyFill="1" applyBorder="1" applyAlignment="1">
      <alignment horizontal="center" vertical="center" shrinkToFit="1"/>
    </xf>
    <xf numFmtId="0" fontId="5" fillId="6" borderId="16" xfId="0" applyFont="1" applyFill="1" applyBorder="1" applyAlignment="1">
      <alignment horizontal="center" vertical="center" wrapText="1" shrinkToFit="1"/>
    </xf>
    <xf numFmtId="0" fontId="5" fillId="6" borderId="17" xfId="0" applyFont="1" applyFill="1" applyBorder="1" applyAlignment="1">
      <alignment horizontal="center" vertical="center" shrinkToFit="1"/>
    </xf>
    <xf numFmtId="0" fontId="6" fillId="6" borderId="35" xfId="0" applyFont="1" applyFill="1" applyBorder="1" applyAlignment="1">
      <alignment horizontal="center" vertical="center" shrinkToFit="1"/>
    </xf>
    <xf numFmtId="0" fontId="6" fillId="6" borderId="23" xfId="0" applyFont="1" applyFill="1" applyBorder="1" applyAlignment="1">
      <alignment horizontal="center" vertical="center" shrinkToFit="1"/>
    </xf>
    <xf numFmtId="0" fontId="8" fillId="7" borderId="33" xfId="0" applyFont="1" applyFill="1" applyBorder="1" applyAlignment="1">
      <alignment horizontal="center" vertical="center" shrinkToFit="1"/>
    </xf>
    <xf numFmtId="9" fontId="13" fillId="0" borderId="28" xfId="2" applyFont="1" applyFill="1" applyBorder="1" applyAlignment="1">
      <alignment horizontal="center" vertical="top"/>
    </xf>
    <xf numFmtId="9" fontId="11" fillId="0" borderId="29" xfId="2" applyFont="1" applyFill="1" applyBorder="1" applyAlignment="1">
      <alignment horizontal="center" vertical="top"/>
    </xf>
    <xf numFmtId="9" fontId="9" fillId="0" borderId="29" xfId="2" applyFont="1" applyFill="1" applyBorder="1" applyAlignment="1">
      <alignment horizontal="center" vertical="top"/>
    </xf>
    <xf numFmtId="9" fontId="9" fillId="0" borderId="30" xfId="2" applyFont="1" applyFill="1" applyBorder="1" applyAlignment="1">
      <alignment horizontal="center" vertical="top"/>
    </xf>
    <xf numFmtId="9" fontId="11" fillId="0" borderId="24" xfId="2" applyFont="1" applyFill="1" applyBorder="1" applyAlignment="1">
      <alignment horizontal="center" vertical="top"/>
    </xf>
    <xf numFmtId="9" fontId="9" fillId="0" borderId="31" xfId="2" applyFont="1" applyFill="1" applyBorder="1" applyAlignment="1">
      <alignment horizontal="center" vertical="top"/>
    </xf>
    <xf numFmtId="9" fontId="9" fillId="0" borderId="32" xfId="2" applyFont="1" applyFill="1" applyBorder="1" applyAlignment="1">
      <alignment horizontal="center" vertical="top"/>
    </xf>
    <xf numFmtId="0" fontId="4" fillId="0" borderId="18" xfId="0" applyFont="1" applyBorder="1" applyAlignment="1">
      <alignment vertical="center"/>
    </xf>
    <xf numFmtId="2" fontId="4" fillId="0" borderId="18" xfId="0" applyNumberFormat="1" applyFont="1" applyBorder="1" applyAlignment="1">
      <alignment vertical="center"/>
    </xf>
    <xf numFmtId="189" fontId="10" fillId="0" borderId="13" xfId="1" applyNumberFormat="1" applyFont="1" applyBorder="1" applyAlignment="1">
      <alignment horizontal="center" vertical="top"/>
    </xf>
    <xf numFmtId="189" fontId="10" fillId="0" borderId="15" xfId="1" applyNumberFormat="1" applyFont="1" applyBorder="1" applyAlignment="1">
      <alignment horizontal="center" vertical="top"/>
    </xf>
    <xf numFmtId="0" fontId="17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14" fontId="18" fillId="3" borderId="1" xfId="0" applyNumberFormat="1" applyFont="1" applyFill="1" applyBorder="1" applyAlignment="1">
      <alignment horizontal="center" vertical="center" wrapText="1"/>
    </xf>
    <xf numFmtId="14" fontId="18" fillId="4" borderId="1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3" borderId="1" xfId="0" applyFont="1" applyFill="1" applyBorder="1" applyAlignment="1">
      <alignment horizontal="left" vertical="center" wrapText="1"/>
    </xf>
    <xf numFmtId="189" fontId="10" fillId="0" borderId="36" xfId="1" applyNumberFormat="1" applyFont="1" applyBorder="1" applyAlignment="1">
      <alignment horizontal="center" vertical="top"/>
    </xf>
    <xf numFmtId="189" fontId="11" fillId="0" borderId="13" xfId="1" applyNumberFormat="1" applyFont="1" applyBorder="1" applyAlignment="1">
      <alignment horizontal="center" vertical="top"/>
    </xf>
    <xf numFmtId="189" fontId="11" fillId="0" borderId="8" xfId="1" applyNumberFormat="1" applyFont="1" applyBorder="1" applyAlignment="1">
      <alignment horizontal="center" vertical="top"/>
    </xf>
    <xf numFmtId="189" fontId="11" fillId="0" borderId="14" xfId="1" applyNumberFormat="1" applyFont="1" applyBorder="1" applyAlignment="1">
      <alignment horizontal="center" vertical="top"/>
    </xf>
    <xf numFmtId="189" fontId="13" fillId="0" borderId="8" xfId="1" applyNumberFormat="1" applyFont="1" applyBorder="1" applyAlignment="1">
      <alignment horizontal="center" vertical="top"/>
    </xf>
    <xf numFmtId="189" fontId="13" fillId="0" borderId="14" xfId="1" applyNumberFormat="1" applyFont="1" applyBorder="1" applyAlignment="1">
      <alignment horizontal="center" vertical="top"/>
    </xf>
    <xf numFmtId="193" fontId="13" fillId="0" borderId="26" xfId="1" applyNumberFormat="1" applyFont="1" applyBorder="1" applyAlignment="1">
      <alignment horizontal="center" vertical="top"/>
    </xf>
    <xf numFmtId="193" fontId="11" fillId="0" borderId="4" xfId="1" applyNumberFormat="1" applyFont="1" applyBorder="1" applyAlignment="1">
      <alignment horizontal="center" vertical="top"/>
    </xf>
    <xf numFmtId="193" fontId="10" fillId="0" borderId="4" xfId="1" applyNumberFormat="1" applyFont="1" applyBorder="1" applyAlignment="1">
      <alignment horizontal="center" vertical="top"/>
    </xf>
    <xf numFmtId="193" fontId="10" fillId="0" borderId="10" xfId="1" applyNumberFormat="1" applyFont="1" applyBorder="1" applyAlignment="1">
      <alignment horizontal="center" vertical="top"/>
    </xf>
    <xf numFmtId="193" fontId="11" fillId="0" borderId="19" xfId="1" applyNumberFormat="1" applyFont="1" applyBorder="1" applyAlignment="1">
      <alignment horizontal="center" vertical="top"/>
    </xf>
    <xf numFmtId="193" fontId="10" fillId="0" borderId="8" xfId="1" applyNumberFormat="1" applyFont="1" applyBorder="1" applyAlignment="1">
      <alignment horizontal="center" vertical="top"/>
    </xf>
    <xf numFmtId="193" fontId="10" fillId="0" borderId="6" xfId="1" applyNumberFormat="1" applyFont="1" applyBorder="1" applyAlignment="1">
      <alignment horizontal="center" vertical="top"/>
    </xf>
    <xf numFmtId="193" fontId="13" fillId="0" borderId="26" xfId="3" applyNumberFormat="1" applyFont="1" applyFill="1" applyBorder="1" applyAlignment="1">
      <alignment horizontal="center" vertical="top"/>
    </xf>
    <xf numFmtId="193" fontId="11" fillId="0" borderId="4" xfId="3" applyNumberFormat="1" applyFont="1" applyFill="1" applyBorder="1" applyAlignment="1">
      <alignment horizontal="center" vertical="top"/>
    </xf>
    <xf numFmtId="193" fontId="9" fillId="0" borderId="4" xfId="3" applyNumberFormat="1" applyFont="1" applyFill="1" applyBorder="1" applyAlignment="1">
      <alignment horizontal="center" vertical="top"/>
    </xf>
    <xf numFmtId="193" fontId="9" fillId="0" borderId="10" xfId="3" applyNumberFormat="1" applyFont="1" applyFill="1" applyBorder="1" applyAlignment="1">
      <alignment horizontal="center" vertical="top"/>
    </xf>
    <xf numFmtId="193" fontId="11" fillId="0" borderId="19" xfId="3" applyNumberFormat="1" applyFont="1" applyFill="1" applyBorder="1" applyAlignment="1">
      <alignment horizontal="center" vertical="top"/>
    </xf>
    <xf numFmtId="193" fontId="9" fillId="0" borderId="8" xfId="3" applyNumberFormat="1" applyFont="1" applyFill="1" applyBorder="1" applyAlignment="1">
      <alignment horizontal="center" vertical="top"/>
    </xf>
    <xf numFmtId="193" fontId="9" fillId="0" borderId="6" xfId="3" applyNumberFormat="1" applyFont="1" applyFill="1" applyBorder="1" applyAlignment="1">
      <alignment horizontal="center" vertical="top"/>
    </xf>
    <xf numFmtId="0" fontId="7" fillId="5" borderId="11" xfId="0" applyFont="1" applyFill="1" applyBorder="1" applyAlignment="1">
      <alignment horizontal="center" vertical="center" wrapText="1" shrinkToFit="1"/>
    </xf>
    <xf numFmtId="192" fontId="16" fillId="5" borderId="11" xfId="0" applyNumberFormat="1" applyFont="1" applyFill="1" applyBorder="1" applyAlignment="1">
      <alignment horizontal="center" vertical="center"/>
    </xf>
    <xf numFmtId="192" fontId="16" fillId="5" borderId="38" xfId="0" applyNumberFormat="1" applyFont="1" applyFill="1" applyBorder="1" applyAlignment="1">
      <alignment horizontal="center" vertical="center"/>
    </xf>
    <xf numFmtId="193" fontId="16" fillId="5" borderId="39" xfId="0" applyNumberFormat="1" applyFont="1" applyFill="1" applyBorder="1" applyAlignment="1">
      <alignment horizontal="center" vertical="center"/>
    </xf>
    <xf numFmtId="193" fontId="16" fillId="5" borderId="37" xfId="0" applyNumberFormat="1" applyFont="1" applyFill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193" fontId="4" fillId="0" borderId="8" xfId="3" applyNumberFormat="1" applyFont="1" applyFill="1" applyBorder="1" applyAlignment="1">
      <alignment horizontal="center" vertical="top"/>
    </xf>
    <xf numFmtId="0" fontId="5" fillId="6" borderId="40" xfId="0" applyFont="1" applyFill="1" applyBorder="1" applyAlignment="1">
      <alignment horizontal="center" vertical="center" wrapText="1" shrinkToFit="1"/>
    </xf>
    <xf numFmtId="0" fontId="6" fillId="6" borderId="41" xfId="0" applyFont="1" applyFill="1" applyBorder="1" applyAlignment="1">
      <alignment horizontal="center" vertical="center" shrinkToFit="1"/>
    </xf>
    <xf numFmtId="0" fontId="7" fillId="5" borderId="41" xfId="0" applyFont="1" applyFill="1" applyBorder="1" applyAlignment="1">
      <alignment horizontal="center" vertical="center" shrinkToFit="1"/>
    </xf>
    <xf numFmtId="192" fontId="16" fillId="5" borderId="41" xfId="0" applyNumberFormat="1" applyFont="1" applyFill="1" applyBorder="1" applyAlignment="1">
      <alignment horizontal="center" vertical="center"/>
    </xf>
    <xf numFmtId="192" fontId="16" fillId="5" borderId="42" xfId="0" applyNumberFormat="1" applyFont="1" applyFill="1" applyBorder="1" applyAlignment="1">
      <alignment horizontal="center" vertical="center"/>
    </xf>
    <xf numFmtId="0" fontId="6" fillId="6" borderId="43" xfId="0" applyFont="1" applyFill="1" applyBorder="1" applyAlignment="1">
      <alignment horizontal="center" vertical="center" shrinkToFit="1"/>
    </xf>
    <xf numFmtId="0" fontId="6" fillId="6" borderId="44" xfId="0" applyFont="1" applyFill="1" applyBorder="1" applyAlignment="1">
      <alignment horizontal="center" vertical="center" shrinkToFit="1"/>
    </xf>
    <xf numFmtId="49" fontId="4" fillId="0" borderId="28" xfId="0" applyNumberFormat="1" applyFont="1" applyBorder="1" applyAlignment="1">
      <alignment horizontal="center" vertical="top" wrapText="1"/>
    </xf>
    <xf numFmtId="49" fontId="4" fillId="0" borderId="45" xfId="0" applyNumberFormat="1" applyFont="1" applyBorder="1" applyAlignment="1">
      <alignment horizontal="center" vertical="top" wrapText="1"/>
    </xf>
    <xf numFmtId="49" fontId="10" fillId="0" borderId="29" xfId="0" applyNumberFormat="1" applyFont="1" applyBorder="1" applyAlignment="1">
      <alignment horizontal="left" vertical="top" wrapText="1"/>
    </xf>
    <xf numFmtId="49" fontId="10" fillId="0" borderId="46" xfId="0" applyNumberFormat="1" applyFont="1" applyBorder="1" applyAlignment="1">
      <alignment horizontal="left" vertical="top" wrapText="1"/>
    </xf>
    <xf numFmtId="49" fontId="10" fillId="0" borderId="32" xfId="0" applyNumberFormat="1" applyFont="1" applyBorder="1" applyAlignment="1">
      <alignment horizontal="left" vertical="top" wrapText="1"/>
    </xf>
    <xf numFmtId="49" fontId="10" fillId="0" borderId="47" xfId="0" applyNumberFormat="1" applyFont="1" applyBorder="1" applyAlignment="1">
      <alignment horizontal="left" vertical="top" wrapText="1"/>
    </xf>
    <xf numFmtId="43" fontId="10" fillId="0" borderId="4" xfId="1" applyNumberFormat="1" applyFont="1" applyBorder="1" applyAlignment="1">
      <alignment horizontal="center" vertical="top"/>
    </xf>
    <xf numFmtId="43" fontId="10" fillId="0" borderId="13" xfId="1" applyNumberFormat="1" applyFont="1" applyBorder="1" applyAlignment="1">
      <alignment horizontal="center" vertical="top"/>
    </xf>
    <xf numFmtId="43" fontId="10" fillId="0" borderId="6" xfId="1" applyNumberFormat="1" applyFont="1" applyBorder="1" applyAlignment="1">
      <alignment horizontal="center" vertical="top"/>
    </xf>
    <xf numFmtId="43" fontId="10" fillId="0" borderId="15" xfId="1" applyNumberFormat="1" applyFont="1" applyBorder="1" applyAlignment="1">
      <alignment horizontal="center" vertical="top"/>
    </xf>
    <xf numFmtId="189" fontId="4" fillId="0" borderId="23" xfId="0" applyNumberFormat="1" applyFont="1" applyBorder="1" applyAlignment="1">
      <alignment vertical="center"/>
    </xf>
  </cellXfs>
  <cellStyles count="4">
    <cellStyle name="Comma" xfId="1" builtinId="3"/>
    <cellStyle name="Comma 2" xfId="3" xr:uid="{BBFF2817-3AF9-474A-9486-1D199734D6F1}"/>
    <cellStyle name="Normal" xfId="0" builtinId="0"/>
    <cellStyle name="Percent" xfId="2" builtinId="5"/>
  </cellStyles>
  <dxfs count="4"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1B9CFC"/>
      <color rgb="FF0000FF"/>
      <color rgb="FFFC427B"/>
      <color rgb="FF55E6C1"/>
      <color rgb="FFBFBFBF"/>
      <color rgb="FFDEDEDE"/>
      <color rgb="FF5E5E5E"/>
      <color rgb="FFEEFFAF"/>
      <color rgb="FFF97F51"/>
      <color rgb="FF3AE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WorkSchedule!$B$12:$B$56</c:f>
              <c:numCache>
                <c:formatCode>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WorkSchedule!$I$12:$I$56</c:f>
              <c:numCache>
                <c:formatCode>m/d/yyyy</c:formatCode>
                <c:ptCount val="45"/>
                <c:pt idx="0">
                  <c:v>45667</c:v>
                </c:pt>
                <c:pt idx="1">
                  <c:v>45667</c:v>
                </c:pt>
                <c:pt idx="2">
                  <c:v>45667</c:v>
                </c:pt>
                <c:pt idx="3">
                  <c:v>45698</c:v>
                </c:pt>
                <c:pt idx="4">
                  <c:v>45726</c:v>
                </c:pt>
                <c:pt idx="5">
                  <c:v>45757</c:v>
                </c:pt>
                <c:pt idx="6">
                  <c:v>45790</c:v>
                </c:pt>
                <c:pt idx="7">
                  <c:v>45818</c:v>
                </c:pt>
                <c:pt idx="8">
                  <c:v>45849</c:v>
                </c:pt>
                <c:pt idx="9">
                  <c:v>45882</c:v>
                </c:pt>
                <c:pt idx="10">
                  <c:v>45910</c:v>
                </c:pt>
                <c:pt idx="11">
                  <c:v>45940</c:v>
                </c:pt>
                <c:pt idx="12">
                  <c:v>45971</c:v>
                </c:pt>
                <c:pt idx="13">
                  <c:v>46002</c:v>
                </c:pt>
                <c:pt idx="14">
                  <c:v>45691</c:v>
                </c:pt>
                <c:pt idx="15">
                  <c:v>45691</c:v>
                </c:pt>
                <c:pt idx="16">
                  <c:v>45734</c:v>
                </c:pt>
                <c:pt idx="17">
                  <c:v>45790</c:v>
                </c:pt>
                <c:pt idx="18">
                  <c:v>45824</c:v>
                </c:pt>
                <c:pt idx="19">
                  <c:v>45733</c:v>
                </c:pt>
                <c:pt idx="20">
                  <c:v>45733</c:v>
                </c:pt>
                <c:pt idx="21">
                  <c:v>45775</c:v>
                </c:pt>
                <c:pt idx="22">
                  <c:v>45691</c:v>
                </c:pt>
                <c:pt idx="23">
                  <c:v>45691</c:v>
                </c:pt>
                <c:pt idx="24">
                  <c:v>45751</c:v>
                </c:pt>
                <c:pt idx="25">
                  <c:v>45796</c:v>
                </c:pt>
                <c:pt idx="26">
                  <c:v>45834</c:v>
                </c:pt>
                <c:pt idx="27">
                  <c:v>45733</c:v>
                </c:pt>
                <c:pt idx="28">
                  <c:v>45733</c:v>
                </c:pt>
                <c:pt idx="29">
                  <c:v>45803</c:v>
                </c:pt>
                <c:pt idx="30">
                  <c:v>45824</c:v>
                </c:pt>
                <c:pt idx="31">
                  <c:v>45824</c:v>
                </c:pt>
                <c:pt idx="32">
                  <c:v>45853</c:v>
                </c:pt>
                <c:pt idx="33">
                  <c:v>45691</c:v>
                </c:pt>
                <c:pt idx="34">
                  <c:v>45691</c:v>
                </c:pt>
                <c:pt idx="35">
                  <c:v>45736</c:v>
                </c:pt>
                <c:pt idx="36">
                  <c:v>45798</c:v>
                </c:pt>
                <c:pt idx="37">
                  <c:v>45853</c:v>
                </c:pt>
                <c:pt idx="38">
                  <c:v>45931</c:v>
                </c:pt>
                <c:pt idx="39">
                  <c:v>45719</c:v>
                </c:pt>
                <c:pt idx="40">
                  <c:v>45719</c:v>
                </c:pt>
                <c:pt idx="41">
                  <c:v>45796</c:v>
                </c:pt>
                <c:pt idx="42">
                  <c:v>45817</c:v>
                </c:pt>
                <c:pt idx="43">
                  <c:v>45819</c:v>
                </c:pt>
                <c:pt idx="44">
                  <c:v>45824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489-AE4E-ABAE6D2B50DB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</c:spPr>
          <c:invertIfNegative val="0"/>
          <c:val>
            <c:numRef>
              <c:f>WorkSchedule!$N$12:$N$56</c:f>
              <c:numCache>
                <c:formatCode>_-* #,##0_-;\-* #,##0_-;_-* "-"??_-;_-@_-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6C-4489-AE4E-ABAE6D2B50DB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</c:spPr>
          <c:invertIfNegative val="0"/>
          <c:val>
            <c:numRef>
              <c:f>WorkSchedule!$O$12:$O$56</c:f>
              <c:numCache>
                <c:formatCode>_-* #,##0_-;\-* #,##0_-;_-* "-"??_-;_-@_-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44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  <c:pt idx="24">
                  <c:v>7</c:v>
                </c:pt>
                <c:pt idx="25">
                  <c:v>5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12</c:v>
                </c:pt>
                <c:pt idx="41">
                  <c:v>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6C-4489-AE4E-ABAE6D2B50DB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</c:spPr>
          <c:invertIfNegative val="0"/>
          <c:val>
            <c:numRef>
              <c:f>WorkSchedule!$P$12:$P$56</c:f>
              <c:numCache>
                <c:formatCode>_-* #,##0_-;\-* #,##0_-;_-* "-"??_-;_-@_-</c:formatCode>
                <c:ptCount val="45"/>
                <c:pt idx="0">
                  <c:v>340</c:v>
                </c:pt>
                <c:pt idx="1">
                  <c:v>340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145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121</c:v>
                </c:pt>
                <c:pt idx="28">
                  <c:v>0</c:v>
                </c:pt>
                <c:pt idx="29">
                  <c:v>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243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110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6C-4489-AE4E-ABAE6D2B50DB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</c:spPr>
          <c:invertIfNegative val="0"/>
          <c:val>
            <c:numRef>
              <c:f>WorkSchedule!$Q$12:$Q$56</c:f>
              <c:numCache>
                <c:formatCode>_-* #,##0_-;\-* #,##0_-;_-* "-"??_-;_-@_-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3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12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</c:v>
                </c:pt>
                <c:pt idx="38">
                  <c:v>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6C-4489-AE4E-ABAE6D2B5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1795683599"/>
        <c:axId val="1795680719"/>
      </c:barChart>
      <c:scatterChart>
        <c:scatterStyle val="lineMarker"/>
        <c:varyColors val="0"/>
        <c:ser>
          <c:idx val="5"/>
          <c:order val="5"/>
          <c:tx>
            <c:strRef>
              <c:f>WorkSchedule!$C$5</c:f>
              <c:strCache>
                <c:ptCount val="1"/>
                <c:pt idx="0">
                  <c:v>05/06/2025</c:v>
                </c:pt>
              </c:strCache>
            </c:strRef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45813</c:v>
                </c:pt>
                <c:pt idx="1">
                  <c:v>45813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4A6C-4489-AE4E-ABAE6D2B50DB}"/>
            </c:ext>
          </c:extLst>
        </c:ser>
        <c:ser>
          <c:idx val="6"/>
          <c:order val="6"/>
          <c:tx>
            <c:v>Task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31EE57-95AC-4483-9C13-6EB62959E4D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6C-4489-AE4E-ABAE6D2B50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9ABD52-D340-4382-904C-401CC70CD08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6C-4489-AE4E-ABAE6D2B50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1111D5-B77F-4E05-9B91-062127ABA7D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6C-4489-AE4E-ABAE6D2B50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926D26-5117-45CF-95DF-95AC653C4F3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6C-4489-AE4E-ABAE6D2B50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52E346-1552-4840-9C05-DC2F8E4F8ED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6C-4489-AE4E-ABAE6D2B50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D11ABF-CBAF-41A6-AE5F-0B47031C7B5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6C-4489-AE4E-ABAE6D2B50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60188C-3F9A-446A-86B4-7F7B1D8320D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6C-4489-AE4E-ABAE6D2B50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C86C74-6D34-4236-9F65-49376655B0C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6C-4489-AE4E-ABAE6D2B50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4C239C-B783-4EF1-BF3C-F1FF2DD523D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6C-4489-AE4E-ABAE6D2B50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DE0367-6FC0-4960-8792-4D48007108B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6C-4489-AE4E-ABAE6D2B50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64A4DD-5F7C-4D24-B7AB-9987D7C0B5F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6C-4489-AE4E-ABAE6D2B50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08F530-70D9-4ABB-9437-608C0E67E68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6C-4489-AE4E-ABAE6D2B50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299774-EAB9-408E-A513-D69D38E82A2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6C-4489-AE4E-ABAE6D2B50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27E306-E7A4-410D-B2B5-2928D4C560E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6C-4489-AE4E-ABAE6D2B50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232121-4126-4C81-A54B-F9DD8B3265A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6C-4489-AE4E-ABAE6D2B50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6814C0-566A-41F0-B474-3AA1A5AAFBF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6C-4489-AE4E-ABAE6D2B50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7D06AF-08EF-4D74-892B-0522F156626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6C-4489-AE4E-ABAE6D2B50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F6E2EA-690D-466E-A640-7EA90F93B5C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6C-4489-AE4E-ABAE6D2B50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151C03-7D13-4AAB-86B9-C7BECF0A89F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6C-4489-AE4E-ABAE6D2B50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173C03-5A13-43DF-BDA1-E62ABDA61B4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6C-4489-AE4E-ABAE6D2B50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A939C1-972D-4005-86C9-2BAD7DF9AC9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6C-4489-AE4E-ABAE6D2B50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23C96B-A12A-4090-8E51-66ACF64D9F6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6C-4489-AE4E-ABAE6D2B50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A1DD244-44F3-498E-B1A3-0D6A6985DE0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6C-4489-AE4E-ABAE6D2B50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BE8DCB-5C1A-4F41-B1F3-B3207FC4B79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6C-4489-AE4E-ABAE6D2B50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62B89E-95A1-4893-8444-7E4E4B4DFA8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6C-4489-AE4E-ABAE6D2B50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928912-2510-479B-932B-F7D0841535E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6C-4489-AE4E-ABAE6D2B50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05019A-9099-4F73-A225-13BB4A7C634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6C-4489-AE4E-ABAE6D2B50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CB9704-D29E-40CC-8DF2-577A8B5B783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6C-4489-AE4E-ABAE6D2B50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98052B-7C3B-4E63-B75C-14F34111AE5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6C-4489-AE4E-ABAE6D2B50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E1E52E-A1BA-4AE9-A9C6-045C5F6F671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6C-4489-AE4E-ABAE6D2B50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0AFE54-ED97-4D67-9B8B-094E6BEF050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6C-4489-AE4E-ABAE6D2B50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025115-ABDB-490B-9DC4-8E23F4147C3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6C-4489-AE4E-ABAE6D2B50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E3FDFA-BD78-4FB7-AF99-9D7B6DE5777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6C-4489-AE4E-ABAE6D2B50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885722-CBB8-469F-9872-B3DEB692170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6C-4489-AE4E-ABAE6D2B50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806D1C-9715-4DA5-AF7A-E09FE943D65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6C-4489-AE4E-ABAE6D2B50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EE6B6B-4416-42E1-B713-8E05642DF5F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6C-4489-AE4E-ABAE6D2B50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BE4A6A-D014-46EE-9CEF-FF62A9D1315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6C-4489-AE4E-ABAE6D2B50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7D0A94-B013-4BF3-A978-A589E45366C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6C-4489-AE4E-ABAE6D2B50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5EE1A1-2A58-4F90-9677-63214D84B01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6C-4489-AE4E-ABAE6D2B50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FF89474-5862-4A8E-807F-FBBA9D88CF9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6C-4489-AE4E-ABAE6D2B50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28A08B-0C97-4105-9EBE-AE9F28727ED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6C-4489-AE4E-ABAE6D2B50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BD0EDF-3BDE-43BC-A108-E08B1E92433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6C-4489-AE4E-ABAE6D2B50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31A06D-4E74-4A85-A9DE-8A1AB64A270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6C-4489-AE4E-ABAE6D2B50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B86A99-C604-4A6A-963A-435F3D4E77F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6C-4489-AE4E-ABAE6D2B50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6A6FF0-A243-42E1-8CA5-6EB472A83E5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6C-4489-AE4E-ABAE6D2B50DB}"/>
                </c:ext>
              </c:extLst>
            </c:dLbl>
            <c:spPr>
              <a:solidFill>
                <a:srgbClr val="F2F2F2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rgbClr val="0D0D0D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BFBFBF"/>
                      </a:solidFill>
                    </a:ln>
                  </c:spPr>
                </c15:leaderLines>
              </c:ext>
            </c:extLst>
          </c:dLbls>
          <c:xVal>
            <c:numRef>
              <c:f>WorkSchedule!$I$12:$I$56</c:f>
              <c:numCache>
                <c:formatCode>m/d/yyyy</c:formatCode>
                <c:ptCount val="45"/>
                <c:pt idx="0">
                  <c:v>45667</c:v>
                </c:pt>
                <c:pt idx="1">
                  <c:v>45667</c:v>
                </c:pt>
                <c:pt idx="2">
                  <c:v>45667</c:v>
                </c:pt>
                <c:pt idx="3">
                  <c:v>45698</c:v>
                </c:pt>
                <c:pt idx="4">
                  <c:v>45726</c:v>
                </c:pt>
                <c:pt idx="5">
                  <c:v>45757</c:v>
                </c:pt>
                <c:pt idx="6">
                  <c:v>45790</c:v>
                </c:pt>
                <c:pt idx="7">
                  <c:v>45818</c:v>
                </c:pt>
                <c:pt idx="8">
                  <c:v>45849</c:v>
                </c:pt>
                <c:pt idx="9">
                  <c:v>45882</c:v>
                </c:pt>
                <c:pt idx="10">
                  <c:v>45910</c:v>
                </c:pt>
                <c:pt idx="11">
                  <c:v>45940</c:v>
                </c:pt>
                <c:pt idx="12">
                  <c:v>45971</c:v>
                </c:pt>
                <c:pt idx="13">
                  <c:v>46002</c:v>
                </c:pt>
                <c:pt idx="14">
                  <c:v>45691</c:v>
                </c:pt>
                <c:pt idx="15">
                  <c:v>45691</c:v>
                </c:pt>
                <c:pt idx="16">
                  <c:v>45734</c:v>
                </c:pt>
                <c:pt idx="17">
                  <c:v>45790</c:v>
                </c:pt>
                <c:pt idx="18">
                  <c:v>45824</c:v>
                </c:pt>
                <c:pt idx="19">
                  <c:v>45733</c:v>
                </c:pt>
                <c:pt idx="20">
                  <c:v>45733</c:v>
                </c:pt>
                <c:pt idx="21">
                  <c:v>45775</c:v>
                </c:pt>
                <c:pt idx="22">
                  <c:v>45691</c:v>
                </c:pt>
                <c:pt idx="23">
                  <c:v>45691</c:v>
                </c:pt>
                <c:pt idx="24">
                  <c:v>45751</c:v>
                </c:pt>
                <c:pt idx="25">
                  <c:v>45796</c:v>
                </c:pt>
                <c:pt idx="26">
                  <c:v>45834</c:v>
                </c:pt>
                <c:pt idx="27">
                  <c:v>45733</c:v>
                </c:pt>
                <c:pt idx="28">
                  <c:v>45733</c:v>
                </c:pt>
                <c:pt idx="29">
                  <c:v>45803</c:v>
                </c:pt>
                <c:pt idx="30">
                  <c:v>45824</c:v>
                </c:pt>
                <c:pt idx="31">
                  <c:v>45824</c:v>
                </c:pt>
                <c:pt idx="32">
                  <c:v>45853</c:v>
                </c:pt>
                <c:pt idx="33">
                  <c:v>45691</c:v>
                </c:pt>
                <c:pt idx="34">
                  <c:v>45691</c:v>
                </c:pt>
                <c:pt idx="35">
                  <c:v>45736</c:v>
                </c:pt>
                <c:pt idx="36">
                  <c:v>45798</c:v>
                </c:pt>
                <c:pt idx="37">
                  <c:v>45853</c:v>
                </c:pt>
                <c:pt idx="38">
                  <c:v>45931</c:v>
                </c:pt>
                <c:pt idx="39">
                  <c:v>45719</c:v>
                </c:pt>
                <c:pt idx="40">
                  <c:v>45719</c:v>
                </c:pt>
                <c:pt idx="41">
                  <c:v>45796</c:v>
                </c:pt>
                <c:pt idx="42">
                  <c:v>45817</c:v>
                </c:pt>
                <c:pt idx="43">
                  <c:v>45819</c:v>
                </c:pt>
                <c:pt idx="44">
                  <c:v>45824</c:v>
                </c:pt>
              </c:numCache>
            </c:numRef>
          </c:xVal>
          <c:yVal>
            <c:numRef>
              <c:f>WorkSchedule!$S$12:$S$56</c:f>
              <c:numCache>
                <c:formatCode>_-* #,##0.0_-;\-* #,##0.0_-;_-* "-"??_-;_-@_-</c:formatCode>
                <c:ptCount val="4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  <c:pt idx="25">
                  <c:v>25.5</c:v>
                </c:pt>
                <c:pt idx="26">
                  <c:v>26.5</c:v>
                </c:pt>
                <c:pt idx="27">
                  <c:v>27.5</c:v>
                </c:pt>
                <c:pt idx="28">
                  <c:v>28.5</c:v>
                </c:pt>
                <c:pt idx="29">
                  <c:v>29.5</c:v>
                </c:pt>
                <c:pt idx="30">
                  <c:v>30.5</c:v>
                </c:pt>
                <c:pt idx="31">
                  <c:v>31.5</c:v>
                </c:pt>
                <c:pt idx="32">
                  <c:v>32.5</c:v>
                </c:pt>
                <c:pt idx="33">
                  <c:v>33.5</c:v>
                </c:pt>
                <c:pt idx="34">
                  <c:v>34.5</c:v>
                </c:pt>
                <c:pt idx="35">
                  <c:v>35.5</c:v>
                </c:pt>
                <c:pt idx="36">
                  <c:v>36.5</c:v>
                </c:pt>
                <c:pt idx="37">
                  <c:v>37.5</c:v>
                </c:pt>
                <c:pt idx="38">
                  <c:v>38.5</c:v>
                </c:pt>
                <c:pt idx="39">
                  <c:v>39.5</c:v>
                </c:pt>
                <c:pt idx="40">
                  <c:v>40.5</c:v>
                </c:pt>
                <c:pt idx="41">
                  <c:v>41.5</c:v>
                </c:pt>
                <c:pt idx="42">
                  <c:v>42.5</c:v>
                </c:pt>
                <c:pt idx="43">
                  <c:v>43.5</c:v>
                </c:pt>
                <c:pt idx="44">
                  <c:v>44.5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WorkSchedule!$D$12:$D$56</c15:f>
                <c15:dlblRangeCache>
                  <c:ptCount val="45"/>
                  <c:pt idx="0">
                    <c:v>Visa Fraud Project</c:v>
                  </c:pt>
                  <c:pt idx="1">
                    <c:v>(P1) VSRM - Credit Portfolio</c:v>
                  </c:pt>
                  <c:pt idx="2">
                    <c:v>VSRM R1</c:v>
                  </c:pt>
                  <c:pt idx="3">
                    <c:v>VSRM R2</c:v>
                  </c:pt>
                  <c:pt idx="4">
                    <c:v>VSRM R3</c:v>
                  </c:pt>
                  <c:pt idx="5">
                    <c:v>VSRM R4</c:v>
                  </c:pt>
                  <c:pt idx="6">
                    <c:v>VSRM R5</c:v>
                  </c:pt>
                  <c:pt idx="7">
                    <c:v>VSRM R6</c:v>
                  </c:pt>
                  <c:pt idx="8">
                    <c:v>VSRM R7</c:v>
                  </c:pt>
                  <c:pt idx="9">
                    <c:v>VSRM R8</c:v>
                  </c:pt>
                  <c:pt idx="10">
                    <c:v>VSRM R9</c:v>
                  </c:pt>
                  <c:pt idx="11">
                    <c:v>VSRM R10</c:v>
                  </c:pt>
                  <c:pt idx="12">
                    <c:v>VSRM R11</c:v>
                  </c:pt>
                  <c:pt idx="13">
                    <c:v>VSRM R12</c:v>
                  </c:pt>
                  <c:pt idx="14">
                    <c:v>(P2) Enterprise Fraud Mgmt.</c:v>
                  </c:pt>
                  <c:pt idx="15">
                    <c:v>Kick-Off Meeting</c:v>
                  </c:pt>
                  <c:pt idx="16">
                    <c:v>WS1</c:v>
                  </c:pt>
                  <c:pt idx="17">
                    <c:v>WS2</c:v>
                  </c:pt>
                  <c:pt idx="18">
                    <c:v>Final Delivery</c:v>
                  </c:pt>
                  <c:pt idx="19">
                    <c:v>(P3) STIP Optimization</c:v>
                  </c:pt>
                  <c:pt idx="20">
                    <c:v>Kick-Off meeting</c:v>
                  </c:pt>
                  <c:pt idx="21">
                    <c:v>Recommendation</c:v>
                  </c:pt>
                  <c:pt idx="22">
                    <c:v>(P4) Fraud Risk Analytics </c:v>
                  </c:pt>
                  <c:pt idx="23">
                    <c:v>Kick-Off meetings</c:v>
                  </c:pt>
                  <c:pt idx="24">
                    <c:v>Metric shortlisting</c:v>
                  </c:pt>
                  <c:pt idx="25">
                    <c:v>Workshop</c:v>
                  </c:pt>
                  <c:pt idx="26">
                    <c:v>Final Delivery</c:v>
                  </c:pt>
                  <c:pt idx="27">
                    <c:v>(P5) VPTL – Credit &amp; Debit</c:v>
                  </c:pt>
                  <c:pt idx="28">
                    <c:v>Kick-Off meeting</c:v>
                  </c:pt>
                  <c:pt idx="29">
                    <c:v>2-week testing (Credit)</c:v>
                  </c:pt>
                  <c:pt idx="30">
                    <c:v>2-week testing (Debit)</c:v>
                  </c:pt>
                  <c:pt idx="31">
                    <c:v>Recommendation (Credit)</c:v>
                  </c:pt>
                  <c:pt idx="32">
                    <c:v>Recommendation (Debit)</c:v>
                  </c:pt>
                  <c:pt idx="33">
                    <c:v>(P6) Upskilling Workshops</c:v>
                  </c:pt>
                  <c:pt idx="34">
                    <c:v>Kick-Off meeting</c:v>
                  </c:pt>
                  <c:pt idx="35">
                    <c:v>WS1 (4 mods)</c:v>
                  </c:pt>
                  <c:pt idx="36">
                    <c:v>WS2 (1 mod)</c:v>
                  </c:pt>
                  <c:pt idx="37">
                    <c:v>WS3 (5 mods)</c:v>
                  </c:pt>
                  <c:pt idx="38">
                    <c:v>WS4 (5 mods)</c:v>
                  </c:pt>
                  <c:pt idx="39">
                    <c:v>(P7) VCAS (Authentication)</c:v>
                  </c:pt>
                  <c:pt idx="40">
                    <c:v>Business Feasibility</c:v>
                  </c:pt>
                  <c:pt idx="41">
                    <c:v>Technical Feasibility</c:v>
                  </c:pt>
                  <c:pt idx="42">
                    <c:v>Visa's assessment</c:v>
                  </c:pt>
                  <c:pt idx="43">
                    <c:v>Revise Business feasibility</c:v>
                  </c:pt>
                  <c:pt idx="44">
                    <c:v>IT investment (prep)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4A6C-4489-AE4E-ABAE6D2B50DB}"/>
            </c:ext>
          </c:extLst>
        </c:ser>
        <c:ser>
          <c:idx val="7"/>
          <c:order val="7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E9713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0672B8-830F-4202-822B-628D93EA492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6C-4489-AE4E-ABAE6D2B50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9EF587-A88D-4954-A838-2896C53BF35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6C-4489-AE4E-ABAE6D2B50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F2FE48-B190-4255-A4F0-C60DC3C04BB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6C-4489-AE4E-ABAE6D2B50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5421A4-9CAA-453A-8676-8E5BB706E96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6C-4489-AE4E-ABAE6D2B50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D6C4DA-C84F-43E2-A396-C37F947069B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6C-4489-AE4E-ABAE6D2B50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768832-3DDC-4B5A-9068-506D3925523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6C-4489-AE4E-ABAE6D2B50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5B7016-BF8E-4BD5-811C-F2ED4E1A38F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6C-4489-AE4E-ABAE6D2B50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A5240E-CDCA-4ED0-8B7D-0D7E6809E96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6C-4489-AE4E-ABAE6D2B50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2756E5-824D-41A8-BAE5-8878CA9D4F4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6C-4489-AE4E-ABAE6D2B50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405E33-FC0F-44B7-A3D4-A57D0AD4A7E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6C-4489-AE4E-ABAE6D2B50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1AE666-EC6E-498C-875A-372D07A2F35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6C-4489-AE4E-ABAE6D2B50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AB5819-A763-4046-8B9C-611DF6255A4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6C-4489-AE4E-ABAE6D2B50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16D5F2-1DBB-491E-A202-0B512A5C5CC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6C-4489-AE4E-ABAE6D2B50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AE8922-4C79-445B-829D-4AC32AF9EA7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6C-4489-AE4E-ABAE6D2B50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5C2EB2-1AF9-4597-80F6-E3D6CC1C7A8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6C-4489-AE4E-ABAE6D2B50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525585-3297-47FA-A7C5-5D09E0926F8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6C-4489-AE4E-ABAE6D2B50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682137-E162-402A-903A-AA812789B3A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6C-4489-AE4E-ABAE6D2B50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616895-0540-4712-8D40-9B41A475F78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6C-4489-AE4E-ABAE6D2B50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24C898-C014-4269-9E4C-334511C3243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6C-4489-AE4E-ABAE6D2B50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D5DB48-CB8E-442B-87A9-847C5B8CAEB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6C-4489-AE4E-ABAE6D2B50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0C9F9C-EB56-4378-913D-E94FC219309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6C-4489-AE4E-ABAE6D2B50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89E860-E65C-4B0E-8175-EE8E1EA778A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6C-4489-AE4E-ABAE6D2B50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5E1695-BEF4-4380-9EF4-E99DDBCE42A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6C-4489-AE4E-ABAE6D2B50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E51914-88A8-4F38-9B33-43E8E633054D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6C-4489-AE4E-ABAE6D2B50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B6ED59-3144-4463-9F86-5F6750AF4CF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6C-4489-AE4E-ABAE6D2B50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0438F6-2F13-4C43-97F9-E9C867B691B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6C-4489-AE4E-ABAE6D2B50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C12240-7361-4708-8D4B-8381963A743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6C-4489-AE4E-ABAE6D2B50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2A00D5-74A7-4128-9C0D-D3FB357D23E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6C-4489-AE4E-ABAE6D2B50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F32892-C00B-4979-A025-86E4FE95769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6C-4489-AE4E-ABAE6D2B50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291EFD3-E4AC-4EF4-93EE-45949DF5A3E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6C-4489-AE4E-ABAE6D2B50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7CBE7B-F3F3-4EC3-9CA4-0EDB3C0D008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6C-4489-AE4E-ABAE6D2B50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D6216F-19F1-42C1-821A-BFA0F02E057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6C-4489-AE4E-ABAE6D2B50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5E3D02-5D16-4A00-A5EA-CFFDC61CFFE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6C-4489-AE4E-ABAE6D2B50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7541ED-2670-4B49-8A41-B8B9C4A3DED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6C-4489-AE4E-ABAE6D2B50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E10F21-5CA6-4B8E-B56F-1D7DF2379FD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6C-4489-AE4E-ABAE6D2B50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B4C0E74-1750-44E5-A3B9-892A7923544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6C-4489-AE4E-ABAE6D2B50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CA1866-2376-4EDC-80D3-A5DAD995652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6C-4489-AE4E-ABAE6D2B50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48736A-5E2F-456A-8A43-9B237CD00983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6C-4489-AE4E-ABAE6D2B50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70FE1F-196D-4B45-83FD-B526528963F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6C-4489-AE4E-ABAE6D2B50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E89079-83DF-4CAB-A7C8-F387722DF99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6C-4489-AE4E-ABAE6D2B50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A99ECD-F4FF-4477-B319-A30635EF761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6C-4489-AE4E-ABAE6D2B50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C735CC-AB7A-47A5-BEDD-644758E8E00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6C-4489-AE4E-ABAE6D2B50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560220-E931-4AB1-9CCC-8F7D091D8AD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6C-4489-AE4E-ABAE6D2B50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3E6322-9C7B-4AA2-87A2-E1787677934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6C-4489-AE4E-ABAE6D2B50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80A3EA-5437-4225-967D-223B28649E3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6C-4489-AE4E-ABAE6D2B50DB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rgbClr val="808080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BFBFBF"/>
                      </a:solidFill>
                    </a:ln>
                  </c:spPr>
                </c15:leaderLines>
              </c:ext>
            </c:extLst>
          </c:dLbls>
          <c:xVal>
            <c:numRef>
              <c:f>WorkSchedule!$J$12:$J$56</c:f>
              <c:numCache>
                <c:formatCode>m/d/yyyy</c:formatCode>
                <c:ptCount val="45"/>
                <c:pt idx="0">
                  <c:v>46007</c:v>
                </c:pt>
                <c:pt idx="1">
                  <c:v>46007</c:v>
                </c:pt>
                <c:pt idx="2">
                  <c:v>45672</c:v>
                </c:pt>
                <c:pt idx="3">
                  <c:v>45702</c:v>
                </c:pt>
                <c:pt idx="4">
                  <c:v>45729</c:v>
                </c:pt>
                <c:pt idx="5">
                  <c:v>45764</c:v>
                </c:pt>
                <c:pt idx="6">
                  <c:v>45793</c:v>
                </c:pt>
                <c:pt idx="7">
                  <c:v>45821</c:v>
                </c:pt>
                <c:pt idx="8">
                  <c:v>45854</c:v>
                </c:pt>
                <c:pt idx="9">
                  <c:v>45885</c:v>
                </c:pt>
                <c:pt idx="10">
                  <c:v>45913</c:v>
                </c:pt>
                <c:pt idx="11">
                  <c:v>45946</c:v>
                </c:pt>
                <c:pt idx="12">
                  <c:v>45974</c:v>
                </c:pt>
                <c:pt idx="13">
                  <c:v>46007</c:v>
                </c:pt>
                <c:pt idx="14">
                  <c:v>45826</c:v>
                </c:pt>
                <c:pt idx="15">
                  <c:v>45693</c:v>
                </c:pt>
                <c:pt idx="16">
                  <c:v>45736</c:v>
                </c:pt>
                <c:pt idx="17">
                  <c:v>45794</c:v>
                </c:pt>
                <c:pt idx="18">
                  <c:v>45826</c:v>
                </c:pt>
                <c:pt idx="19">
                  <c:v>45777</c:v>
                </c:pt>
                <c:pt idx="20">
                  <c:v>45735</c:v>
                </c:pt>
                <c:pt idx="21">
                  <c:v>45777</c:v>
                </c:pt>
                <c:pt idx="22">
                  <c:v>45836</c:v>
                </c:pt>
                <c:pt idx="23">
                  <c:v>45693</c:v>
                </c:pt>
                <c:pt idx="24">
                  <c:v>45758</c:v>
                </c:pt>
                <c:pt idx="25">
                  <c:v>45801</c:v>
                </c:pt>
                <c:pt idx="26">
                  <c:v>45836</c:v>
                </c:pt>
                <c:pt idx="27">
                  <c:v>45854</c:v>
                </c:pt>
                <c:pt idx="28">
                  <c:v>45735</c:v>
                </c:pt>
                <c:pt idx="29">
                  <c:v>45819</c:v>
                </c:pt>
                <c:pt idx="30">
                  <c:v>45836</c:v>
                </c:pt>
                <c:pt idx="31">
                  <c:v>45825</c:v>
                </c:pt>
                <c:pt idx="32">
                  <c:v>45854</c:v>
                </c:pt>
                <c:pt idx="33">
                  <c:v>45934</c:v>
                </c:pt>
                <c:pt idx="34">
                  <c:v>45693</c:v>
                </c:pt>
                <c:pt idx="35">
                  <c:v>45738</c:v>
                </c:pt>
                <c:pt idx="36">
                  <c:v>45799</c:v>
                </c:pt>
                <c:pt idx="37">
                  <c:v>45856</c:v>
                </c:pt>
                <c:pt idx="38">
                  <c:v>45934</c:v>
                </c:pt>
                <c:pt idx="39">
                  <c:v>45829</c:v>
                </c:pt>
                <c:pt idx="40">
                  <c:v>45731</c:v>
                </c:pt>
                <c:pt idx="41">
                  <c:v>45801</c:v>
                </c:pt>
                <c:pt idx="42">
                  <c:v>45819</c:v>
                </c:pt>
                <c:pt idx="43">
                  <c:v>45822</c:v>
                </c:pt>
                <c:pt idx="44">
                  <c:v>45829</c:v>
                </c:pt>
              </c:numCache>
            </c:numRef>
          </c:xVal>
          <c:yVal>
            <c:numRef>
              <c:f>WorkSchedule!$S$12:$S$56</c:f>
              <c:numCache>
                <c:formatCode>_-* #,##0.0_-;\-* #,##0.0_-;_-* "-"??_-;_-@_-</c:formatCode>
                <c:ptCount val="4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  <c:pt idx="25">
                  <c:v>25.5</c:v>
                </c:pt>
                <c:pt idx="26">
                  <c:v>26.5</c:v>
                </c:pt>
                <c:pt idx="27">
                  <c:v>27.5</c:v>
                </c:pt>
                <c:pt idx="28">
                  <c:v>28.5</c:v>
                </c:pt>
                <c:pt idx="29">
                  <c:v>29.5</c:v>
                </c:pt>
                <c:pt idx="30">
                  <c:v>30.5</c:v>
                </c:pt>
                <c:pt idx="31">
                  <c:v>31.5</c:v>
                </c:pt>
                <c:pt idx="32">
                  <c:v>32.5</c:v>
                </c:pt>
                <c:pt idx="33">
                  <c:v>33.5</c:v>
                </c:pt>
                <c:pt idx="34">
                  <c:v>34.5</c:v>
                </c:pt>
                <c:pt idx="35">
                  <c:v>35.5</c:v>
                </c:pt>
                <c:pt idx="36">
                  <c:v>36.5</c:v>
                </c:pt>
                <c:pt idx="37">
                  <c:v>37.5</c:v>
                </c:pt>
                <c:pt idx="38">
                  <c:v>38.5</c:v>
                </c:pt>
                <c:pt idx="39">
                  <c:v>39.5</c:v>
                </c:pt>
                <c:pt idx="40">
                  <c:v>40.5</c:v>
                </c:pt>
                <c:pt idx="41">
                  <c:v>41.5</c:v>
                </c:pt>
                <c:pt idx="42">
                  <c:v>42.5</c:v>
                </c:pt>
                <c:pt idx="43">
                  <c:v>43.5</c:v>
                </c:pt>
                <c:pt idx="44">
                  <c:v>44.5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WorkSchedule!$R$12:$R$56</c15:f>
                <c15:dlblRangeCache>
                  <c:ptCount val="45"/>
                  <c:pt idx="0">
                    <c:v>55% (55%)</c:v>
                  </c:pt>
                  <c:pt idx="1">
                    <c:v>42% (42%)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100%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80% (80%)</c:v>
                  </c:pt>
                  <c:pt idx="15">
                    <c:v>100%</c:v>
                  </c:pt>
                  <c:pt idx="16">
                    <c:v>100%</c:v>
                  </c:pt>
                  <c:pt idx="17">
                    <c:v>100%</c:v>
                  </c:pt>
                  <c:pt idx="18">
                    <c:v>0%</c:v>
                  </c:pt>
                  <c:pt idx="19">
                    <c:v>100%</c:v>
                  </c:pt>
                  <c:pt idx="20">
                    <c:v>100%</c:v>
                  </c:pt>
                  <c:pt idx="21">
                    <c:v>100%</c:v>
                  </c:pt>
                  <c:pt idx="22">
                    <c:v>85% (85%)</c:v>
                  </c:pt>
                  <c:pt idx="23">
                    <c:v>100%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0%</c:v>
                  </c:pt>
                  <c:pt idx="27">
                    <c:v>33% (33%)</c:v>
                  </c:pt>
                  <c:pt idx="28">
                    <c:v>100%</c:v>
                  </c:pt>
                  <c:pt idx="29">
                    <c:v>60% (60%)</c:v>
                  </c:pt>
                  <c:pt idx="30">
                    <c:v>0%</c:v>
                  </c:pt>
                  <c:pt idx="31">
                    <c:v>0%</c:v>
                  </c:pt>
                  <c:pt idx="32">
                    <c:v>0%</c:v>
                  </c:pt>
                  <c:pt idx="33">
                    <c:v>45% (45%)</c:v>
                  </c:pt>
                  <c:pt idx="34">
                    <c:v>100%</c:v>
                  </c:pt>
                  <c:pt idx="35">
                    <c:v>100%</c:v>
                  </c:pt>
                  <c:pt idx="36">
                    <c:v>100%</c:v>
                  </c:pt>
                  <c:pt idx="37">
                    <c:v>0%</c:v>
                  </c:pt>
                  <c:pt idx="38">
                    <c:v>0%</c:v>
                  </c:pt>
                  <c:pt idx="39">
                    <c:v>60% (60%)</c:v>
                  </c:pt>
                  <c:pt idx="40">
                    <c:v>100%</c:v>
                  </c:pt>
                  <c:pt idx="41">
                    <c:v>100%</c:v>
                  </c:pt>
                  <c:pt idx="42">
                    <c:v>0%</c:v>
                  </c:pt>
                  <c:pt idx="43">
                    <c:v>0%</c:v>
                  </c:pt>
                  <c:pt idx="44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4-4A6C-4489-AE4E-ABAE6D2B5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666799"/>
        <c:axId val="1795672079"/>
      </c:scatterChart>
      <c:catAx>
        <c:axId val="179568359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1795680719"/>
        <c:crosses val="autoZero"/>
        <c:auto val="1"/>
        <c:lblAlgn val="ctr"/>
        <c:lblOffset val="100"/>
        <c:noMultiLvlLbl val="0"/>
      </c:catAx>
      <c:valAx>
        <c:axId val="1795680719"/>
        <c:scaling>
          <c:orientation val="minMax"/>
          <c:max val="46054"/>
          <c:min val="4559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1795683599"/>
        <c:crosses val="autoZero"/>
        <c:crossBetween val="between"/>
        <c:majorUnit val="61"/>
        <c:minorUnit val="30.5"/>
      </c:valAx>
      <c:valAx>
        <c:axId val="1795672079"/>
        <c:scaling>
          <c:orientation val="maxMin"/>
          <c:max val="45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795666799"/>
        <c:crosses val="max"/>
        <c:crossBetween val="midCat"/>
      </c:valAx>
      <c:valAx>
        <c:axId val="179566679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795672079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0"/>
        <c:delete val="1"/>
      </c:legendEntry>
      <c:legendEntry>
        <c:idx val="6"/>
        <c:delete val="1"/>
      </c:legendEntry>
      <c:legendEntry>
        <c:idx val="7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165100</xdr:rowOff>
        </xdr:from>
        <xdr:to>
          <xdr:col>3</xdr:col>
          <xdr:colOff>1536700</xdr:colOff>
          <xdr:row>3</xdr:row>
          <xdr:rowOff>146050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2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Create Gantt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</xdr:row>
          <xdr:rowOff>19050</xdr:rowOff>
        </xdr:from>
        <xdr:to>
          <xdr:col>3</xdr:col>
          <xdr:colOff>1536700</xdr:colOff>
          <xdr:row>5</xdr:row>
          <xdr:rowOff>190500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2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h-TH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</a:rPr>
                <a:t>Rescale Axis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215900</xdr:colOff>
      <xdr:row>8</xdr:row>
      <xdr:rowOff>3175</xdr:rowOff>
    </xdr:from>
    <xdr:to>
      <xdr:col>42</xdr:col>
      <xdr:colOff>238125</xdr:colOff>
      <xdr:row>56</xdr:row>
      <xdr:rowOff>104775</xdr:rowOff>
    </xdr:to>
    <xdr:graphicFrame macro="">
      <xdr:nvGraphicFramePr>
        <xdr:cNvPr id="27" name="GanttChart">
          <a:extLst>
            <a:ext uri="{FF2B5EF4-FFF2-40B4-BE49-F238E27FC236}">
              <a16:creationId xmlns:a16="http://schemas.microsoft.com/office/drawing/2014/main" id="{48FDEB70-16D9-CDFB-BB77-6C212ACA7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1192-5917-4004-9676-2112587F148C}">
  <sheetPr codeName="Sheet2"/>
  <dimension ref="A1:B106"/>
  <sheetViews>
    <sheetView showGridLines="0" topLeftCell="A26" zoomScaleNormal="100" workbookViewId="0">
      <selection activeCell="N71" sqref="N71"/>
    </sheetView>
  </sheetViews>
  <sheetFormatPr defaultColWidth="8" defaultRowHeight="13" x14ac:dyDescent="0.3"/>
  <cols>
    <col min="1" max="1" width="42.9140625" style="1" bestFit="1" customWidth="1"/>
    <col min="2" max="2" width="9.08203125" style="1" bestFit="1" customWidth="1"/>
    <col min="3" max="16384" width="8" style="1"/>
  </cols>
  <sheetData>
    <row r="1" spans="1:2" ht="20.25" customHeight="1" x14ac:dyDescent="0.3">
      <c r="A1" s="108" t="s">
        <v>0</v>
      </c>
      <c r="B1" s="108" t="s">
        <v>1</v>
      </c>
    </row>
    <row r="2" spans="1:2" ht="15" customHeight="1" x14ac:dyDescent="0.3">
      <c r="A2" s="109" t="s">
        <v>2</v>
      </c>
      <c r="B2" s="110">
        <v>44564</v>
      </c>
    </row>
    <row r="3" spans="1:2" ht="15" customHeight="1" x14ac:dyDescent="0.3">
      <c r="A3" s="109" t="s">
        <v>3</v>
      </c>
      <c r="B3" s="111">
        <v>44608</v>
      </c>
    </row>
    <row r="4" spans="1:2" ht="15" customHeight="1" x14ac:dyDescent="0.3">
      <c r="A4" s="109" t="s">
        <v>4</v>
      </c>
      <c r="B4" s="110">
        <v>44657</v>
      </c>
    </row>
    <row r="5" spans="1:2" ht="15" customHeight="1" x14ac:dyDescent="0.3">
      <c r="A5" s="109" t="s">
        <v>5</v>
      </c>
      <c r="B5" s="111">
        <v>44664</v>
      </c>
    </row>
    <row r="6" spans="1:2" ht="15" customHeight="1" x14ac:dyDescent="0.3">
      <c r="A6" s="109" t="s">
        <v>5</v>
      </c>
      <c r="B6" s="110">
        <v>44665</v>
      </c>
    </row>
    <row r="7" spans="1:2" ht="15" customHeight="1" x14ac:dyDescent="0.3">
      <c r="A7" s="112" t="s">
        <v>5</v>
      </c>
      <c r="B7" s="111">
        <v>44666</v>
      </c>
    </row>
    <row r="8" spans="1:2" ht="15" customHeight="1" x14ac:dyDescent="0.3">
      <c r="A8" s="113" t="s">
        <v>6</v>
      </c>
      <c r="B8" s="110">
        <v>44683</v>
      </c>
    </row>
    <row r="9" spans="1:2" ht="15" customHeight="1" x14ac:dyDescent="0.3">
      <c r="A9" s="109" t="s">
        <v>7</v>
      </c>
      <c r="B9" s="111">
        <v>44685</v>
      </c>
    </row>
    <row r="10" spans="1:2" ht="15" customHeight="1" x14ac:dyDescent="0.3">
      <c r="A10" s="109" t="s">
        <v>8</v>
      </c>
      <c r="B10" s="110">
        <v>44697</v>
      </c>
    </row>
    <row r="11" spans="1:2" ht="15" customHeight="1" x14ac:dyDescent="0.3">
      <c r="A11" s="109" t="s">
        <v>9</v>
      </c>
      <c r="B11" s="111">
        <v>44715</v>
      </c>
    </row>
    <row r="12" spans="1:2" ht="15" customHeight="1" x14ac:dyDescent="0.3">
      <c r="A12" s="109" t="s">
        <v>10</v>
      </c>
      <c r="B12" s="110">
        <v>44755</v>
      </c>
    </row>
    <row r="13" spans="1:2" ht="15" customHeight="1" x14ac:dyDescent="0.3">
      <c r="A13" s="109" t="s">
        <v>11</v>
      </c>
      <c r="B13" s="111">
        <v>44770</v>
      </c>
    </row>
    <row r="14" spans="1:2" ht="15" customHeight="1" x14ac:dyDescent="0.3">
      <c r="A14" s="109" t="s">
        <v>12</v>
      </c>
      <c r="B14" s="110">
        <v>44771</v>
      </c>
    </row>
    <row r="15" spans="1:2" ht="15" customHeight="1" x14ac:dyDescent="0.3">
      <c r="A15" s="109" t="s">
        <v>13</v>
      </c>
      <c r="B15" s="111">
        <v>44785</v>
      </c>
    </row>
    <row r="16" spans="1:2" ht="15" customHeight="1" x14ac:dyDescent="0.3">
      <c r="A16" s="109" t="s">
        <v>14</v>
      </c>
      <c r="B16" s="110">
        <v>44841</v>
      </c>
    </row>
    <row r="17" spans="1:2" ht="15" customHeight="1" x14ac:dyDescent="0.3">
      <c r="A17" s="109" t="s">
        <v>15</v>
      </c>
      <c r="B17" s="110">
        <v>44847</v>
      </c>
    </row>
    <row r="18" spans="1:2" ht="15" customHeight="1" x14ac:dyDescent="0.3">
      <c r="A18" s="109" t="s">
        <v>16</v>
      </c>
      <c r="B18" s="111">
        <v>44848</v>
      </c>
    </row>
    <row r="19" spans="1:2" ht="15" customHeight="1" x14ac:dyDescent="0.3">
      <c r="A19" s="109" t="s">
        <v>17</v>
      </c>
      <c r="B19" s="110">
        <v>44858</v>
      </c>
    </row>
    <row r="20" spans="1:2" ht="15" customHeight="1" x14ac:dyDescent="0.3">
      <c r="A20" s="109" t="s">
        <v>18</v>
      </c>
      <c r="B20" s="111">
        <v>44900</v>
      </c>
    </row>
    <row r="21" spans="1:2" ht="15" customHeight="1" x14ac:dyDescent="0.3">
      <c r="A21" s="109" t="s">
        <v>19</v>
      </c>
      <c r="B21" s="110">
        <v>44907</v>
      </c>
    </row>
    <row r="22" spans="1:2" ht="15" customHeight="1" x14ac:dyDescent="0.3">
      <c r="A22" s="109" t="s">
        <v>20</v>
      </c>
      <c r="B22" s="111">
        <v>44928</v>
      </c>
    </row>
    <row r="23" spans="1:2" ht="15" customHeight="1" x14ac:dyDescent="0.3">
      <c r="A23" s="109" t="s">
        <v>21</v>
      </c>
      <c r="B23" s="111">
        <v>44991</v>
      </c>
    </row>
    <row r="24" spans="1:2" ht="15" customHeight="1" x14ac:dyDescent="0.3">
      <c r="A24" s="109" t="s">
        <v>4</v>
      </c>
      <c r="B24" s="111">
        <v>45022</v>
      </c>
    </row>
    <row r="25" spans="1:2" ht="15" customHeight="1" x14ac:dyDescent="0.3">
      <c r="A25" s="109" t="s">
        <v>5</v>
      </c>
      <c r="B25" s="111">
        <v>45029</v>
      </c>
    </row>
    <row r="26" spans="1:2" ht="15" customHeight="1" x14ac:dyDescent="0.3">
      <c r="A26" s="109" t="s">
        <v>5</v>
      </c>
      <c r="B26" s="111">
        <v>45030</v>
      </c>
    </row>
    <row r="27" spans="1:2" ht="15" customHeight="1" x14ac:dyDescent="0.3">
      <c r="A27" s="109" t="s">
        <v>22</v>
      </c>
      <c r="B27" s="111">
        <v>45047</v>
      </c>
    </row>
    <row r="28" spans="1:2" ht="15" customHeight="1" x14ac:dyDescent="0.3">
      <c r="A28" s="109" t="s">
        <v>23</v>
      </c>
      <c r="B28" s="111">
        <v>45050</v>
      </c>
    </row>
    <row r="29" spans="1:2" ht="15" customHeight="1" x14ac:dyDescent="0.3">
      <c r="A29" s="109" t="s">
        <v>24</v>
      </c>
      <c r="B29" s="111">
        <v>45082</v>
      </c>
    </row>
    <row r="30" spans="1:2" ht="15" customHeight="1" x14ac:dyDescent="0.3">
      <c r="A30" s="109" t="s">
        <v>11</v>
      </c>
      <c r="B30" s="111">
        <v>45135</v>
      </c>
    </row>
    <row r="31" spans="1:2" ht="15" customHeight="1" x14ac:dyDescent="0.3">
      <c r="A31" s="109" t="s">
        <v>25</v>
      </c>
      <c r="B31" s="111">
        <v>45139</v>
      </c>
    </row>
    <row r="32" spans="1:2" ht="15" customHeight="1" x14ac:dyDescent="0.3">
      <c r="A32" s="109" t="s">
        <v>26</v>
      </c>
      <c r="B32" s="111">
        <v>45152</v>
      </c>
    </row>
    <row r="33" spans="1:2" ht="15" customHeight="1" x14ac:dyDescent="0.3">
      <c r="A33" s="109" t="s">
        <v>15</v>
      </c>
      <c r="B33" s="110">
        <v>45212</v>
      </c>
    </row>
    <row r="34" spans="1:2" ht="15" customHeight="1" x14ac:dyDescent="0.3">
      <c r="A34" s="109" t="s">
        <v>27</v>
      </c>
      <c r="B34" s="111">
        <v>45222</v>
      </c>
    </row>
    <row r="35" spans="1:2" ht="15" customHeight="1" x14ac:dyDescent="0.3">
      <c r="A35" s="109" t="s">
        <v>18</v>
      </c>
      <c r="B35" s="111">
        <v>45265</v>
      </c>
    </row>
    <row r="36" spans="1:2" ht="15" customHeight="1" x14ac:dyDescent="0.3">
      <c r="A36" s="109" t="s">
        <v>19</v>
      </c>
      <c r="B36" s="111">
        <v>45271</v>
      </c>
    </row>
    <row r="37" spans="1:2" ht="15" customHeight="1" x14ac:dyDescent="0.3">
      <c r="A37" s="109" t="s">
        <v>20</v>
      </c>
      <c r="B37" s="111">
        <v>45289</v>
      </c>
    </row>
    <row r="38" spans="1:2" ht="15" customHeight="1" x14ac:dyDescent="0.3">
      <c r="A38" s="109" t="s">
        <v>20</v>
      </c>
      <c r="B38" s="111">
        <v>45292</v>
      </c>
    </row>
    <row r="39" spans="1:2" ht="15" customHeight="1" x14ac:dyDescent="0.3">
      <c r="A39" s="109" t="s">
        <v>21</v>
      </c>
      <c r="B39" s="111">
        <v>45348</v>
      </c>
    </row>
    <row r="40" spans="1:2" ht="15" customHeight="1" x14ac:dyDescent="0.3">
      <c r="A40" s="109" t="s">
        <v>4</v>
      </c>
      <c r="B40" s="111">
        <v>45390</v>
      </c>
    </row>
    <row r="41" spans="1:2" ht="15" customHeight="1" x14ac:dyDescent="0.3">
      <c r="A41" s="109" t="s">
        <v>5</v>
      </c>
      <c r="B41" s="111">
        <v>45394</v>
      </c>
    </row>
    <row r="42" spans="1:2" ht="15" customHeight="1" x14ac:dyDescent="0.3">
      <c r="A42" s="109" t="s">
        <v>5</v>
      </c>
      <c r="B42" s="111">
        <v>45397</v>
      </c>
    </row>
    <row r="43" spans="1:2" ht="15" customHeight="1" x14ac:dyDescent="0.3">
      <c r="A43" s="109" t="s">
        <v>22</v>
      </c>
      <c r="B43" s="111">
        <v>45413</v>
      </c>
    </row>
    <row r="44" spans="1:2" ht="15" customHeight="1" x14ac:dyDescent="0.3">
      <c r="A44" s="109" t="s">
        <v>23</v>
      </c>
      <c r="B44" s="111">
        <v>45418</v>
      </c>
    </row>
    <row r="45" spans="1:2" ht="15" customHeight="1" x14ac:dyDescent="0.3">
      <c r="A45" s="109" t="s">
        <v>24</v>
      </c>
      <c r="B45" s="111">
        <v>45434</v>
      </c>
    </row>
    <row r="46" spans="1:2" ht="15" customHeight="1" x14ac:dyDescent="0.3">
      <c r="A46" s="109" t="s">
        <v>9</v>
      </c>
      <c r="B46" s="111">
        <v>45446</v>
      </c>
    </row>
    <row r="47" spans="1:2" ht="15" customHeight="1" x14ac:dyDescent="0.3">
      <c r="A47" s="109" t="s">
        <v>25</v>
      </c>
      <c r="B47" s="111">
        <v>45495</v>
      </c>
    </row>
    <row r="48" spans="1:2" ht="15" customHeight="1" x14ac:dyDescent="0.3">
      <c r="A48" s="109" t="s">
        <v>11</v>
      </c>
      <c r="B48" s="111">
        <v>45502</v>
      </c>
    </row>
    <row r="49" spans="1:2" ht="15" customHeight="1" x14ac:dyDescent="0.3">
      <c r="A49" s="109" t="s">
        <v>26</v>
      </c>
      <c r="B49" s="111">
        <v>45516</v>
      </c>
    </row>
    <row r="50" spans="1:2" ht="15" customHeight="1" x14ac:dyDescent="0.3">
      <c r="A50" s="109" t="s">
        <v>15</v>
      </c>
      <c r="B50" s="111">
        <v>45579</v>
      </c>
    </row>
    <row r="51" spans="1:2" ht="15" customHeight="1" x14ac:dyDescent="0.3">
      <c r="A51" s="109" t="s">
        <v>27</v>
      </c>
      <c r="B51" s="111">
        <v>45588</v>
      </c>
    </row>
    <row r="52" spans="1:2" ht="15" customHeight="1" x14ac:dyDescent="0.3">
      <c r="A52" s="109" t="s">
        <v>28</v>
      </c>
      <c r="B52" s="111">
        <v>45590</v>
      </c>
    </row>
    <row r="53" spans="1:2" ht="15" customHeight="1" x14ac:dyDescent="0.3">
      <c r="A53" s="109" t="s">
        <v>18</v>
      </c>
      <c r="B53" s="111">
        <v>45631</v>
      </c>
    </row>
    <row r="54" spans="1:2" ht="15" customHeight="1" x14ac:dyDescent="0.3">
      <c r="A54" s="109" t="s">
        <v>19</v>
      </c>
      <c r="B54" s="111">
        <v>45636</v>
      </c>
    </row>
    <row r="55" spans="1:2" ht="15" customHeight="1" x14ac:dyDescent="0.3">
      <c r="A55" s="109" t="s">
        <v>20</v>
      </c>
      <c r="B55" s="111">
        <v>45657</v>
      </c>
    </row>
    <row r="56" spans="1:2" ht="15" customHeight="1" x14ac:dyDescent="0.3">
      <c r="A56" s="109" t="s">
        <v>29</v>
      </c>
      <c r="B56" s="111">
        <v>45658</v>
      </c>
    </row>
    <row r="57" spans="1:2" ht="15" customHeight="1" x14ac:dyDescent="0.3">
      <c r="A57" s="109" t="s">
        <v>21</v>
      </c>
      <c r="B57" s="111">
        <v>45700</v>
      </c>
    </row>
    <row r="58" spans="1:2" ht="15" customHeight="1" x14ac:dyDescent="0.3">
      <c r="A58" s="109" t="s">
        <v>30</v>
      </c>
      <c r="B58" s="111">
        <v>45754</v>
      </c>
    </row>
    <row r="59" spans="1:2" ht="15" customHeight="1" x14ac:dyDescent="0.3">
      <c r="A59" s="109" t="s">
        <v>5</v>
      </c>
      <c r="B59" s="111">
        <v>45761</v>
      </c>
    </row>
    <row r="60" spans="1:2" ht="15" customHeight="1" x14ac:dyDescent="0.3">
      <c r="A60" s="109" t="s">
        <v>5</v>
      </c>
      <c r="B60" s="111">
        <v>45762</v>
      </c>
    </row>
    <row r="61" spans="1:2" ht="15" customHeight="1" x14ac:dyDescent="0.3">
      <c r="A61" s="109" t="s">
        <v>22</v>
      </c>
      <c r="B61" s="111">
        <v>45778</v>
      </c>
    </row>
    <row r="62" spans="1:2" ht="15" customHeight="1" x14ac:dyDescent="0.3">
      <c r="A62" s="109" t="s">
        <v>31</v>
      </c>
      <c r="B62" s="111">
        <v>45782</v>
      </c>
    </row>
    <row r="63" spans="1:2" ht="15" customHeight="1" x14ac:dyDescent="0.3">
      <c r="A63" s="109" t="s">
        <v>32</v>
      </c>
      <c r="B63" s="111">
        <v>45789</v>
      </c>
    </row>
    <row r="64" spans="1:2" ht="15" customHeight="1" x14ac:dyDescent="0.3">
      <c r="A64" s="109" t="s">
        <v>33</v>
      </c>
      <c r="B64" s="111">
        <v>45810</v>
      </c>
    </row>
    <row r="65" spans="1:2" ht="15" customHeight="1" x14ac:dyDescent="0.3">
      <c r="A65" s="109" t="s">
        <v>9</v>
      </c>
      <c r="B65" s="111">
        <v>45811</v>
      </c>
    </row>
    <row r="66" spans="1:2" ht="15" customHeight="1" x14ac:dyDescent="0.3">
      <c r="A66" s="109" t="s">
        <v>25</v>
      </c>
      <c r="B66" s="111">
        <v>45848</v>
      </c>
    </row>
    <row r="67" spans="1:2" ht="15" customHeight="1" x14ac:dyDescent="0.3">
      <c r="A67" s="109" t="s">
        <v>11</v>
      </c>
      <c r="B67" s="111">
        <v>45866</v>
      </c>
    </row>
    <row r="68" spans="1:2" ht="15" customHeight="1" x14ac:dyDescent="0.3">
      <c r="A68" s="109" t="s">
        <v>33</v>
      </c>
      <c r="B68" s="111">
        <v>45880</v>
      </c>
    </row>
    <row r="69" spans="1:2" ht="15" customHeight="1" x14ac:dyDescent="0.3">
      <c r="A69" s="109" t="s">
        <v>26</v>
      </c>
      <c r="B69" s="111">
        <v>45881</v>
      </c>
    </row>
    <row r="70" spans="1:2" ht="15" customHeight="1" x14ac:dyDescent="0.3">
      <c r="A70" s="109" t="s">
        <v>15</v>
      </c>
      <c r="B70" s="111">
        <v>45943</v>
      </c>
    </row>
    <row r="71" spans="1:2" ht="15" customHeight="1" x14ac:dyDescent="0.3">
      <c r="A71" s="109" t="s">
        <v>27</v>
      </c>
      <c r="B71" s="111">
        <v>45953</v>
      </c>
    </row>
    <row r="72" spans="1:2" ht="15" customHeight="1" x14ac:dyDescent="0.3">
      <c r="A72" s="109" t="s">
        <v>18</v>
      </c>
      <c r="B72" s="111">
        <v>45996</v>
      </c>
    </row>
    <row r="73" spans="1:2" ht="15" customHeight="1" x14ac:dyDescent="0.3">
      <c r="A73" s="109" t="s">
        <v>34</v>
      </c>
      <c r="B73" s="111">
        <v>46001</v>
      </c>
    </row>
    <row r="74" spans="1:2" ht="15" customHeight="1" x14ac:dyDescent="0.3">
      <c r="A74" s="109" t="s">
        <v>35</v>
      </c>
      <c r="B74" s="111">
        <v>46022</v>
      </c>
    </row>
    <row r="75" spans="1:2" ht="15" customHeight="1" x14ac:dyDescent="0.3"/>
    <row r="76" spans="1:2" ht="15" customHeight="1" x14ac:dyDescent="0.3"/>
    <row r="77" spans="1:2" ht="15" customHeight="1" x14ac:dyDescent="0.3"/>
    <row r="78" spans="1:2" ht="15" customHeight="1" x14ac:dyDescent="0.3"/>
    <row r="79" spans="1:2" ht="15" customHeight="1" x14ac:dyDescent="0.3"/>
    <row r="80" spans="1:2" ht="15" customHeight="1" x14ac:dyDescent="0.3"/>
    <row r="81" s="1" customFormat="1" ht="15" customHeight="1" x14ac:dyDescent="0.3"/>
    <row r="82" s="1" customFormat="1" ht="15" customHeight="1" x14ac:dyDescent="0.3"/>
    <row r="83" s="1" customFormat="1" ht="15" customHeight="1" x14ac:dyDescent="0.3"/>
    <row r="84" s="1" customFormat="1" ht="15" customHeight="1" x14ac:dyDescent="0.3"/>
    <row r="85" s="1" customFormat="1" ht="15" customHeight="1" x14ac:dyDescent="0.3"/>
    <row r="86" s="1" customFormat="1" ht="15" customHeight="1" x14ac:dyDescent="0.3"/>
    <row r="87" s="1" customFormat="1" ht="15" customHeight="1" x14ac:dyDescent="0.3"/>
    <row r="88" s="1" customFormat="1" ht="15" customHeight="1" x14ac:dyDescent="0.3"/>
    <row r="89" s="1" customFormat="1" ht="15" customHeight="1" x14ac:dyDescent="0.3"/>
    <row r="90" s="1" customFormat="1" ht="15" customHeight="1" x14ac:dyDescent="0.3"/>
    <row r="91" s="1" customFormat="1" ht="15" customHeight="1" x14ac:dyDescent="0.3"/>
    <row r="92" s="1" customFormat="1" ht="15" customHeight="1" x14ac:dyDescent="0.3"/>
    <row r="93" s="1" customFormat="1" ht="15" customHeight="1" x14ac:dyDescent="0.3"/>
    <row r="94" s="1" customFormat="1" ht="15" customHeight="1" x14ac:dyDescent="0.3"/>
    <row r="95" s="1" customFormat="1" ht="15" customHeight="1" x14ac:dyDescent="0.3"/>
    <row r="96" s="1" customFormat="1" ht="15" customHeight="1" x14ac:dyDescent="0.3"/>
    <row r="97" s="1" customFormat="1" ht="15" customHeight="1" x14ac:dyDescent="0.3"/>
    <row r="98" s="1" customFormat="1" ht="15" customHeight="1" x14ac:dyDescent="0.3"/>
    <row r="99" s="1" customFormat="1" ht="15" customHeight="1" x14ac:dyDescent="0.3"/>
    <row r="100" s="1" customFormat="1" ht="15" customHeight="1" x14ac:dyDescent="0.3"/>
    <row r="101" s="1" customFormat="1" ht="15" customHeight="1" x14ac:dyDescent="0.3"/>
    <row r="102" s="1" customFormat="1" ht="15" customHeight="1" x14ac:dyDescent="0.3"/>
    <row r="103" s="1" customFormat="1" ht="15" customHeight="1" x14ac:dyDescent="0.3"/>
    <row r="104" s="1" customFormat="1" ht="15" customHeight="1" x14ac:dyDescent="0.3"/>
    <row r="105" s="1" customFormat="1" ht="15" customHeight="1" x14ac:dyDescent="0.3"/>
    <row r="106" s="1" customFormat="1" ht="15" customHeight="1" x14ac:dyDescent="0.3"/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A38B3-437B-465F-B637-FE617FAF8806}">
  <sheetPr codeName="Sheet7"/>
  <dimension ref="B2:AD57"/>
  <sheetViews>
    <sheetView showGridLines="0" tabSelected="1" zoomScaleNormal="100" workbookViewId="0">
      <selection activeCell="J4" sqref="J4"/>
    </sheetView>
  </sheetViews>
  <sheetFormatPr defaultColWidth="8" defaultRowHeight="13" outlineLevelRow="1" outlineLevelCol="1" x14ac:dyDescent="0.3"/>
  <cols>
    <col min="1" max="1" width="3.58203125" style="1" customWidth="1"/>
    <col min="2" max="2" width="6.58203125" style="1" customWidth="1"/>
    <col min="3" max="3" width="30.58203125" style="1" customWidth="1"/>
    <col min="4" max="4" width="20.58203125" style="1" customWidth="1"/>
    <col min="5" max="5" width="20.58203125" style="1" hidden="1" customWidth="1" outlineLevel="1"/>
    <col min="6" max="6" width="10.58203125" style="1" hidden="1" customWidth="1" outlineLevel="1"/>
    <col min="7" max="7" width="7.58203125" style="1" customWidth="1" collapsed="1"/>
    <col min="8" max="8" width="7.58203125" style="1" customWidth="1"/>
    <col min="9" max="10" width="10.58203125" style="1" customWidth="1"/>
    <col min="11" max="19" width="7.58203125" style="1" customWidth="1"/>
    <col min="20" max="29" width="7.58203125" style="1" hidden="1" customWidth="1" outlineLevel="1"/>
    <col min="30" max="30" width="3.58203125" style="1" customWidth="1" collapsed="1"/>
    <col min="31" max="16384" width="8" style="1"/>
  </cols>
  <sheetData>
    <row r="2" spans="2:30" ht="15" customHeight="1" x14ac:dyDescent="0.3">
      <c r="B2" s="39" t="s">
        <v>111</v>
      </c>
    </row>
    <row r="3" spans="2:30" ht="15" customHeight="1" x14ac:dyDescent="0.3">
      <c r="B3" s="57" t="s">
        <v>112</v>
      </c>
      <c r="C3" s="58" t="s">
        <v>37</v>
      </c>
    </row>
    <row r="4" spans="2:30" ht="15" customHeight="1" x14ac:dyDescent="0.3">
      <c r="B4" s="61" t="s">
        <v>113</v>
      </c>
      <c r="C4" s="62" t="s">
        <v>114</v>
      </c>
    </row>
    <row r="5" spans="2:30" ht="15" customHeight="1" x14ac:dyDescent="0.3">
      <c r="B5" s="56" t="s">
        <v>115</v>
      </c>
      <c r="C5" s="59">
        <f ca="1">TODAY()</f>
        <v>45813</v>
      </c>
      <c r="AB5" s="67"/>
    </row>
    <row r="6" spans="2:30" ht="15" customHeight="1" x14ac:dyDescent="0.3">
      <c r="B6" s="56" t="s">
        <v>40</v>
      </c>
      <c r="C6" s="59">
        <f>MIN(I12:J56)</f>
        <v>45667</v>
      </c>
    </row>
    <row r="7" spans="2:30" ht="15" customHeight="1" x14ac:dyDescent="0.3">
      <c r="B7" s="56" t="s">
        <v>93</v>
      </c>
      <c r="C7" s="59">
        <f>MAX(I12:J56)</f>
        <v>46007</v>
      </c>
    </row>
    <row r="8" spans="2:30" ht="15" customHeight="1" x14ac:dyDescent="0.3">
      <c r="B8" s="60" t="s">
        <v>43</v>
      </c>
      <c r="C8" s="66" t="str">
        <f>TEXT(C7-C6,"#,##0") &amp; " days"</f>
        <v>340 days</v>
      </c>
    </row>
    <row r="9" spans="2:30" ht="15" customHeight="1" x14ac:dyDescent="0.3"/>
    <row r="10" spans="2:30" ht="15" customHeight="1" x14ac:dyDescent="0.3">
      <c r="B10" s="92" t="s">
        <v>46</v>
      </c>
      <c r="C10" s="88" t="s">
        <v>38</v>
      </c>
      <c r="D10" s="88" t="s">
        <v>59</v>
      </c>
      <c r="E10" s="88" t="s">
        <v>141</v>
      </c>
      <c r="F10" s="88" t="s">
        <v>36</v>
      </c>
      <c r="G10" s="88" t="s">
        <v>43</v>
      </c>
      <c r="H10" s="88" t="s">
        <v>132</v>
      </c>
      <c r="I10" s="90" t="s">
        <v>40</v>
      </c>
      <c r="J10" s="90" t="s">
        <v>93</v>
      </c>
      <c r="K10" s="134" t="s">
        <v>144</v>
      </c>
      <c r="L10" s="90" t="s">
        <v>41</v>
      </c>
      <c r="M10" s="88" t="s">
        <v>42</v>
      </c>
      <c r="N10" s="86" t="s">
        <v>39</v>
      </c>
      <c r="O10" s="86"/>
      <c r="P10" s="86"/>
      <c r="Q10" s="86"/>
      <c r="R10" s="87" t="s">
        <v>60</v>
      </c>
      <c r="S10" s="96"/>
      <c r="T10" s="94" t="s">
        <v>142</v>
      </c>
      <c r="U10" s="95"/>
      <c r="V10" s="95"/>
      <c r="W10" s="95"/>
      <c r="X10" s="95"/>
      <c r="Y10" s="95"/>
      <c r="Z10" s="95"/>
      <c r="AA10" s="95"/>
      <c r="AB10" s="95"/>
      <c r="AC10" s="95"/>
      <c r="AD10" s="104"/>
    </row>
    <row r="11" spans="2:30" ht="15" customHeight="1" x14ac:dyDescent="0.3">
      <c r="B11" s="93"/>
      <c r="C11" s="89"/>
      <c r="D11" s="89"/>
      <c r="E11" s="89"/>
      <c r="F11" s="89"/>
      <c r="G11" s="89"/>
      <c r="H11" s="89"/>
      <c r="I11" s="91"/>
      <c r="J11" s="91"/>
      <c r="K11" s="91"/>
      <c r="L11" s="91"/>
      <c r="M11" s="89"/>
      <c r="N11" s="63" t="s">
        <v>44</v>
      </c>
      <c r="O11" s="63" t="s">
        <v>45</v>
      </c>
      <c r="P11" s="64" t="s">
        <v>58</v>
      </c>
      <c r="Q11" s="64" t="s">
        <v>57</v>
      </c>
      <c r="R11" s="63" t="s">
        <v>62</v>
      </c>
      <c r="S11" s="84" t="s">
        <v>61</v>
      </c>
      <c r="T11" s="85" t="s">
        <v>63</v>
      </c>
      <c r="U11" s="83" t="s">
        <v>148</v>
      </c>
      <c r="V11" s="83" t="s">
        <v>149</v>
      </c>
      <c r="W11" s="83" t="s">
        <v>150</v>
      </c>
      <c r="X11" s="83" t="s">
        <v>151</v>
      </c>
      <c r="Y11" s="83" t="s">
        <v>152</v>
      </c>
      <c r="Z11" s="83" t="s">
        <v>153</v>
      </c>
      <c r="AA11" s="83" t="s">
        <v>154</v>
      </c>
      <c r="AB11" s="83" t="s">
        <v>155</v>
      </c>
      <c r="AC11" s="83" t="s">
        <v>156</v>
      </c>
      <c r="AD11" s="104"/>
    </row>
    <row r="12" spans="2:30" ht="15" customHeight="1" x14ac:dyDescent="0.3">
      <c r="B12" s="68">
        <v>1</v>
      </c>
      <c r="C12" s="69" t="s">
        <v>114</v>
      </c>
      <c r="D12" s="69" t="s">
        <v>114</v>
      </c>
      <c r="E12" s="69"/>
      <c r="F12" s="70">
        <f>I12</f>
        <v>45667</v>
      </c>
      <c r="G12" s="127">
        <f>NETWORKDAYS(I12,J12-1,holidays)</f>
        <v>225</v>
      </c>
      <c r="H12" s="71">
        <f>B12</f>
        <v>1</v>
      </c>
      <c r="I12" s="70">
        <f>MIN(I13:I56)</f>
        <v>45667</v>
      </c>
      <c r="J12" s="70">
        <f>MAX(J13:J56)</f>
        <v>46007</v>
      </c>
      <c r="K12" s="120">
        <f>J12-I12</f>
        <v>340</v>
      </c>
      <c r="L12" s="73" cm="1">
        <f t="array" aca="1" ref="L12" ca="1">WeightedProgress(L13:L56,G13:G56)</f>
        <v>0.55351332516280971</v>
      </c>
      <c r="M12" s="74" cm="1">
        <f t="array" aca="1" ref="M12" ca="1">WeightedProgress(M13:M56,G13:G56)</f>
        <v>0.55351332516280971</v>
      </c>
      <c r="N12" s="72">
        <f ca="1">IF(M12&lt;L12,K12,0)</f>
        <v>0</v>
      </c>
      <c r="O12" s="72">
        <f ca="1">IF(M12=1,K12,0)</f>
        <v>0</v>
      </c>
      <c r="P12" s="72">
        <f ca="1">IF(AND(M12&gt;=L12,M12&gt;0,M12&lt;1),K12,0)</f>
        <v>340</v>
      </c>
      <c r="Q12" s="72">
        <f ca="1">K12-SUM(N12:P12)</f>
        <v>0</v>
      </c>
      <c r="R12" s="75" t="str">
        <f ca="1">IF(G12&gt;0,IF(AND(M12&gt;0,M12&lt;1),ROUND(M12*100,0)&amp;"% ("&amp;ROUND(L12*100,0)&amp;"%)",ROUND(M12*100,0)&amp;"%"),"")</f>
        <v>55% (55%)</v>
      </c>
      <c r="S12" s="76">
        <f>B12-0.5</f>
        <v>0.5</v>
      </c>
      <c r="T12" s="74">
        <v>0</v>
      </c>
      <c r="U12" s="74"/>
      <c r="V12" s="74"/>
      <c r="W12" s="74"/>
      <c r="X12" s="74"/>
      <c r="Y12" s="74"/>
      <c r="Z12" s="74"/>
      <c r="AA12" s="74"/>
      <c r="AB12" s="74"/>
      <c r="AC12" s="97"/>
      <c r="AD12" s="104"/>
    </row>
    <row r="13" spans="2:30" x14ac:dyDescent="0.3">
      <c r="B13" s="40">
        <f t="shared" ref="B13:B21" si="0">B12+1</f>
        <v>2</v>
      </c>
      <c r="C13" s="41" t="s">
        <v>65</v>
      </c>
      <c r="D13" s="41" t="s">
        <v>134</v>
      </c>
      <c r="E13" s="41"/>
      <c r="F13" s="42">
        <f>I13</f>
        <v>45667</v>
      </c>
      <c r="G13" s="128">
        <f>NETWORKDAYS(I13,J13-1,holidays)</f>
        <v>225</v>
      </c>
      <c r="H13" s="43">
        <f>B13</f>
        <v>2</v>
      </c>
      <c r="I13" s="42">
        <f>MIN(I14:I25)</f>
        <v>45667</v>
      </c>
      <c r="J13" s="42">
        <f>MAX(J14:J25)</f>
        <v>46007</v>
      </c>
      <c r="K13" s="121">
        <f>J13-I13</f>
        <v>340</v>
      </c>
      <c r="L13" s="45" cm="1">
        <f t="array" aca="1" ref="L13" ca="1">WeightedProgress(L14:L25,G14:G25)</f>
        <v>0.41666666666666669</v>
      </c>
      <c r="M13" s="46" cm="1">
        <f t="array" aca="1" ref="M13" ca="1">WeightedProgress(M14:M25,G14:G25)</f>
        <v>0.41666666666666669</v>
      </c>
      <c r="N13" s="44">
        <f ca="1">IF(M13&lt;L13,K13,0)</f>
        <v>0</v>
      </c>
      <c r="O13" s="44">
        <f ca="1">IF(M13=1,K13,0)</f>
        <v>0</v>
      </c>
      <c r="P13" s="44">
        <f ca="1">IF(AND(M13&gt;=L13,M13&gt;0,M13&lt;1),K13,0)</f>
        <v>340</v>
      </c>
      <c r="Q13" s="44">
        <f ca="1">K13-SUM(N13:P13)</f>
        <v>0</v>
      </c>
      <c r="R13" s="47" t="str">
        <f t="shared" ref="R13:R56" ca="1" si="1">IF(G13&gt;0,IF(AND(M13&gt;0,M13&lt;1),ROUND(M13*100,0)&amp;"% ("&amp;ROUND(L13*100,0)&amp;"%)",ROUND(M13*100,0)&amp;"%"),"")</f>
        <v>42% (42%)</v>
      </c>
      <c r="S13" s="77">
        <f ca="1">SUBTOTAL(103,$R$12:R12)+0.5</f>
        <v>1.5</v>
      </c>
      <c r="T13" s="46">
        <v>0</v>
      </c>
      <c r="U13" s="46"/>
      <c r="V13" s="46"/>
      <c r="W13" s="46"/>
      <c r="X13" s="46"/>
      <c r="Y13" s="46"/>
      <c r="Z13" s="46"/>
      <c r="AA13" s="46"/>
      <c r="AB13" s="46"/>
      <c r="AC13" s="98"/>
      <c r="AD13" s="104"/>
    </row>
    <row r="14" spans="2:30" outlineLevel="1" x14ac:dyDescent="0.3">
      <c r="B14" s="2">
        <f t="shared" si="0"/>
        <v>3</v>
      </c>
      <c r="C14" s="35" t="s">
        <v>66</v>
      </c>
      <c r="D14" s="3" t="s">
        <v>116</v>
      </c>
      <c r="E14" s="35"/>
      <c r="F14" s="4">
        <v>45667</v>
      </c>
      <c r="G14" s="129">
        <v>3</v>
      </c>
      <c r="H14" s="5">
        <f>H13</f>
        <v>2</v>
      </c>
      <c r="I14" s="6">
        <f>IFERROR(WORKDAY(F14-1,1,holidays),0)</f>
        <v>45667</v>
      </c>
      <c r="J14" s="6" cm="1">
        <f t="array" ref="J14">FinishDate(I14,G14,holidays)</f>
        <v>45672</v>
      </c>
      <c r="K14" s="122">
        <f>J14-I14</f>
        <v>5</v>
      </c>
      <c r="L14" s="27" cm="1">
        <f t="array" aca="1" ref="L14" ca="1">AutoProgress(I14,J14,holidays,$C$5)</f>
        <v>1</v>
      </c>
      <c r="M14" s="28">
        <f t="shared" ref="M14:M30" ca="1" si="2">L14</f>
        <v>1</v>
      </c>
      <c r="N14" s="7">
        <f ca="1">IF(M14&lt;L14,K14,0)</f>
        <v>0</v>
      </c>
      <c r="O14" s="7">
        <f ca="1">IF(M14=1,K14,0)</f>
        <v>5</v>
      </c>
      <c r="P14" s="7">
        <f ca="1">IF(AND(M14&gt;=L14,M14&gt;0,M14&lt;1),K14,0)</f>
        <v>0</v>
      </c>
      <c r="Q14" s="7">
        <f ca="1">K14-SUM(N14:P14)</f>
        <v>0</v>
      </c>
      <c r="R14" s="8" t="str">
        <f t="shared" ca="1" si="1"/>
        <v>100%</v>
      </c>
      <c r="S14" s="78">
        <f ca="1">SUBTOTAL(103,$R$12:R13)+0.5</f>
        <v>2.5</v>
      </c>
      <c r="T14" s="28">
        <v>0.5</v>
      </c>
      <c r="U14" s="28"/>
      <c r="V14" s="28"/>
      <c r="W14" s="28"/>
      <c r="X14" s="28"/>
      <c r="Y14" s="28"/>
      <c r="Z14" s="28"/>
      <c r="AA14" s="28"/>
      <c r="AB14" s="28"/>
      <c r="AC14" s="99"/>
      <c r="AD14" s="104"/>
    </row>
    <row r="15" spans="2:30" outlineLevel="1" x14ac:dyDescent="0.3">
      <c r="B15" s="2">
        <f t="shared" si="0"/>
        <v>4</v>
      </c>
      <c r="C15" s="35" t="s">
        <v>67</v>
      </c>
      <c r="D15" s="35" t="s">
        <v>117</v>
      </c>
      <c r="E15" s="35"/>
      <c r="F15" s="4">
        <v>45698</v>
      </c>
      <c r="G15" s="129">
        <v>3</v>
      </c>
      <c r="H15" s="5">
        <f t="shared" ref="H15:H25" si="3">H14</f>
        <v>2</v>
      </c>
      <c r="I15" s="6">
        <f t="shared" ref="I15:I50" si="4">IFERROR(WORKDAY(F15-1,1,holidays),0)</f>
        <v>45698</v>
      </c>
      <c r="J15" s="6" cm="1">
        <f t="array" ref="J15">FinishDate(I15,G15,holidays)</f>
        <v>45702</v>
      </c>
      <c r="K15" s="122">
        <f t="shared" ref="K15:K50" si="5">J15-I15</f>
        <v>4</v>
      </c>
      <c r="L15" s="27" cm="1">
        <f t="array" aca="1" ref="L15" ca="1">AutoProgress(I15,J15,holidays,$C$5)</f>
        <v>1</v>
      </c>
      <c r="M15" s="28">
        <f t="shared" ca="1" si="2"/>
        <v>1</v>
      </c>
      <c r="N15" s="7">
        <f t="shared" ref="N15:N50" ca="1" si="6">IF(M15&lt;L15,K15,0)</f>
        <v>0</v>
      </c>
      <c r="O15" s="7">
        <f t="shared" ref="O15:O50" ca="1" si="7">IF(M15=1,K15,0)</f>
        <v>4</v>
      </c>
      <c r="P15" s="7">
        <f t="shared" ref="P15:P50" ca="1" si="8">IF(AND(M15&gt;=L15,M15&gt;0,M15&lt;1),K15,0)</f>
        <v>0</v>
      </c>
      <c r="Q15" s="7">
        <f t="shared" ref="Q15:Q50" ca="1" si="9">K15-SUM(N15:P15)</f>
        <v>0</v>
      </c>
      <c r="R15" s="8" t="str">
        <f t="shared" ca="1" si="1"/>
        <v>100%</v>
      </c>
      <c r="S15" s="78">
        <f ca="1">SUBTOTAL(103,$R$12:R14)+0.5</f>
        <v>3.5</v>
      </c>
      <c r="T15" s="28">
        <v>0.5</v>
      </c>
      <c r="U15" s="28"/>
      <c r="V15" s="28"/>
      <c r="W15" s="28"/>
      <c r="X15" s="28"/>
      <c r="Y15" s="28"/>
      <c r="Z15" s="28"/>
      <c r="AA15" s="28"/>
      <c r="AB15" s="28"/>
      <c r="AC15" s="99"/>
      <c r="AD15" s="104"/>
    </row>
    <row r="16" spans="2:30" outlineLevel="1" x14ac:dyDescent="0.3">
      <c r="B16" s="2">
        <f t="shared" si="0"/>
        <v>5</v>
      </c>
      <c r="C16" s="35" t="s">
        <v>68</v>
      </c>
      <c r="D16" s="3" t="s">
        <v>118</v>
      </c>
      <c r="E16" s="35"/>
      <c r="F16" s="4">
        <v>45726</v>
      </c>
      <c r="G16" s="129">
        <v>3</v>
      </c>
      <c r="H16" s="5">
        <f t="shared" si="3"/>
        <v>2</v>
      </c>
      <c r="I16" s="6">
        <f t="shared" si="4"/>
        <v>45726</v>
      </c>
      <c r="J16" s="6" cm="1">
        <f t="array" ref="J16">FinishDate(I16,G16,holidays)</f>
        <v>45729</v>
      </c>
      <c r="K16" s="122">
        <f t="shared" si="5"/>
        <v>3</v>
      </c>
      <c r="L16" s="27" cm="1">
        <f t="array" aca="1" ref="L16" ca="1">AutoProgress(I16,J16,holidays,$C$5)</f>
        <v>1</v>
      </c>
      <c r="M16" s="28">
        <f t="shared" ca="1" si="2"/>
        <v>1</v>
      </c>
      <c r="N16" s="7">
        <f t="shared" ca="1" si="6"/>
        <v>0</v>
      </c>
      <c r="O16" s="7">
        <f t="shared" ca="1" si="7"/>
        <v>3</v>
      </c>
      <c r="P16" s="7">
        <f t="shared" ca="1" si="8"/>
        <v>0</v>
      </c>
      <c r="Q16" s="7">
        <f t="shared" ca="1" si="9"/>
        <v>0</v>
      </c>
      <c r="R16" s="8" t="str">
        <f t="shared" ca="1" si="1"/>
        <v>100%</v>
      </c>
      <c r="S16" s="78">
        <f ca="1">SUBTOTAL(103,$R$12:R15)+0.5</f>
        <v>4.5</v>
      </c>
      <c r="T16" s="28">
        <v>0.5</v>
      </c>
      <c r="U16" s="28"/>
      <c r="V16" s="28"/>
      <c r="W16" s="28"/>
      <c r="X16" s="28"/>
      <c r="Y16" s="28"/>
      <c r="Z16" s="28"/>
      <c r="AA16" s="28"/>
      <c r="AB16" s="28"/>
      <c r="AC16" s="99"/>
      <c r="AD16" s="104"/>
    </row>
    <row r="17" spans="2:30" outlineLevel="1" x14ac:dyDescent="0.3">
      <c r="B17" s="2">
        <f t="shared" si="0"/>
        <v>6</v>
      </c>
      <c r="C17" s="35" t="s">
        <v>69</v>
      </c>
      <c r="D17" s="35" t="s">
        <v>119</v>
      </c>
      <c r="E17" s="35"/>
      <c r="F17" s="4">
        <v>45757</v>
      </c>
      <c r="G17" s="129">
        <v>3</v>
      </c>
      <c r="H17" s="5">
        <f t="shared" si="3"/>
        <v>2</v>
      </c>
      <c r="I17" s="6">
        <f t="shared" si="4"/>
        <v>45757</v>
      </c>
      <c r="J17" s="6" cm="1">
        <f t="array" ref="J17">FinishDate(I17,G17,holidays)</f>
        <v>45764</v>
      </c>
      <c r="K17" s="122">
        <f t="shared" si="5"/>
        <v>7</v>
      </c>
      <c r="L17" s="27" cm="1">
        <f t="array" aca="1" ref="L17" ca="1">AutoProgress(I17,J17,holidays,$C$5)</f>
        <v>1</v>
      </c>
      <c r="M17" s="28">
        <f t="shared" ca="1" si="2"/>
        <v>1</v>
      </c>
      <c r="N17" s="7">
        <f t="shared" ca="1" si="6"/>
        <v>0</v>
      </c>
      <c r="O17" s="7">
        <f t="shared" ca="1" si="7"/>
        <v>7</v>
      </c>
      <c r="P17" s="7">
        <f t="shared" ca="1" si="8"/>
        <v>0</v>
      </c>
      <c r="Q17" s="7">
        <f t="shared" ca="1" si="9"/>
        <v>0</v>
      </c>
      <c r="R17" s="8" t="str">
        <f t="shared" ca="1" si="1"/>
        <v>100%</v>
      </c>
      <c r="S17" s="78">
        <f ca="1">SUBTOTAL(103,$R$12:R16)+0.5</f>
        <v>5.5</v>
      </c>
      <c r="T17" s="28">
        <v>0.5</v>
      </c>
      <c r="U17" s="28"/>
      <c r="V17" s="28"/>
      <c r="W17" s="28"/>
      <c r="X17" s="28"/>
      <c r="Y17" s="28"/>
      <c r="Z17" s="28"/>
      <c r="AA17" s="28"/>
      <c r="AB17" s="28"/>
      <c r="AC17" s="99"/>
      <c r="AD17" s="104"/>
    </row>
    <row r="18" spans="2:30" outlineLevel="1" x14ac:dyDescent="0.3">
      <c r="B18" s="2">
        <f t="shared" si="0"/>
        <v>7</v>
      </c>
      <c r="C18" s="35" t="s">
        <v>70</v>
      </c>
      <c r="D18" s="3" t="s">
        <v>120</v>
      </c>
      <c r="E18" s="35"/>
      <c r="F18" s="4">
        <v>45787</v>
      </c>
      <c r="G18" s="129">
        <v>3</v>
      </c>
      <c r="H18" s="5">
        <f t="shared" si="3"/>
        <v>2</v>
      </c>
      <c r="I18" s="6">
        <f t="shared" si="4"/>
        <v>45790</v>
      </c>
      <c r="J18" s="6" cm="1">
        <f t="array" ref="J18">FinishDate(I18,G18,holidays)</f>
        <v>45793</v>
      </c>
      <c r="K18" s="122">
        <f t="shared" si="5"/>
        <v>3</v>
      </c>
      <c r="L18" s="27" cm="1">
        <f t="array" aca="1" ref="L18" ca="1">AutoProgress(I18,J18,holidays,$C$5)</f>
        <v>1</v>
      </c>
      <c r="M18" s="28">
        <f t="shared" ca="1" si="2"/>
        <v>1</v>
      </c>
      <c r="N18" s="7">
        <f t="shared" ca="1" si="6"/>
        <v>0</v>
      </c>
      <c r="O18" s="7">
        <f t="shared" ca="1" si="7"/>
        <v>3</v>
      </c>
      <c r="P18" s="7">
        <f t="shared" ca="1" si="8"/>
        <v>0</v>
      </c>
      <c r="Q18" s="7">
        <f t="shared" ca="1" si="9"/>
        <v>0</v>
      </c>
      <c r="R18" s="8" t="str">
        <f t="shared" ca="1" si="1"/>
        <v>100%</v>
      </c>
      <c r="S18" s="78">
        <f ca="1">SUBTOTAL(103,$R$12:R17)+0.5</f>
        <v>6.5</v>
      </c>
      <c r="T18" s="28">
        <v>0.5</v>
      </c>
      <c r="U18" s="28"/>
      <c r="V18" s="28"/>
      <c r="W18" s="28"/>
      <c r="X18" s="28"/>
      <c r="Y18" s="28"/>
      <c r="Z18" s="28"/>
      <c r="AA18" s="28"/>
      <c r="AB18" s="28"/>
      <c r="AC18" s="99"/>
      <c r="AD18" s="104"/>
    </row>
    <row r="19" spans="2:30" outlineLevel="1" x14ac:dyDescent="0.3">
      <c r="B19" s="2">
        <f>B18+1</f>
        <v>8</v>
      </c>
      <c r="C19" s="35" t="s">
        <v>71</v>
      </c>
      <c r="D19" s="35" t="s">
        <v>121</v>
      </c>
      <c r="E19" s="35"/>
      <c r="F19" s="4">
        <v>45818</v>
      </c>
      <c r="G19" s="129">
        <v>3</v>
      </c>
      <c r="H19" s="5">
        <f t="shared" si="3"/>
        <v>2</v>
      </c>
      <c r="I19" s="6">
        <f t="shared" si="4"/>
        <v>45818</v>
      </c>
      <c r="J19" s="6" cm="1">
        <f t="array" ref="J19">FinishDate(I19,G19,holidays)</f>
        <v>45821</v>
      </c>
      <c r="K19" s="122">
        <f t="shared" si="5"/>
        <v>3</v>
      </c>
      <c r="L19" s="27" cm="1">
        <f t="array" aca="1" ref="L19" ca="1">AutoProgress(I19,J19,holidays,$C$5)</f>
        <v>0</v>
      </c>
      <c r="M19" s="28">
        <f t="shared" ca="1" si="2"/>
        <v>0</v>
      </c>
      <c r="N19" s="7">
        <f t="shared" ca="1" si="6"/>
        <v>0</v>
      </c>
      <c r="O19" s="7">
        <f t="shared" ca="1" si="7"/>
        <v>0</v>
      </c>
      <c r="P19" s="7">
        <f t="shared" ca="1" si="8"/>
        <v>0</v>
      </c>
      <c r="Q19" s="7">
        <f t="shared" ca="1" si="9"/>
        <v>3</v>
      </c>
      <c r="R19" s="8" t="str">
        <f t="shared" ca="1" si="1"/>
        <v>0%</v>
      </c>
      <c r="S19" s="78">
        <f ca="1">SUBTOTAL(103,$R$12:R18)+0.5</f>
        <v>7.5</v>
      </c>
      <c r="T19" s="28">
        <v>0.5</v>
      </c>
      <c r="U19" s="28"/>
      <c r="V19" s="28"/>
      <c r="W19" s="28"/>
      <c r="X19" s="28"/>
      <c r="Y19" s="28"/>
      <c r="Z19" s="28"/>
      <c r="AA19" s="28"/>
      <c r="AB19" s="28"/>
      <c r="AC19" s="99"/>
      <c r="AD19" s="104"/>
    </row>
    <row r="20" spans="2:30" outlineLevel="1" x14ac:dyDescent="0.3">
      <c r="B20" s="2">
        <f t="shared" si="0"/>
        <v>9</v>
      </c>
      <c r="C20" s="35" t="s">
        <v>72</v>
      </c>
      <c r="D20" s="3" t="s">
        <v>122</v>
      </c>
      <c r="E20" s="35"/>
      <c r="F20" s="4">
        <v>45848</v>
      </c>
      <c r="G20" s="129">
        <v>3</v>
      </c>
      <c r="H20" s="5">
        <f t="shared" si="3"/>
        <v>2</v>
      </c>
      <c r="I20" s="6">
        <f t="shared" si="4"/>
        <v>45849</v>
      </c>
      <c r="J20" s="6" cm="1">
        <f t="array" ref="J20">FinishDate(I20,G20,holidays)</f>
        <v>45854</v>
      </c>
      <c r="K20" s="122">
        <f t="shared" si="5"/>
        <v>5</v>
      </c>
      <c r="L20" s="27" cm="1">
        <f t="array" aca="1" ref="L20" ca="1">AutoProgress(I20,J20,holidays,$C$5)</f>
        <v>0</v>
      </c>
      <c r="M20" s="28">
        <f t="shared" ca="1" si="2"/>
        <v>0</v>
      </c>
      <c r="N20" s="7">
        <f t="shared" ca="1" si="6"/>
        <v>0</v>
      </c>
      <c r="O20" s="7">
        <f t="shared" ca="1" si="7"/>
        <v>0</v>
      </c>
      <c r="P20" s="7">
        <f t="shared" ca="1" si="8"/>
        <v>0</v>
      </c>
      <c r="Q20" s="7">
        <f t="shared" ca="1" si="9"/>
        <v>5</v>
      </c>
      <c r="R20" s="8" t="str">
        <f t="shared" ca="1" si="1"/>
        <v>0%</v>
      </c>
      <c r="S20" s="78">
        <f ca="1">SUBTOTAL(103,$R$12:R19)+0.5</f>
        <v>8.5</v>
      </c>
      <c r="T20" s="28">
        <v>0.5</v>
      </c>
      <c r="U20" s="28"/>
      <c r="V20" s="28"/>
      <c r="W20" s="28"/>
      <c r="X20" s="28"/>
      <c r="Y20" s="28"/>
      <c r="Z20" s="28"/>
      <c r="AA20" s="28"/>
      <c r="AB20" s="28"/>
      <c r="AC20" s="99"/>
      <c r="AD20" s="104"/>
    </row>
    <row r="21" spans="2:30" outlineLevel="1" x14ac:dyDescent="0.3">
      <c r="B21" s="2">
        <f t="shared" si="0"/>
        <v>10</v>
      </c>
      <c r="C21" s="35" t="s">
        <v>73</v>
      </c>
      <c r="D21" s="35" t="s">
        <v>123</v>
      </c>
      <c r="E21" s="35"/>
      <c r="F21" s="4">
        <v>45879</v>
      </c>
      <c r="G21" s="129">
        <v>3</v>
      </c>
      <c r="H21" s="5">
        <f t="shared" si="3"/>
        <v>2</v>
      </c>
      <c r="I21" s="6">
        <f t="shared" si="4"/>
        <v>45882</v>
      </c>
      <c r="J21" s="6" cm="1">
        <f t="array" ref="J21">FinishDate(I21,G21,holidays)</f>
        <v>45885</v>
      </c>
      <c r="K21" s="122">
        <f t="shared" si="5"/>
        <v>3</v>
      </c>
      <c r="L21" s="27" cm="1">
        <f t="array" aca="1" ref="L21" ca="1">AutoProgress(I21,J21,holidays,$C$5)</f>
        <v>0</v>
      </c>
      <c r="M21" s="28">
        <f t="shared" ca="1" si="2"/>
        <v>0</v>
      </c>
      <c r="N21" s="7">
        <f t="shared" ca="1" si="6"/>
        <v>0</v>
      </c>
      <c r="O21" s="7">
        <f t="shared" ca="1" si="7"/>
        <v>0</v>
      </c>
      <c r="P21" s="7">
        <f t="shared" ca="1" si="8"/>
        <v>0</v>
      </c>
      <c r="Q21" s="7">
        <f t="shared" ca="1" si="9"/>
        <v>3</v>
      </c>
      <c r="R21" s="8" t="str">
        <f t="shared" ca="1" si="1"/>
        <v>0%</v>
      </c>
      <c r="S21" s="78">
        <f ca="1">SUBTOTAL(103,$R$12:R20)+0.5</f>
        <v>9.5</v>
      </c>
      <c r="T21" s="28">
        <v>0.5</v>
      </c>
      <c r="U21" s="28"/>
      <c r="V21" s="28"/>
      <c r="W21" s="28"/>
      <c r="X21" s="28"/>
      <c r="Y21" s="28"/>
      <c r="Z21" s="28"/>
      <c r="AA21" s="28"/>
      <c r="AB21" s="28"/>
      <c r="AC21" s="99"/>
      <c r="AD21" s="104"/>
    </row>
    <row r="22" spans="2:30" outlineLevel="1" x14ac:dyDescent="0.3">
      <c r="B22" s="2">
        <f t="shared" ref="B22:B50" si="10">B21+1</f>
        <v>11</v>
      </c>
      <c r="C22" s="35" t="s">
        <v>74</v>
      </c>
      <c r="D22" s="3" t="s">
        <v>124</v>
      </c>
      <c r="E22" s="35"/>
      <c r="F22" s="4">
        <v>45910</v>
      </c>
      <c r="G22" s="129">
        <v>3</v>
      </c>
      <c r="H22" s="5">
        <f t="shared" si="3"/>
        <v>2</v>
      </c>
      <c r="I22" s="6">
        <f t="shared" si="4"/>
        <v>45910</v>
      </c>
      <c r="J22" s="6" cm="1">
        <f t="array" ref="J22">FinishDate(I22,G22,holidays)</f>
        <v>45913</v>
      </c>
      <c r="K22" s="122">
        <f t="shared" si="5"/>
        <v>3</v>
      </c>
      <c r="L22" s="27" cm="1">
        <f t="array" aca="1" ref="L22" ca="1">AutoProgress(I22,J22,holidays,$C$5)</f>
        <v>0</v>
      </c>
      <c r="M22" s="28">
        <f t="shared" ca="1" si="2"/>
        <v>0</v>
      </c>
      <c r="N22" s="7">
        <f t="shared" ca="1" si="6"/>
        <v>0</v>
      </c>
      <c r="O22" s="7">
        <f t="shared" ca="1" si="7"/>
        <v>0</v>
      </c>
      <c r="P22" s="7">
        <f t="shared" ca="1" si="8"/>
        <v>0</v>
      </c>
      <c r="Q22" s="7">
        <f t="shared" ca="1" si="9"/>
        <v>3</v>
      </c>
      <c r="R22" s="8" t="str">
        <f t="shared" ca="1" si="1"/>
        <v>0%</v>
      </c>
      <c r="S22" s="78">
        <f ca="1">SUBTOTAL(103,$R$12:R21)+0.5</f>
        <v>10.5</v>
      </c>
      <c r="T22" s="28">
        <v>0.5</v>
      </c>
      <c r="U22" s="28"/>
      <c r="V22" s="28"/>
      <c r="W22" s="28"/>
      <c r="X22" s="28"/>
      <c r="Y22" s="28"/>
      <c r="Z22" s="28"/>
      <c r="AA22" s="28"/>
      <c r="AB22" s="28"/>
      <c r="AC22" s="99"/>
      <c r="AD22" s="104"/>
    </row>
    <row r="23" spans="2:30" outlineLevel="1" x14ac:dyDescent="0.3">
      <c r="B23" s="2">
        <f t="shared" si="10"/>
        <v>12</v>
      </c>
      <c r="C23" s="35" t="s">
        <v>75</v>
      </c>
      <c r="D23" s="35" t="s">
        <v>125</v>
      </c>
      <c r="E23" s="35"/>
      <c r="F23" s="4">
        <v>45940</v>
      </c>
      <c r="G23" s="129">
        <v>3</v>
      </c>
      <c r="H23" s="5">
        <f t="shared" si="3"/>
        <v>2</v>
      </c>
      <c r="I23" s="6">
        <f t="shared" si="4"/>
        <v>45940</v>
      </c>
      <c r="J23" s="6" cm="1">
        <f t="array" ref="J23">FinishDate(I23,G23,holidays)</f>
        <v>45946</v>
      </c>
      <c r="K23" s="122">
        <f t="shared" si="5"/>
        <v>6</v>
      </c>
      <c r="L23" s="27" cm="1">
        <f t="array" aca="1" ref="L23" ca="1">AutoProgress(I23,J23,holidays,$C$5)</f>
        <v>0</v>
      </c>
      <c r="M23" s="28">
        <f t="shared" ca="1" si="2"/>
        <v>0</v>
      </c>
      <c r="N23" s="7">
        <f t="shared" ca="1" si="6"/>
        <v>0</v>
      </c>
      <c r="O23" s="7">
        <f t="shared" ca="1" si="7"/>
        <v>0</v>
      </c>
      <c r="P23" s="7">
        <f t="shared" ca="1" si="8"/>
        <v>0</v>
      </c>
      <c r="Q23" s="7">
        <f t="shared" ca="1" si="9"/>
        <v>6</v>
      </c>
      <c r="R23" s="8" t="str">
        <f t="shared" ca="1" si="1"/>
        <v>0%</v>
      </c>
      <c r="S23" s="78">
        <f ca="1">SUBTOTAL(103,$R$12:R22)+0.5</f>
        <v>11.5</v>
      </c>
      <c r="T23" s="28">
        <v>0.5</v>
      </c>
      <c r="U23" s="28"/>
      <c r="V23" s="28"/>
      <c r="W23" s="28"/>
      <c r="X23" s="28"/>
      <c r="Y23" s="28"/>
      <c r="Z23" s="28"/>
      <c r="AA23" s="28"/>
      <c r="AB23" s="28"/>
      <c r="AC23" s="99"/>
      <c r="AD23" s="104"/>
    </row>
    <row r="24" spans="2:30" outlineLevel="1" x14ac:dyDescent="0.3">
      <c r="B24" s="2">
        <f t="shared" si="10"/>
        <v>13</v>
      </c>
      <c r="C24" s="35" t="s">
        <v>76</v>
      </c>
      <c r="D24" s="3" t="s">
        <v>126</v>
      </c>
      <c r="E24" s="35"/>
      <c r="F24" s="4">
        <v>45971</v>
      </c>
      <c r="G24" s="129">
        <v>3</v>
      </c>
      <c r="H24" s="5">
        <f t="shared" si="3"/>
        <v>2</v>
      </c>
      <c r="I24" s="6">
        <f t="shared" si="4"/>
        <v>45971</v>
      </c>
      <c r="J24" s="6" cm="1">
        <f t="array" ref="J24">FinishDate(I24,G24,holidays)</f>
        <v>45974</v>
      </c>
      <c r="K24" s="122">
        <f t="shared" si="5"/>
        <v>3</v>
      </c>
      <c r="L24" s="27" cm="1">
        <f t="array" aca="1" ref="L24" ca="1">AutoProgress(I24,J24,holidays,$C$5)</f>
        <v>0</v>
      </c>
      <c r="M24" s="28">
        <f t="shared" ca="1" si="2"/>
        <v>0</v>
      </c>
      <c r="N24" s="7">
        <f t="shared" ca="1" si="6"/>
        <v>0</v>
      </c>
      <c r="O24" s="7">
        <f t="shared" ca="1" si="7"/>
        <v>0</v>
      </c>
      <c r="P24" s="7">
        <f t="shared" ca="1" si="8"/>
        <v>0</v>
      </c>
      <c r="Q24" s="7">
        <f t="shared" ca="1" si="9"/>
        <v>3</v>
      </c>
      <c r="R24" s="8" t="str">
        <f t="shared" ca="1" si="1"/>
        <v>0%</v>
      </c>
      <c r="S24" s="78">
        <f ca="1">SUBTOTAL(103,$R$12:R23)+0.5</f>
        <v>12.5</v>
      </c>
      <c r="T24" s="28">
        <v>0.5</v>
      </c>
      <c r="U24" s="28"/>
      <c r="V24" s="28"/>
      <c r="W24" s="28"/>
      <c r="X24" s="28"/>
      <c r="Y24" s="28"/>
      <c r="Z24" s="28"/>
      <c r="AA24" s="28"/>
      <c r="AB24" s="28"/>
      <c r="AC24" s="99"/>
      <c r="AD24" s="104"/>
    </row>
    <row r="25" spans="2:30" outlineLevel="1" x14ac:dyDescent="0.3">
      <c r="B25" s="9">
        <f>B24+1</f>
        <v>14</v>
      </c>
      <c r="C25" s="36" t="s">
        <v>77</v>
      </c>
      <c r="D25" s="36" t="s">
        <v>127</v>
      </c>
      <c r="E25" s="36"/>
      <c r="F25" s="10">
        <v>46001</v>
      </c>
      <c r="G25" s="130">
        <v>3</v>
      </c>
      <c r="H25" s="11">
        <f t="shared" si="3"/>
        <v>2</v>
      </c>
      <c r="I25" s="12">
        <f t="shared" si="4"/>
        <v>46002</v>
      </c>
      <c r="J25" s="12" cm="1">
        <f t="array" ref="J25">FinishDate(I25,G25,holidays)</f>
        <v>46007</v>
      </c>
      <c r="K25" s="123">
        <f t="shared" si="5"/>
        <v>5</v>
      </c>
      <c r="L25" s="29" cm="1">
        <f t="array" aca="1" ref="L25" ca="1">AutoProgress(I25,J25,holidays,$C$5)</f>
        <v>0</v>
      </c>
      <c r="M25" s="30">
        <f t="shared" ca="1" si="2"/>
        <v>0</v>
      </c>
      <c r="N25" s="13">
        <f t="shared" ca="1" si="6"/>
        <v>0</v>
      </c>
      <c r="O25" s="13">
        <f t="shared" ca="1" si="7"/>
        <v>0</v>
      </c>
      <c r="P25" s="13">
        <f t="shared" ca="1" si="8"/>
        <v>0</v>
      </c>
      <c r="Q25" s="13">
        <f t="shared" ca="1" si="9"/>
        <v>5</v>
      </c>
      <c r="R25" s="14" t="str">
        <f t="shared" ca="1" si="1"/>
        <v>0%</v>
      </c>
      <c r="S25" s="79">
        <f ca="1">SUBTOTAL(103,$R$12:R24)+0.5</f>
        <v>13.5</v>
      </c>
      <c r="T25" s="30">
        <v>0.5</v>
      </c>
      <c r="U25" s="30"/>
      <c r="V25" s="30"/>
      <c r="W25" s="30"/>
      <c r="X25" s="30"/>
      <c r="Y25" s="30"/>
      <c r="Z25" s="30"/>
      <c r="AA25" s="30"/>
      <c r="AB25" s="30"/>
      <c r="AC25" s="100"/>
      <c r="AD25" s="104"/>
    </row>
    <row r="26" spans="2:30" ht="26" x14ac:dyDescent="0.3">
      <c r="B26" s="48">
        <f>B25+1</f>
        <v>15</v>
      </c>
      <c r="C26" s="49" t="s">
        <v>102</v>
      </c>
      <c r="D26" s="49" t="s">
        <v>135</v>
      </c>
      <c r="E26" s="49"/>
      <c r="F26" s="50">
        <f>I26</f>
        <v>45691</v>
      </c>
      <c r="G26" s="131">
        <f>NETWORKDAYS(I26,J26-1,holidays)</f>
        <v>88</v>
      </c>
      <c r="H26" s="51">
        <f>B26</f>
        <v>15</v>
      </c>
      <c r="I26" s="50">
        <f>MIN(I27:I30)</f>
        <v>45691</v>
      </c>
      <c r="J26" s="50">
        <f>MAX(J27:J30)</f>
        <v>45826</v>
      </c>
      <c r="K26" s="124">
        <f t="shared" si="5"/>
        <v>135</v>
      </c>
      <c r="L26" s="53" cm="1">
        <f t="array" aca="1" ref="L26" ca="1">WeightedProgress(L27:L30,G27:G30)</f>
        <v>0.8</v>
      </c>
      <c r="M26" s="54" cm="1">
        <f t="array" aca="1" ref="M26" ca="1">WeightedProgress(M27:M30,G27:G30)</f>
        <v>0.8</v>
      </c>
      <c r="N26" s="52">
        <f t="shared" ref="N26" ca="1" si="11">IF(M26&lt;L26,K26,0)</f>
        <v>0</v>
      </c>
      <c r="O26" s="52">
        <f t="shared" ref="O26" ca="1" si="12">IF(M26=1,K26,0)</f>
        <v>0</v>
      </c>
      <c r="P26" s="52">
        <f t="shared" ref="P26" ca="1" si="13">IF(AND(M26&gt;=L26,M26&gt;0,M26&lt;1),K26,0)</f>
        <v>135</v>
      </c>
      <c r="Q26" s="52">
        <f t="shared" ref="Q26" ca="1" si="14">K26-SUM(N26:P26)</f>
        <v>0</v>
      </c>
      <c r="R26" s="55" t="str">
        <f t="shared" ca="1" si="1"/>
        <v>80% (80%)</v>
      </c>
      <c r="S26" s="80">
        <f ca="1">SUBTOTAL(103,$R$12:R25)+0.5</f>
        <v>14.5</v>
      </c>
      <c r="T26" s="54">
        <v>0</v>
      </c>
      <c r="U26" s="54"/>
      <c r="V26" s="54"/>
      <c r="W26" s="54"/>
      <c r="X26" s="54"/>
      <c r="Y26" s="54"/>
      <c r="Z26" s="54"/>
      <c r="AA26" s="54"/>
      <c r="AB26" s="54"/>
      <c r="AC26" s="101"/>
      <c r="AD26" s="105"/>
    </row>
    <row r="27" spans="2:30" outlineLevel="1" x14ac:dyDescent="0.3">
      <c r="B27" s="2">
        <f>B26+1</f>
        <v>16</v>
      </c>
      <c r="C27" s="35" t="s">
        <v>78</v>
      </c>
      <c r="D27" s="35" t="s">
        <v>64</v>
      </c>
      <c r="E27" s="35"/>
      <c r="F27" s="4">
        <v>45691</v>
      </c>
      <c r="G27" s="129">
        <v>2</v>
      </c>
      <c r="H27" s="5">
        <f>H26</f>
        <v>15</v>
      </c>
      <c r="I27" s="6">
        <f t="shared" si="4"/>
        <v>45691</v>
      </c>
      <c r="J27" s="6" cm="1">
        <f t="array" ref="J27">FinishDate(I27,G27,holidays)</f>
        <v>45693</v>
      </c>
      <c r="K27" s="122">
        <f t="shared" si="5"/>
        <v>2</v>
      </c>
      <c r="L27" s="27" cm="1">
        <f t="array" aca="1" ref="L27" ca="1">AutoProgress(I27,J27,holidays,$C$5)</f>
        <v>1</v>
      </c>
      <c r="M27" s="28">
        <f t="shared" ca="1" si="2"/>
        <v>1</v>
      </c>
      <c r="N27" s="7">
        <f t="shared" ca="1" si="6"/>
        <v>0</v>
      </c>
      <c r="O27" s="7">
        <f t="shared" ca="1" si="7"/>
        <v>2</v>
      </c>
      <c r="P27" s="7">
        <f t="shared" ca="1" si="8"/>
        <v>0</v>
      </c>
      <c r="Q27" s="7">
        <f t="shared" ca="1" si="9"/>
        <v>0</v>
      </c>
      <c r="R27" s="8" t="str">
        <f t="shared" ca="1" si="1"/>
        <v>100%</v>
      </c>
      <c r="S27" s="78">
        <f ca="1">SUBTOTAL(103,$R$12:R26)+0.5</f>
        <v>15.5</v>
      </c>
      <c r="T27" s="28">
        <f>2/8</f>
        <v>0.25</v>
      </c>
      <c r="U27" s="28"/>
      <c r="V27" s="28"/>
      <c r="W27" s="28"/>
      <c r="X27" s="28"/>
      <c r="Y27" s="28"/>
      <c r="Z27" s="28"/>
      <c r="AA27" s="28"/>
      <c r="AB27" s="28"/>
      <c r="AC27" s="99"/>
      <c r="AD27" s="104"/>
    </row>
    <row r="28" spans="2:30" outlineLevel="1" x14ac:dyDescent="0.3">
      <c r="B28" s="2">
        <f t="shared" si="10"/>
        <v>17</v>
      </c>
      <c r="C28" s="35" t="s">
        <v>47</v>
      </c>
      <c r="D28" s="35" t="s">
        <v>79</v>
      </c>
      <c r="E28" s="35"/>
      <c r="F28" s="4">
        <v>45734</v>
      </c>
      <c r="G28" s="129">
        <v>2</v>
      </c>
      <c r="H28" s="5">
        <f>H27</f>
        <v>15</v>
      </c>
      <c r="I28" s="6">
        <f t="shared" si="4"/>
        <v>45734</v>
      </c>
      <c r="J28" s="6" cm="1">
        <f t="array" ref="J28">FinishDate(I28,G28,holidays)</f>
        <v>45736</v>
      </c>
      <c r="K28" s="122">
        <f t="shared" si="5"/>
        <v>2</v>
      </c>
      <c r="L28" s="27" cm="1">
        <f t="array" aca="1" ref="L28" ca="1">AutoProgress(I28,J28,holidays,$C$5)</f>
        <v>1</v>
      </c>
      <c r="M28" s="28">
        <f t="shared" ca="1" si="2"/>
        <v>1</v>
      </c>
      <c r="N28" s="7">
        <f t="shared" ca="1" si="6"/>
        <v>0</v>
      </c>
      <c r="O28" s="7">
        <f t="shared" ca="1" si="7"/>
        <v>2</v>
      </c>
      <c r="P28" s="7">
        <f t="shared" ca="1" si="8"/>
        <v>0</v>
      </c>
      <c r="Q28" s="7">
        <f t="shared" ca="1" si="9"/>
        <v>0</v>
      </c>
      <c r="R28" s="8" t="str">
        <f t="shared" ca="1" si="1"/>
        <v>100%</v>
      </c>
      <c r="S28" s="78">
        <f ca="1">SUBTOTAL(103,$R$12:R27)+0.5</f>
        <v>16.5</v>
      </c>
      <c r="T28" s="28">
        <v>1</v>
      </c>
      <c r="U28" s="28"/>
      <c r="V28" s="28"/>
      <c r="W28" s="28"/>
      <c r="X28" s="28"/>
      <c r="Y28" s="28"/>
      <c r="Z28" s="28"/>
      <c r="AA28" s="28"/>
      <c r="AB28" s="28"/>
      <c r="AC28" s="99"/>
      <c r="AD28" s="104"/>
    </row>
    <row r="29" spans="2:30" outlineLevel="1" x14ac:dyDescent="0.3">
      <c r="B29" s="2">
        <f t="shared" si="10"/>
        <v>18</v>
      </c>
      <c r="C29" s="35" t="s">
        <v>88</v>
      </c>
      <c r="D29" s="35" t="s">
        <v>80</v>
      </c>
      <c r="E29" s="35"/>
      <c r="F29" s="4">
        <v>45790</v>
      </c>
      <c r="G29" s="129">
        <v>4</v>
      </c>
      <c r="H29" s="5">
        <f>H28</f>
        <v>15</v>
      </c>
      <c r="I29" s="6">
        <f t="shared" si="4"/>
        <v>45790</v>
      </c>
      <c r="J29" s="6" cm="1">
        <f t="array" ref="J29">FinishDate(I29,G29,holidays)</f>
        <v>45794</v>
      </c>
      <c r="K29" s="122">
        <f t="shared" si="5"/>
        <v>4</v>
      </c>
      <c r="L29" s="27" cm="1">
        <f t="array" aca="1" ref="L29" ca="1">AutoProgress(I29,J29,holidays,$C$5)</f>
        <v>1</v>
      </c>
      <c r="M29" s="28">
        <f t="shared" ca="1" si="2"/>
        <v>1</v>
      </c>
      <c r="N29" s="7">
        <f t="shared" ca="1" si="6"/>
        <v>0</v>
      </c>
      <c r="O29" s="7">
        <f t="shared" ca="1" si="7"/>
        <v>4</v>
      </c>
      <c r="P29" s="7">
        <f t="shared" ca="1" si="8"/>
        <v>0</v>
      </c>
      <c r="Q29" s="7">
        <f t="shared" ca="1" si="9"/>
        <v>0</v>
      </c>
      <c r="R29" s="8" t="str">
        <f t="shared" ca="1" si="1"/>
        <v>100%</v>
      </c>
      <c r="S29" s="78">
        <f ca="1">SUBTOTAL(103,$R$12:R28)+0.5</f>
        <v>17.5</v>
      </c>
      <c r="T29" s="28">
        <v>1</v>
      </c>
      <c r="U29" s="28"/>
      <c r="V29" s="28"/>
      <c r="W29" s="28"/>
      <c r="X29" s="28"/>
      <c r="Y29" s="28"/>
      <c r="Z29" s="28"/>
      <c r="AA29" s="28"/>
      <c r="AB29" s="28"/>
      <c r="AC29" s="99"/>
      <c r="AD29" s="104"/>
    </row>
    <row r="30" spans="2:30" ht="26" outlineLevel="1" x14ac:dyDescent="0.3">
      <c r="B30" s="9">
        <f t="shared" si="10"/>
        <v>19</v>
      </c>
      <c r="C30" s="36" t="s">
        <v>48</v>
      </c>
      <c r="D30" s="36" t="s">
        <v>81</v>
      </c>
      <c r="E30" s="36"/>
      <c r="F30" s="10">
        <v>45824</v>
      </c>
      <c r="G30" s="130">
        <v>2</v>
      </c>
      <c r="H30" s="11">
        <f>H29</f>
        <v>15</v>
      </c>
      <c r="I30" s="12">
        <f t="shared" si="4"/>
        <v>45824</v>
      </c>
      <c r="J30" s="12" cm="1">
        <f t="array" ref="J30">FinishDate(I30,G30,holidays)</f>
        <v>45826</v>
      </c>
      <c r="K30" s="123">
        <f t="shared" si="5"/>
        <v>2</v>
      </c>
      <c r="L30" s="29" cm="1">
        <f t="array" aca="1" ref="L30" ca="1">AutoProgress(I30,J30,holidays,$C$5)</f>
        <v>0</v>
      </c>
      <c r="M30" s="30">
        <f t="shared" ca="1" si="2"/>
        <v>0</v>
      </c>
      <c r="N30" s="13">
        <f t="shared" ca="1" si="6"/>
        <v>0</v>
      </c>
      <c r="O30" s="13">
        <f t="shared" ca="1" si="7"/>
        <v>0</v>
      </c>
      <c r="P30" s="13">
        <f t="shared" ca="1" si="8"/>
        <v>0</v>
      </c>
      <c r="Q30" s="13">
        <f t="shared" ca="1" si="9"/>
        <v>2</v>
      </c>
      <c r="R30" s="14" t="str">
        <f t="shared" ca="1" si="1"/>
        <v>0%</v>
      </c>
      <c r="S30" s="79">
        <f ca="1">SUBTOTAL(103,$R$12:R29)+0.5</f>
        <v>18.5</v>
      </c>
      <c r="T30" s="30">
        <v>1</v>
      </c>
      <c r="U30" s="30"/>
      <c r="V30" s="30"/>
      <c r="W30" s="30"/>
      <c r="X30" s="30"/>
      <c r="Y30" s="30"/>
      <c r="Z30" s="30"/>
      <c r="AA30" s="30"/>
      <c r="AB30" s="30"/>
      <c r="AC30" s="100"/>
      <c r="AD30" s="104"/>
    </row>
    <row r="31" spans="2:30" x14ac:dyDescent="0.3">
      <c r="B31" s="48">
        <f>B30+1</f>
        <v>20</v>
      </c>
      <c r="C31" s="49" t="s">
        <v>92</v>
      </c>
      <c r="D31" s="49" t="s">
        <v>136</v>
      </c>
      <c r="E31" s="49"/>
      <c r="F31" s="50">
        <f>I31</f>
        <v>45733</v>
      </c>
      <c r="G31" s="131">
        <f>NETWORKDAYS(I31,J31-1,holidays)</f>
        <v>29</v>
      </c>
      <c r="H31" s="51">
        <f>B31</f>
        <v>20</v>
      </c>
      <c r="I31" s="50">
        <f>MIN(I32:I33)</f>
        <v>45733</v>
      </c>
      <c r="J31" s="50">
        <f>MAX(J32:J33)</f>
        <v>45777</v>
      </c>
      <c r="K31" s="124">
        <f t="shared" si="5"/>
        <v>44</v>
      </c>
      <c r="L31" s="53" cm="1">
        <f t="array" aca="1" ref="L31" ca="1">WeightedProgress(L32:L33,G32:G33)</f>
        <v>1</v>
      </c>
      <c r="M31" s="54" cm="1">
        <f t="array" aca="1" ref="M31" ca="1">WeightedProgress(M32:M33,G32:G33)</f>
        <v>1</v>
      </c>
      <c r="N31" s="52">
        <f t="shared" ref="N31" ca="1" si="15">IF(M31&lt;L31,K31,0)</f>
        <v>0</v>
      </c>
      <c r="O31" s="52">
        <f t="shared" ref="O31" ca="1" si="16">IF(M31=1,K31,0)</f>
        <v>44</v>
      </c>
      <c r="P31" s="52">
        <f t="shared" ref="P31" ca="1" si="17">IF(AND(M31&gt;=L31,M31&gt;0,M31&lt;1),K31,0)</f>
        <v>0</v>
      </c>
      <c r="Q31" s="52">
        <f t="shared" ref="Q31" ca="1" si="18">K31-SUM(N31:P31)</f>
        <v>0</v>
      </c>
      <c r="R31" s="55" t="str">
        <f t="shared" ca="1" si="1"/>
        <v>100%</v>
      </c>
      <c r="S31" s="80">
        <f ca="1">SUBTOTAL(103,$R$12:R30)+0.5</f>
        <v>19.5</v>
      </c>
      <c r="T31" s="54">
        <v>0</v>
      </c>
      <c r="U31" s="54"/>
      <c r="V31" s="54"/>
      <c r="W31" s="54"/>
      <c r="X31" s="54"/>
      <c r="Y31" s="54"/>
      <c r="Z31" s="54"/>
      <c r="AA31" s="54"/>
      <c r="AB31" s="54"/>
      <c r="AC31" s="101"/>
      <c r="AD31" s="104"/>
    </row>
    <row r="32" spans="2:30" outlineLevel="1" x14ac:dyDescent="0.3">
      <c r="B32" s="2">
        <f>B31+1</f>
        <v>21</v>
      </c>
      <c r="C32" s="35" t="s">
        <v>78</v>
      </c>
      <c r="D32" s="35" t="s">
        <v>78</v>
      </c>
      <c r="E32" s="35"/>
      <c r="F32" s="4">
        <v>45731</v>
      </c>
      <c r="G32" s="129">
        <v>2</v>
      </c>
      <c r="H32" s="5">
        <f>H31</f>
        <v>20</v>
      </c>
      <c r="I32" s="6">
        <f t="shared" si="4"/>
        <v>45733</v>
      </c>
      <c r="J32" s="6" cm="1">
        <f t="array" ref="J32">FinishDate(I32,G32,holidays)</f>
        <v>45735</v>
      </c>
      <c r="K32" s="122">
        <f t="shared" si="5"/>
        <v>2</v>
      </c>
      <c r="L32" s="27" cm="1">
        <f t="array" aca="1" ref="L32" ca="1">AutoProgress(I32,J32,holidays,$C$5)</f>
        <v>1</v>
      </c>
      <c r="M32" s="28">
        <f t="shared" ref="M32:M33" ca="1" si="19">L32</f>
        <v>1</v>
      </c>
      <c r="N32" s="7">
        <f t="shared" ca="1" si="6"/>
        <v>0</v>
      </c>
      <c r="O32" s="7">
        <f t="shared" ca="1" si="7"/>
        <v>2</v>
      </c>
      <c r="P32" s="7">
        <f t="shared" ca="1" si="8"/>
        <v>0</v>
      </c>
      <c r="Q32" s="7">
        <f t="shared" ca="1" si="9"/>
        <v>0</v>
      </c>
      <c r="R32" s="8" t="str">
        <f t="shared" ca="1" si="1"/>
        <v>100%</v>
      </c>
      <c r="S32" s="78">
        <f ca="1">SUBTOTAL(103,$R$12:R31)+0.5</f>
        <v>20.5</v>
      </c>
      <c r="T32" s="28">
        <f>2/8</f>
        <v>0.25</v>
      </c>
      <c r="U32" s="28"/>
      <c r="V32" s="28"/>
      <c r="W32" s="28"/>
      <c r="X32" s="28"/>
      <c r="Y32" s="28"/>
      <c r="Z32" s="28"/>
      <c r="AA32" s="28"/>
      <c r="AB32" s="28"/>
      <c r="AC32" s="99"/>
      <c r="AD32" s="104"/>
    </row>
    <row r="33" spans="2:30" outlineLevel="1" x14ac:dyDescent="0.3">
      <c r="B33" s="9">
        <f t="shared" si="10"/>
        <v>22</v>
      </c>
      <c r="C33" s="36" t="s">
        <v>49</v>
      </c>
      <c r="D33" s="36" t="s">
        <v>85</v>
      </c>
      <c r="E33" s="36"/>
      <c r="F33" s="10">
        <v>45775</v>
      </c>
      <c r="G33" s="130">
        <v>2</v>
      </c>
      <c r="H33" s="11">
        <f>H32</f>
        <v>20</v>
      </c>
      <c r="I33" s="12">
        <f t="shared" si="4"/>
        <v>45775</v>
      </c>
      <c r="J33" s="12" cm="1">
        <f t="array" ref="J33">FinishDate(I33,G33,holidays)</f>
        <v>45777</v>
      </c>
      <c r="K33" s="123">
        <f t="shared" si="5"/>
        <v>2</v>
      </c>
      <c r="L33" s="29" cm="1">
        <f t="array" aca="1" ref="L33" ca="1">AutoProgress(I33,J33,holidays,$C$5)</f>
        <v>1</v>
      </c>
      <c r="M33" s="30">
        <f t="shared" ca="1" si="19"/>
        <v>1</v>
      </c>
      <c r="N33" s="13">
        <f t="shared" ca="1" si="6"/>
        <v>0</v>
      </c>
      <c r="O33" s="13">
        <f t="shared" ca="1" si="7"/>
        <v>2</v>
      </c>
      <c r="P33" s="13">
        <f t="shared" ca="1" si="8"/>
        <v>0</v>
      </c>
      <c r="Q33" s="13">
        <f t="shared" ca="1" si="9"/>
        <v>0</v>
      </c>
      <c r="R33" s="14" t="str">
        <f t="shared" ca="1" si="1"/>
        <v>100%</v>
      </c>
      <c r="S33" s="79">
        <f ca="1">SUBTOTAL(103,$R$12:R32)+0.5</f>
        <v>21.5</v>
      </c>
      <c r="T33" s="30">
        <f>2/8</f>
        <v>0.25</v>
      </c>
      <c r="U33" s="30"/>
      <c r="V33" s="30"/>
      <c r="W33" s="30"/>
      <c r="X33" s="30"/>
      <c r="Y33" s="30"/>
      <c r="Z33" s="30"/>
      <c r="AA33" s="30"/>
      <c r="AB33" s="30"/>
      <c r="AC33" s="100"/>
      <c r="AD33" s="104"/>
    </row>
    <row r="34" spans="2:30" x14ac:dyDescent="0.3">
      <c r="B34" s="48">
        <f>B33+1</f>
        <v>23</v>
      </c>
      <c r="C34" s="49" t="s">
        <v>84</v>
      </c>
      <c r="D34" s="49" t="s">
        <v>137</v>
      </c>
      <c r="E34" s="49"/>
      <c r="F34" s="50">
        <f>I34</f>
        <v>45691</v>
      </c>
      <c r="G34" s="131">
        <f>NETWORKDAYS(I34,J34-1,holidays)</f>
        <v>96</v>
      </c>
      <c r="H34" s="51">
        <f>B34</f>
        <v>23</v>
      </c>
      <c r="I34" s="50">
        <f>MIN(I35:I38)</f>
        <v>45691</v>
      </c>
      <c r="J34" s="50">
        <f>MAX(J35:J38)</f>
        <v>45836</v>
      </c>
      <c r="K34" s="124">
        <f t="shared" si="5"/>
        <v>145</v>
      </c>
      <c r="L34" s="53" cm="1">
        <f t="array" aca="1" ref="L34" ca="1">WeightedProgress(L35:L38,G35:G38)</f>
        <v>0.84615384615384615</v>
      </c>
      <c r="M34" s="54" cm="1">
        <f t="array" aca="1" ref="M34" ca="1">WeightedProgress(M35:M38,G35:G38)</f>
        <v>0.84615384615384615</v>
      </c>
      <c r="N34" s="52">
        <f t="shared" ref="N34" ca="1" si="20">IF(M34&lt;L34,K34,0)</f>
        <v>0</v>
      </c>
      <c r="O34" s="52">
        <f t="shared" ref="O34" ca="1" si="21">IF(M34=1,K34,0)</f>
        <v>0</v>
      </c>
      <c r="P34" s="52">
        <f t="shared" ref="P34" ca="1" si="22">IF(AND(M34&gt;=L34,M34&gt;0,M34&lt;1),K34,0)</f>
        <v>145</v>
      </c>
      <c r="Q34" s="52">
        <f t="shared" ref="Q34" ca="1" si="23">K34-SUM(N34:P34)</f>
        <v>0</v>
      </c>
      <c r="R34" s="55" t="str">
        <f t="shared" ca="1" si="1"/>
        <v>85% (85%)</v>
      </c>
      <c r="S34" s="80">
        <f ca="1">SUBTOTAL(103,$R$12:R33)+0.5</f>
        <v>22.5</v>
      </c>
      <c r="T34" s="54">
        <v>0</v>
      </c>
      <c r="U34" s="54"/>
      <c r="V34" s="54"/>
      <c r="W34" s="54"/>
      <c r="X34" s="54"/>
      <c r="Y34" s="54"/>
      <c r="Z34" s="54"/>
      <c r="AA34" s="54"/>
      <c r="AB34" s="54"/>
      <c r="AC34" s="101"/>
      <c r="AD34" s="104"/>
    </row>
    <row r="35" spans="2:30" outlineLevel="1" x14ac:dyDescent="0.3">
      <c r="B35" s="2">
        <f>B34+1</f>
        <v>24</v>
      </c>
      <c r="C35" s="35" t="s">
        <v>83</v>
      </c>
      <c r="D35" s="35" t="str">
        <f>C35</f>
        <v>Kick-Off meetings</v>
      </c>
      <c r="E35" s="35"/>
      <c r="F35" s="4">
        <v>45691</v>
      </c>
      <c r="G35" s="129">
        <v>2</v>
      </c>
      <c r="H35" s="5">
        <f>H34</f>
        <v>23</v>
      </c>
      <c r="I35" s="6">
        <f t="shared" si="4"/>
        <v>45691</v>
      </c>
      <c r="J35" s="6" cm="1">
        <f t="array" ref="J35">FinishDate(I35,G35,holidays)</f>
        <v>45693</v>
      </c>
      <c r="K35" s="122">
        <f t="shared" si="5"/>
        <v>2</v>
      </c>
      <c r="L35" s="27" cm="1">
        <f t="array" aca="1" ref="L35" ca="1">AutoProgress(I35,J35,holidays,$C$5)</f>
        <v>1</v>
      </c>
      <c r="M35" s="28">
        <f t="shared" ref="M35:M38" ca="1" si="24">L35</f>
        <v>1</v>
      </c>
      <c r="N35" s="7">
        <f t="shared" ca="1" si="6"/>
        <v>0</v>
      </c>
      <c r="O35" s="7">
        <f t="shared" ca="1" si="7"/>
        <v>2</v>
      </c>
      <c r="P35" s="7">
        <f t="shared" ca="1" si="8"/>
        <v>0</v>
      </c>
      <c r="Q35" s="7">
        <f t="shared" ca="1" si="9"/>
        <v>0</v>
      </c>
      <c r="R35" s="8" t="str">
        <f t="shared" ca="1" si="1"/>
        <v>100%</v>
      </c>
      <c r="S35" s="78">
        <f ca="1">SUBTOTAL(103,$R$12:R34)+0.5</f>
        <v>23.5</v>
      </c>
      <c r="T35" s="28">
        <f>2/8</f>
        <v>0.25</v>
      </c>
      <c r="U35" s="28"/>
      <c r="V35" s="28"/>
      <c r="W35" s="28"/>
      <c r="X35" s="28"/>
      <c r="Y35" s="28"/>
      <c r="Z35" s="28"/>
      <c r="AA35" s="28"/>
      <c r="AB35" s="28"/>
      <c r="AC35" s="99"/>
      <c r="AD35" s="104"/>
    </row>
    <row r="36" spans="2:30" outlineLevel="1" x14ac:dyDescent="0.3">
      <c r="B36" s="2">
        <f t="shared" si="10"/>
        <v>25</v>
      </c>
      <c r="C36" s="35" t="s">
        <v>91</v>
      </c>
      <c r="D36" s="35" t="s">
        <v>89</v>
      </c>
      <c r="E36" s="35"/>
      <c r="F36" s="4">
        <v>45751</v>
      </c>
      <c r="G36" s="129">
        <v>4</v>
      </c>
      <c r="H36" s="5">
        <f>H35</f>
        <v>23</v>
      </c>
      <c r="I36" s="6">
        <f t="shared" si="4"/>
        <v>45751</v>
      </c>
      <c r="J36" s="6" cm="1">
        <f t="array" ref="J36">FinishDate(I36,G36,holidays)</f>
        <v>45758</v>
      </c>
      <c r="K36" s="122">
        <f t="shared" si="5"/>
        <v>7</v>
      </c>
      <c r="L36" s="27" cm="1">
        <f t="array" aca="1" ref="L36" ca="1">AutoProgress(I36,J36,holidays,$C$5)</f>
        <v>1</v>
      </c>
      <c r="M36" s="28">
        <f t="shared" ca="1" si="24"/>
        <v>1</v>
      </c>
      <c r="N36" s="7">
        <f t="shared" ca="1" si="6"/>
        <v>0</v>
      </c>
      <c r="O36" s="7">
        <f t="shared" ca="1" si="7"/>
        <v>7</v>
      </c>
      <c r="P36" s="7">
        <f t="shared" ca="1" si="8"/>
        <v>0</v>
      </c>
      <c r="Q36" s="7">
        <f t="shared" ca="1" si="9"/>
        <v>0</v>
      </c>
      <c r="R36" s="8" t="str">
        <f t="shared" ca="1" si="1"/>
        <v>100%</v>
      </c>
      <c r="S36" s="78">
        <f ca="1">SUBTOTAL(103,$R$12:R35)+0.5</f>
        <v>24.5</v>
      </c>
      <c r="T36" s="28">
        <v>1</v>
      </c>
      <c r="U36" s="28"/>
      <c r="V36" s="28"/>
      <c r="W36" s="28"/>
      <c r="X36" s="28"/>
      <c r="Y36" s="28"/>
      <c r="Z36" s="28"/>
      <c r="AA36" s="28"/>
      <c r="AB36" s="28"/>
      <c r="AC36" s="99"/>
      <c r="AD36" s="104"/>
    </row>
    <row r="37" spans="2:30" outlineLevel="1" x14ac:dyDescent="0.3">
      <c r="B37" s="2">
        <f t="shared" si="10"/>
        <v>26</v>
      </c>
      <c r="C37" s="35" t="s">
        <v>50</v>
      </c>
      <c r="D37" s="35" t="s">
        <v>82</v>
      </c>
      <c r="E37" s="35"/>
      <c r="F37" s="4">
        <v>45796</v>
      </c>
      <c r="G37" s="129">
        <v>5</v>
      </c>
      <c r="H37" s="5">
        <f>H36</f>
        <v>23</v>
      </c>
      <c r="I37" s="6">
        <f t="shared" si="4"/>
        <v>45796</v>
      </c>
      <c r="J37" s="6" cm="1">
        <f t="array" ref="J37">FinishDate(I37,G37,holidays)</f>
        <v>45801</v>
      </c>
      <c r="K37" s="122">
        <f t="shared" si="5"/>
        <v>5</v>
      </c>
      <c r="L37" s="27" cm="1">
        <f t="array" aca="1" ref="L37" ca="1">AutoProgress(I37,J37,holidays,$C$5)</f>
        <v>1</v>
      </c>
      <c r="M37" s="28">
        <v>1</v>
      </c>
      <c r="N37" s="7">
        <f t="shared" ca="1" si="6"/>
        <v>0</v>
      </c>
      <c r="O37" s="7">
        <f t="shared" si="7"/>
        <v>5</v>
      </c>
      <c r="P37" s="7">
        <f t="shared" ca="1" si="8"/>
        <v>0</v>
      </c>
      <c r="Q37" s="7">
        <f t="shared" ca="1" si="9"/>
        <v>0</v>
      </c>
      <c r="R37" s="8" t="str">
        <f t="shared" si="1"/>
        <v>100%</v>
      </c>
      <c r="S37" s="78">
        <f ca="1">SUBTOTAL(103,$R$12:R36)+0.5</f>
        <v>25.5</v>
      </c>
      <c r="T37" s="28">
        <v>1</v>
      </c>
      <c r="U37" s="28"/>
      <c r="V37" s="28"/>
      <c r="W37" s="28"/>
      <c r="X37" s="28"/>
      <c r="Y37" s="28"/>
      <c r="Z37" s="28"/>
      <c r="AA37" s="28"/>
      <c r="AB37" s="28"/>
      <c r="AC37" s="99"/>
      <c r="AD37" s="104"/>
    </row>
    <row r="38" spans="2:30" outlineLevel="1" x14ac:dyDescent="0.3">
      <c r="B38" s="9">
        <f t="shared" si="10"/>
        <v>27</v>
      </c>
      <c r="C38" s="36" t="s">
        <v>51</v>
      </c>
      <c r="D38" s="36" t="s">
        <v>81</v>
      </c>
      <c r="E38" s="36"/>
      <c r="F38" s="10">
        <v>45834</v>
      </c>
      <c r="G38" s="130">
        <v>2</v>
      </c>
      <c r="H38" s="11">
        <f>H37</f>
        <v>23</v>
      </c>
      <c r="I38" s="12">
        <f t="shared" si="4"/>
        <v>45834</v>
      </c>
      <c r="J38" s="12" cm="1">
        <f t="array" ref="J38">FinishDate(I38,G38,holidays)</f>
        <v>45836</v>
      </c>
      <c r="K38" s="123">
        <f t="shared" si="5"/>
        <v>2</v>
      </c>
      <c r="L38" s="29" cm="1">
        <f t="array" aca="1" ref="L38" ca="1">AutoProgress(I38,J38,holidays,$C$5)</f>
        <v>0</v>
      </c>
      <c r="M38" s="30">
        <f t="shared" ca="1" si="24"/>
        <v>0</v>
      </c>
      <c r="N38" s="13">
        <f t="shared" ca="1" si="6"/>
        <v>0</v>
      </c>
      <c r="O38" s="13">
        <f t="shared" ca="1" si="7"/>
        <v>0</v>
      </c>
      <c r="P38" s="13">
        <f t="shared" ca="1" si="8"/>
        <v>0</v>
      </c>
      <c r="Q38" s="13">
        <f t="shared" ca="1" si="9"/>
        <v>2</v>
      </c>
      <c r="R38" s="14" t="str">
        <f t="shared" ca="1" si="1"/>
        <v>0%</v>
      </c>
      <c r="S38" s="79">
        <f ca="1">SUBTOTAL(103,$R$12:R37)+0.5</f>
        <v>26.5</v>
      </c>
      <c r="T38" s="30">
        <f>2/8</f>
        <v>0.25</v>
      </c>
      <c r="U38" s="30"/>
      <c r="V38" s="30"/>
      <c r="W38" s="30"/>
      <c r="X38" s="30"/>
      <c r="Y38" s="30"/>
      <c r="Z38" s="30"/>
      <c r="AA38" s="30"/>
      <c r="AB38" s="30"/>
      <c r="AC38" s="100"/>
      <c r="AD38" s="104"/>
    </row>
    <row r="39" spans="2:30" x14ac:dyDescent="0.3">
      <c r="B39" s="48">
        <f>B38+1</f>
        <v>28</v>
      </c>
      <c r="C39" s="49" t="s">
        <v>52</v>
      </c>
      <c r="D39" s="49" t="s">
        <v>138</v>
      </c>
      <c r="E39" s="49"/>
      <c r="F39" s="50">
        <f>I39</f>
        <v>45733</v>
      </c>
      <c r="G39" s="131">
        <f>NETWORKDAYS(I39,J39-1,holidays)</f>
        <v>78</v>
      </c>
      <c r="H39" s="51">
        <f>B39</f>
        <v>28</v>
      </c>
      <c r="I39" s="50">
        <f>MIN(I40:I44)</f>
        <v>45733</v>
      </c>
      <c r="J39" s="50">
        <f>MAX(J40:J44)</f>
        <v>45854</v>
      </c>
      <c r="K39" s="124">
        <f t="shared" si="5"/>
        <v>121</v>
      </c>
      <c r="L39" s="53" cm="1">
        <f t="array" aca="1" ref="L39" ca="1">WeightedProgress(L40:L44,G40:G44)</f>
        <v>0.33333333333333331</v>
      </c>
      <c r="M39" s="54" cm="1">
        <f t="array" aca="1" ref="M39" ca="1">WeightedProgress(M40:M44,G40:G44)</f>
        <v>0.33333333333333331</v>
      </c>
      <c r="N39" s="52">
        <f t="shared" ca="1" si="6"/>
        <v>0</v>
      </c>
      <c r="O39" s="52">
        <f t="shared" ca="1" si="7"/>
        <v>0</v>
      </c>
      <c r="P39" s="52">
        <f t="shared" ca="1" si="8"/>
        <v>121</v>
      </c>
      <c r="Q39" s="52">
        <f t="shared" ca="1" si="9"/>
        <v>0</v>
      </c>
      <c r="R39" s="55" t="str">
        <f t="shared" ca="1" si="1"/>
        <v>33% (33%)</v>
      </c>
      <c r="S39" s="80">
        <f ca="1">SUBTOTAL(103,$R$12:R38)+0.5</f>
        <v>27.5</v>
      </c>
      <c r="T39" s="54">
        <v>0</v>
      </c>
      <c r="U39" s="54"/>
      <c r="V39" s="54"/>
      <c r="W39" s="54"/>
      <c r="X39" s="54"/>
      <c r="Y39" s="54"/>
      <c r="Z39" s="54"/>
      <c r="AA39" s="54"/>
      <c r="AB39" s="54"/>
      <c r="AC39" s="101"/>
      <c r="AD39" s="104"/>
    </row>
    <row r="40" spans="2:30" outlineLevel="1" x14ac:dyDescent="0.3">
      <c r="B40" s="2">
        <f>B39+1</f>
        <v>29</v>
      </c>
      <c r="C40" s="35" t="s">
        <v>78</v>
      </c>
      <c r="D40" s="35" t="str">
        <f>C40</f>
        <v>Kick-Off meeting</v>
      </c>
      <c r="E40" s="35"/>
      <c r="F40" s="4">
        <v>45733</v>
      </c>
      <c r="G40" s="129">
        <v>2</v>
      </c>
      <c r="H40" s="5">
        <f>H39</f>
        <v>28</v>
      </c>
      <c r="I40" s="6">
        <f t="shared" si="4"/>
        <v>45733</v>
      </c>
      <c r="J40" s="6" cm="1">
        <f t="array" ref="J40">FinishDate(I40,G40,holidays)</f>
        <v>45735</v>
      </c>
      <c r="K40" s="122">
        <f t="shared" si="5"/>
        <v>2</v>
      </c>
      <c r="L40" s="27" cm="1">
        <f t="array" aca="1" ref="L40" ca="1">AutoProgress(I40,J40,holidays,$C$5)</f>
        <v>1</v>
      </c>
      <c r="M40" s="28">
        <f t="shared" ref="M40:M44" ca="1" si="25">L40</f>
        <v>1</v>
      </c>
      <c r="N40" s="7">
        <f t="shared" ca="1" si="6"/>
        <v>0</v>
      </c>
      <c r="O40" s="7">
        <f t="shared" ca="1" si="7"/>
        <v>2</v>
      </c>
      <c r="P40" s="7">
        <f t="shared" ca="1" si="8"/>
        <v>0</v>
      </c>
      <c r="Q40" s="7">
        <f t="shared" ca="1" si="9"/>
        <v>0</v>
      </c>
      <c r="R40" s="8" t="str">
        <f t="shared" ca="1" si="1"/>
        <v>100%</v>
      </c>
      <c r="S40" s="78">
        <f ca="1">SUBTOTAL(103,$R$12:R39)+0.5</f>
        <v>28.5</v>
      </c>
      <c r="T40" s="28">
        <v>0.25</v>
      </c>
      <c r="U40" s="28"/>
      <c r="V40" s="28"/>
      <c r="W40" s="28"/>
      <c r="X40" s="28"/>
      <c r="Y40" s="28"/>
      <c r="Z40" s="28"/>
      <c r="AA40" s="28"/>
      <c r="AB40" s="28"/>
      <c r="AC40" s="99"/>
      <c r="AD40" s="104"/>
    </row>
    <row r="41" spans="2:30" outlineLevel="1" x14ac:dyDescent="0.3">
      <c r="B41" s="2">
        <f t="shared" si="10"/>
        <v>30</v>
      </c>
      <c r="C41" s="35" t="s">
        <v>53</v>
      </c>
      <c r="D41" s="35" t="s">
        <v>131</v>
      </c>
      <c r="E41" s="35"/>
      <c r="F41" s="4">
        <v>45803</v>
      </c>
      <c r="G41" s="129">
        <v>10</v>
      </c>
      <c r="H41" s="5">
        <f>H40</f>
        <v>28</v>
      </c>
      <c r="I41" s="6">
        <f t="shared" si="4"/>
        <v>45803</v>
      </c>
      <c r="J41" s="6" cm="1">
        <f t="array" ref="J41">FinishDate(I41,G41,holidays)</f>
        <v>45819</v>
      </c>
      <c r="K41" s="122">
        <f t="shared" si="5"/>
        <v>16</v>
      </c>
      <c r="L41" s="27" cm="1">
        <f t="array" aca="1" ref="L41" ca="1">AutoProgress(I41,J41,holidays,$C$5)</f>
        <v>0.6</v>
      </c>
      <c r="M41" s="28">
        <f t="shared" ca="1" si="25"/>
        <v>0.6</v>
      </c>
      <c r="N41" s="7">
        <f t="shared" ca="1" si="6"/>
        <v>0</v>
      </c>
      <c r="O41" s="7">
        <f t="shared" ca="1" si="7"/>
        <v>0</v>
      </c>
      <c r="P41" s="7">
        <f t="shared" ca="1" si="8"/>
        <v>16</v>
      </c>
      <c r="Q41" s="7">
        <f t="shared" ca="1" si="9"/>
        <v>0</v>
      </c>
      <c r="R41" s="8" t="str">
        <f t="shared" ca="1" si="1"/>
        <v>60% (60%)</v>
      </c>
      <c r="S41" s="78">
        <f ca="1">SUBTOTAL(103,$R$12:R40)+0.5</f>
        <v>29.5</v>
      </c>
      <c r="T41" s="28">
        <f>1/8</f>
        <v>0.125</v>
      </c>
      <c r="U41" s="28"/>
      <c r="V41" s="28"/>
      <c r="W41" s="28"/>
      <c r="X41" s="28"/>
      <c r="Y41" s="28"/>
      <c r="Z41" s="28"/>
      <c r="AA41" s="28"/>
      <c r="AB41" s="28"/>
      <c r="AC41" s="99"/>
      <c r="AD41" s="104"/>
    </row>
    <row r="42" spans="2:30" outlineLevel="1" x14ac:dyDescent="0.3">
      <c r="B42" s="2">
        <f t="shared" si="10"/>
        <v>31</v>
      </c>
      <c r="C42" s="35" t="s">
        <v>54</v>
      </c>
      <c r="D42" s="35" t="s">
        <v>130</v>
      </c>
      <c r="E42" s="35"/>
      <c r="F42" s="4">
        <v>45824</v>
      </c>
      <c r="G42" s="129">
        <v>10</v>
      </c>
      <c r="H42" s="5">
        <f>H41</f>
        <v>28</v>
      </c>
      <c r="I42" s="6">
        <f t="shared" si="4"/>
        <v>45824</v>
      </c>
      <c r="J42" s="6" cm="1">
        <f t="array" ref="J42">FinishDate(I42,G42,holidays)</f>
        <v>45836</v>
      </c>
      <c r="K42" s="122">
        <f t="shared" si="5"/>
        <v>12</v>
      </c>
      <c r="L42" s="27" cm="1">
        <f t="array" aca="1" ref="L42" ca="1">AutoProgress(I42,J42,holidays,$C$5)</f>
        <v>0</v>
      </c>
      <c r="M42" s="28">
        <f t="shared" ca="1" si="25"/>
        <v>0</v>
      </c>
      <c r="N42" s="7">
        <f t="shared" ca="1" si="6"/>
        <v>0</v>
      </c>
      <c r="O42" s="7">
        <f t="shared" ca="1" si="7"/>
        <v>0</v>
      </c>
      <c r="P42" s="7">
        <f t="shared" ca="1" si="8"/>
        <v>0</v>
      </c>
      <c r="Q42" s="7">
        <f t="shared" ca="1" si="9"/>
        <v>12</v>
      </c>
      <c r="R42" s="8" t="str">
        <f t="shared" ca="1" si="1"/>
        <v>0%</v>
      </c>
      <c r="S42" s="78">
        <f ca="1">SUBTOTAL(103,$R$12:R41)+0.5</f>
        <v>30.5</v>
      </c>
      <c r="T42" s="28">
        <f>1/8</f>
        <v>0.125</v>
      </c>
      <c r="U42" s="28"/>
      <c r="V42" s="28"/>
      <c r="W42" s="28"/>
      <c r="X42" s="28"/>
      <c r="Y42" s="28"/>
      <c r="Z42" s="28"/>
      <c r="AA42" s="28"/>
      <c r="AB42" s="28"/>
      <c r="AC42" s="99"/>
      <c r="AD42" s="104"/>
    </row>
    <row r="43" spans="2:30" outlineLevel="1" x14ac:dyDescent="0.3">
      <c r="B43" s="2">
        <f t="shared" si="10"/>
        <v>32</v>
      </c>
      <c r="C43" s="35" t="s">
        <v>86</v>
      </c>
      <c r="D43" s="35" t="s">
        <v>94</v>
      </c>
      <c r="E43" s="35"/>
      <c r="F43" s="4">
        <v>45823</v>
      </c>
      <c r="G43" s="129">
        <v>1</v>
      </c>
      <c r="H43" s="5">
        <f>H42</f>
        <v>28</v>
      </c>
      <c r="I43" s="6">
        <f t="shared" si="4"/>
        <v>45824</v>
      </c>
      <c r="J43" s="6" cm="1">
        <f t="array" ref="J43">FinishDate(I43,G43,holidays)</f>
        <v>45825</v>
      </c>
      <c r="K43" s="122">
        <f t="shared" si="5"/>
        <v>1</v>
      </c>
      <c r="L43" s="27" cm="1">
        <f t="array" aca="1" ref="L43" ca="1">AutoProgress(I43,J43,holidays,$C$5)</f>
        <v>0</v>
      </c>
      <c r="M43" s="28">
        <f t="shared" ca="1" si="25"/>
        <v>0</v>
      </c>
      <c r="N43" s="7">
        <f t="shared" ca="1" si="6"/>
        <v>0</v>
      </c>
      <c r="O43" s="7">
        <f t="shared" ca="1" si="7"/>
        <v>0</v>
      </c>
      <c r="P43" s="7">
        <f t="shared" ca="1" si="8"/>
        <v>0</v>
      </c>
      <c r="Q43" s="7">
        <f t="shared" ca="1" si="9"/>
        <v>1</v>
      </c>
      <c r="R43" s="8" t="str">
        <f t="shared" ca="1" si="1"/>
        <v>0%</v>
      </c>
      <c r="S43" s="78">
        <f ca="1">SUBTOTAL(103,$R$12:R42)+0.5</f>
        <v>31.5</v>
      </c>
      <c r="T43" s="28">
        <f>2/8</f>
        <v>0.25</v>
      </c>
      <c r="U43" s="28"/>
      <c r="V43" s="28"/>
      <c r="W43" s="28"/>
      <c r="X43" s="28"/>
      <c r="Y43" s="28"/>
      <c r="Z43" s="28"/>
      <c r="AA43" s="28"/>
      <c r="AB43" s="28"/>
      <c r="AC43" s="99"/>
      <c r="AD43" s="104"/>
    </row>
    <row r="44" spans="2:30" outlineLevel="1" x14ac:dyDescent="0.3">
      <c r="B44" s="9">
        <f t="shared" si="10"/>
        <v>33</v>
      </c>
      <c r="C44" s="36" t="s">
        <v>87</v>
      </c>
      <c r="D44" s="36" t="s">
        <v>95</v>
      </c>
      <c r="E44" s="36"/>
      <c r="F44" s="10">
        <v>45853</v>
      </c>
      <c r="G44" s="130">
        <v>1</v>
      </c>
      <c r="H44" s="11">
        <f>H43</f>
        <v>28</v>
      </c>
      <c r="I44" s="12">
        <f t="shared" si="4"/>
        <v>45853</v>
      </c>
      <c r="J44" s="12" cm="1">
        <f t="array" ref="J44">FinishDate(I44,G44,holidays)</f>
        <v>45854</v>
      </c>
      <c r="K44" s="123">
        <f t="shared" si="5"/>
        <v>1</v>
      </c>
      <c r="L44" s="29" cm="1">
        <f t="array" aca="1" ref="L44" ca="1">AutoProgress(I44,J44,holidays,$C$5)</f>
        <v>0</v>
      </c>
      <c r="M44" s="30">
        <f t="shared" ca="1" si="25"/>
        <v>0</v>
      </c>
      <c r="N44" s="13">
        <f t="shared" ca="1" si="6"/>
        <v>0</v>
      </c>
      <c r="O44" s="13">
        <f t="shared" ca="1" si="7"/>
        <v>0</v>
      </c>
      <c r="P44" s="13">
        <f t="shared" ca="1" si="8"/>
        <v>0</v>
      </c>
      <c r="Q44" s="13">
        <f t="shared" ca="1" si="9"/>
        <v>1</v>
      </c>
      <c r="R44" s="14" t="str">
        <f t="shared" ca="1" si="1"/>
        <v>0%</v>
      </c>
      <c r="S44" s="79">
        <f ca="1">SUBTOTAL(103,$R$12:R43)+0.5</f>
        <v>32.5</v>
      </c>
      <c r="T44" s="30">
        <f>2/8</f>
        <v>0.25</v>
      </c>
      <c r="U44" s="30"/>
      <c r="V44" s="30"/>
      <c r="W44" s="30"/>
      <c r="X44" s="30"/>
      <c r="Y44" s="30"/>
      <c r="Z44" s="30"/>
      <c r="AA44" s="30"/>
      <c r="AB44" s="30"/>
      <c r="AC44" s="100"/>
      <c r="AD44" s="104"/>
    </row>
    <row r="45" spans="2:30" x14ac:dyDescent="0.3">
      <c r="B45" s="48">
        <f>B44+1</f>
        <v>34</v>
      </c>
      <c r="C45" s="49" t="s">
        <v>90</v>
      </c>
      <c r="D45" s="49" t="s">
        <v>139</v>
      </c>
      <c r="E45" s="49"/>
      <c r="F45" s="50">
        <f>I45</f>
        <v>45691</v>
      </c>
      <c r="G45" s="131">
        <f>NETWORKDAYS(I45,J45-1,holidays)</f>
        <v>162</v>
      </c>
      <c r="H45" s="51">
        <f>B45</f>
        <v>34</v>
      </c>
      <c r="I45" s="50">
        <f>MIN(I46:I50)</f>
        <v>45691</v>
      </c>
      <c r="J45" s="50">
        <f>MAX(J46:J50)</f>
        <v>45934</v>
      </c>
      <c r="K45" s="124">
        <f t="shared" si="5"/>
        <v>243</v>
      </c>
      <c r="L45" s="53" cm="1">
        <f t="array" aca="1" ref="L45" ca="1">WeightedProgress(L46:L50,G46:G50)</f>
        <v>0.45454545454545453</v>
      </c>
      <c r="M45" s="54" cm="1">
        <f t="array" aca="1" ref="M45" ca="1">WeightedProgress(M46:M50,G46:G50)</f>
        <v>0.45454545454545453</v>
      </c>
      <c r="N45" s="52">
        <f t="shared" ca="1" si="6"/>
        <v>0</v>
      </c>
      <c r="O45" s="52">
        <f t="shared" ca="1" si="7"/>
        <v>0</v>
      </c>
      <c r="P45" s="52">
        <f t="shared" ca="1" si="8"/>
        <v>243</v>
      </c>
      <c r="Q45" s="52">
        <f t="shared" ca="1" si="9"/>
        <v>0</v>
      </c>
      <c r="R45" s="55" t="str">
        <f t="shared" ca="1" si="1"/>
        <v>45% (45%)</v>
      </c>
      <c r="S45" s="80">
        <f ca="1">SUBTOTAL(103,$R$12:R44)+0.5</f>
        <v>33.5</v>
      </c>
      <c r="T45" s="54">
        <v>0</v>
      </c>
      <c r="U45" s="54"/>
      <c r="V45" s="54"/>
      <c r="W45" s="54"/>
      <c r="X45" s="54"/>
      <c r="Y45" s="54"/>
      <c r="Z45" s="54"/>
      <c r="AA45" s="54"/>
      <c r="AB45" s="54"/>
      <c r="AC45" s="101"/>
      <c r="AD45" s="104"/>
    </row>
    <row r="46" spans="2:30" outlineLevel="1" x14ac:dyDescent="0.3">
      <c r="B46" s="15">
        <f>B45+1</f>
        <v>35</v>
      </c>
      <c r="C46" s="37" t="s">
        <v>78</v>
      </c>
      <c r="D46" s="37" t="str">
        <f>C46</f>
        <v>Kick-Off meeting</v>
      </c>
      <c r="E46" s="37"/>
      <c r="F46" s="16">
        <v>45691</v>
      </c>
      <c r="G46" s="132">
        <v>2</v>
      </c>
      <c r="H46" s="17">
        <f>H45</f>
        <v>34</v>
      </c>
      <c r="I46" s="18">
        <f t="shared" si="4"/>
        <v>45691</v>
      </c>
      <c r="J46" s="18" cm="1">
        <f t="array" ref="J46">FinishDate(I46,G46,holidays)</f>
        <v>45693</v>
      </c>
      <c r="K46" s="125">
        <f t="shared" si="5"/>
        <v>2</v>
      </c>
      <c r="L46" s="31" cm="1">
        <f t="array" aca="1" ref="L46" ca="1">AutoProgress(I46,J46,holidays,$C$5)</f>
        <v>1</v>
      </c>
      <c r="M46" s="32">
        <f t="shared" ref="M46:M50" ca="1" si="26">L46</f>
        <v>1</v>
      </c>
      <c r="N46" s="19">
        <f t="shared" ca="1" si="6"/>
        <v>0</v>
      </c>
      <c r="O46" s="19">
        <f t="shared" ca="1" si="7"/>
        <v>2</v>
      </c>
      <c r="P46" s="19">
        <f t="shared" ca="1" si="8"/>
        <v>0</v>
      </c>
      <c r="Q46" s="19">
        <f t="shared" ca="1" si="9"/>
        <v>0</v>
      </c>
      <c r="R46" s="20" t="str">
        <f t="shared" ca="1" si="1"/>
        <v>100%</v>
      </c>
      <c r="S46" s="81">
        <f ca="1">SUBTOTAL(103,$R$12:R45)+0.5</f>
        <v>34.5</v>
      </c>
      <c r="T46" s="32">
        <f>2/8</f>
        <v>0.25</v>
      </c>
      <c r="U46" s="32"/>
      <c r="V46" s="32"/>
      <c r="W46" s="32"/>
      <c r="X46" s="32"/>
      <c r="Y46" s="32"/>
      <c r="Z46" s="32"/>
      <c r="AA46" s="32"/>
      <c r="AB46" s="32"/>
      <c r="AC46" s="102"/>
      <c r="AD46" s="104"/>
    </row>
    <row r="47" spans="2:30" ht="26" outlineLevel="1" x14ac:dyDescent="0.3">
      <c r="B47" s="2">
        <f t="shared" si="10"/>
        <v>36</v>
      </c>
      <c r="C47" s="35" t="s">
        <v>55</v>
      </c>
      <c r="D47" s="35" t="s">
        <v>98</v>
      </c>
      <c r="E47" s="35"/>
      <c r="F47" s="4">
        <v>45736</v>
      </c>
      <c r="G47" s="129">
        <v>2</v>
      </c>
      <c r="H47" s="5">
        <f>H46</f>
        <v>34</v>
      </c>
      <c r="I47" s="6">
        <f t="shared" si="4"/>
        <v>45736</v>
      </c>
      <c r="J47" s="6" cm="1">
        <f t="array" ref="J47">FinishDate(I47,G47,holidays)</f>
        <v>45738</v>
      </c>
      <c r="K47" s="122">
        <f t="shared" si="5"/>
        <v>2</v>
      </c>
      <c r="L47" s="27" cm="1">
        <f t="array" aca="1" ref="L47" ca="1">AutoProgress(I47,J47,holidays,$C$5)</f>
        <v>1</v>
      </c>
      <c r="M47" s="28">
        <f t="shared" ca="1" si="26"/>
        <v>1</v>
      </c>
      <c r="N47" s="7">
        <f t="shared" ca="1" si="6"/>
        <v>0</v>
      </c>
      <c r="O47" s="7">
        <f t="shared" ca="1" si="7"/>
        <v>2</v>
      </c>
      <c r="P47" s="7">
        <f t="shared" ca="1" si="8"/>
        <v>0</v>
      </c>
      <c r="Q47" s="7">
        <f t="shared" ca="1" si="9"/>
        <v>0</v>
      </c>
      <c r="R47" s="8" t="str">
        <f t="shared" ca="1" si="1"/>
        <v>100%</v>
      </c>
      <c r="S47" s="78">
        <f ca="1">SUBTOTAL(103,$R$12:R46)+0.5</f>
        <v>35.5</v>
      </c>
      <c r="T47" s="28">
        <v>1</v>
      </c>
      <c r="U47" s="28"/>
      <c r="V47" s="28"/>
      <c r="W47" s="28"/>
      <c r="X47" s="28"/>
      <c r="Y47" s="28"/>
      <c r="Z47" s="28"/>
      <c r="AA47" s="28"/>
      <c r="AB47" s="28"/>
      <c r="AC47" s="99"/>
      <c r="AD47" s="104"/>
    </row>
    <row r="48" spans="2:30" outlineLevel="1" x14ac:dyDescent="0.3">
      <c r="B48" s="2">
        <f t="shared" si="10"/>
        <v>37</v>
      </c>
      <c r="C48" s="35" t="s">
        <v>97</v>
      </c>
      <c r="D48" s="35" t="s">
        <v>99</v>
      </c>
      <c r="E48" s="35"/>
      <c r="F48" s="4">
        <v>45798</v>
      </c>
      <c r="G48" s="129">
        <v>1</v>
      </c>
      <c r="H48" s="5">
        <f>H47</f>
        <v>34</v>
      </c>
      <c r="I48" s="6">
        <f t="shared" si="4"/>
        <v>45798</v>
      </c>
      <c r="J48" s="6" cm="1">
        <f t="array" ref="J48">FinishDate(I48,G48,holidays)</f>
        <v>45799</v>
      </c>
      <c r="K48" s="122">
        <f t="shared" si="5"/>
        <v>1</v>
      </c>
      <c r="L48" s="27" cm="1">
        <f t="array" aca="1" ref="L48" ca="1">AutoProgress(I48,J48,holidays,$C$5)</f>
        <v>1</v>
      </c>
      <c r="M48" s="28">
        <f t="shared" ca="1" si="26"/>
        <v>1</v>
      </c>
      <c r="N48" s="7">
        <f t="shared" ca="1" si="6"/>
        <v>0</v>
      </c>
      <c r="O48" s="7">
        <f t="shared" ca="1" si="7"/>
        <v>1</v>
      </c>
      <c r="P48" s="7">
        <f t="shared" ca="1" si="8"/>
        <v>0</v>
      </c>
      <c r="Q48" s="7">
        <f t="shared" ca="1" si="9"/>
        <v>0</v>
      </c>
      <c r="R48" s="8" t="str">
        <f t="shared" ca="1" si="1"/>
        <v>100%</v>
      </c>
      <c r="S48" s="78">
        <f ca="1">SUBTOTAL(103,$R$12:R47)+0.5</f>
        <v>36.5</v>
      </c>
      <c r="T48" s="28">
        <v>1</v>
      </c>
      <c r="U48" s="28"/>
      <c r="V48" s="28"/>
      <c r="W48" s="28"/>
      <c r="X48" s="28"/>
      <c r="Y48" s="28"/>
      <c r="Z48" s="28"/>
      <c r="AA48" s="28"/>
      <c r="AB48" s="28"/>
      <c r="AC48" s="99"/>
      <c r="AD48" s="104"/>
    </row>
    <row r="49" spans="2:30" ht="26" outlineLevel="1" x14ac:dyDescent="0.3">
      <c r="B49" s="2">
        <f t="shared" si="10"/>
        <v>38</v>
      </c>
      <c r="C49" s="35" t="s">
        <v>96</v>
      </c>
      <c r="D49" s="35" t="s">
        <v>100</v>
      </c>
      <c r="E49" s="35"/>
      <c r="F49" s="4">
        <v>45853</v>
      </c>
      <c r="G49" s="129">
        <v>3</v>
      </c>
      <c r="H49" s="5">
        <f>H48</f>
        <v>34</v>
      </c>
      <c r="I49" s="6">
        <f t="shared" si="4"/>
        <v>45853</v>
      </c>
      <c r="J49" s="6" cm="1">
        <f t="array" ref="J49">FinishDate(I49,G49,holidays)</f>
        <v>45856</v>
      </c>
      <c r="K49" s="122">
        <f t="shared" si="5"/>
        <v>3</v>
      </c>
      <c r="L49" s="27" cm="1">
        <f t="array" aca="1" ref="L49" ca="1">AutoProgress(I49,J49,holidays,$C$5)</f>
        <v>0</v>
      </c>
      <c r="M49" s="28">
        <f t="shared" ca="1" si="26"/>
        <v>0</v>
      </c>
      <c r="N49" s="7">
        <f t="shared" ca="1" si="6"/>
        <v>0</v>
      </c>
      <c r="O49" s="7">
        <f t="shared" ca="1" si="7"/>
        <v>0</v>
      </c>
      <c r="P49" s="7">
        <f t="shared" ca="1" si="8"/>
        <v>0</v>
      </c>
      <c r="Q49" s="7">
        <f t="shared" ca="1" si="9"/>
        <v>3</v>
      </c>
      <c r="R49" s="8" t="str">
        <f t="shared" ca="1" si="1"/>
        <v>0%</v>
      </c>
      <c r="S49" s="78">
        <f ca="1">SUBTOTAL(103,$R$12:R48)+0.5</f>
        <v>37.5</v>
      </c>
      <c r="T49" s="28">
        <v>1</v>
      </c>
      <c r="U49" s="28"/>
      <c r="V49" s="28"/>
      <c r="W49" s="28"/>
      <c r="X49" s="28"/>
      <c r="Y49" s="28"/>
      <c r="Z49" s="28"/>
      <c r="AA49" s="28"/>
      <c r="AB49" s="28"/>
      <c r="AC49" s="99"/>
      <c r="AD49" s="104"/>
    </row>
    <row r="50" spans="2:30" outlineLevel="1" x14ac:dyDescent="0.3">
      <c r="B50" s="9">
        <f t="shared" si="10"/>
        <v>39</v>
      </c>
      <c r="C50" s="36" t="s">
        <v>56</v>
      </c>
      <c r="D50" s="36" t="s">
        <v>101</v>
      </c>
      <c r="E50" s="36"/>
      <c r="F50" s="10">
        <v>45931</v>
      </c>
      <c r="G50" s="130">
        <v>3</v>
      </c>
      <c r="H50" s="11">
        <f>H49</f>
        <v>34</v>
      </c>
      <c r="I50" s="12">
        <f t="shared" si="4"/>
        <v>45931</v>
      </c>
      <c r="J50" s="12" cm="1">
        <f t="array" ref="J50">FinishDate(I50,G50,holidays)</f>
        <v>45934</v>
      </c>
      <c r="K50" s="123">
        <f t="shared" si="5"/>
        <v>3</v>
      </c>
      <c r="L50" s="29" cm="1">
        <f t="array" aca="1" ref="L50" ca="1">AutoProgress(I50,J50,holidays,$C$5)</f>
        <v>0</v>
      </c>
      <c r="M50" s="30">
        <f t="shared" ca="1" si="26"/>
        <v>0</v>
      </c>
      <c r="N50" s="13">
        <f t="shared" ca="1" si="6"/>
        <v>0</v>
      </c>
      <c r="O50" s="13">
        <f t="shared" ca="1" si="7"/>
        <v>0</v>
      </c>
      <c r="P50" s="13">
        <f t="shared" ca="1" si="8"/>
        <v>0</v>
      </c>
      <c r="Q50" s="13">
        <f t="shared" ca="1" si="9"/>
        <v>3</v>
      </c>
      <c r="R50" s="14" t="str">
        <f t="shared" ca="1" si="1"/>
        <v>0%</v>
      </c>
      <c r="S50" s="79">
        <f ca="1">SUBTOTAL(103,$R$12:R49)+0.5</f>
        <v>38.5</v>
      </c>
      <c r="T50" s="30">
        <v>1</v>
      </c>
      <c r="U50" s="30"/>
      <c r="V50" s="30"/>
      <c r="W50" s="30"/>
      <c r="X50" s="30"/>
      <c r="Y50" s="30"/>
      <c r="Z50" s="30"/>
      <c r="AA50" s="30"/>
      <c r="AB50" s="30"/>
      <c r="AC50" s="100"/>
      <c r="AD50" s="104"/>
    </row>
    <row r="51" spans="2:30" x14ac:dyDescent="0.3">
      <c r="B51" s="48">
        <f>B50+1</f>
        <v>40</v>
      </c>
      <c r="C51" s="49" t="s">
        <v>103</v>
      </c>
      <c r="D51" s="49" t="s">
        <v>140</v>
      </c>
      <c r="E51" s="49"/>
      <c r="F51" s="50">
        <f>I51</f>
        <v>45719</v>
      </c>
      <c r="G51" s="131">
        <f>NETWORKDAYS(I51,J51-1,holidays)</f>
        <v>72</v>
      </c>
      <c r="H51" s="51">
        <f>B51</f>
        <v>40</v>
      </c>
      <c r="I51" s="50">
        <f>MIN(I52:I56)</f>
        <v>45719</v>
      </c>
      <c r="J51" s="50">
        <f>MAX(J52:J56)</f>
        <v>45829</v>
      </c>
      <c r="K51" s="124">
        <f t="shared" ref="K51:K56" si="27">J51-I51</f>
        <v>110</v>
      </c>
      <c r="L51" s="53" cm="1">
        <f t="array" aca="1" ref="L51" ca="1">WeightedProgress(L52:L56,G52:G56)</f>
        <v>0.6</v>
      </c>
      <c r="M51" s="54" cm="1">
        <f t="array" aca="1" ref="M51" ca="1">WeightedProgress(M52:M56,G52:G56)</f>
        <v>0.6</v>
      </c>
      <c r="N51" s="52">
        <f t="shared" ref="N51:N56" ca="1" si="28">IF(M51&lt;L51,K51,0)</f>
        <v>0</v>
      </c>
      <c r="O51" s="52">
        <f t="shared" ref="O51:O56" ca="1" si="29">IF(M51=1,K51,0)</f>
        <v>0</v>
      </c>
      <c r="P51" s="52">
        <f t="shared" ref="P51:P56" ca="1" si="30">IF(AND(M51&gt;=L51,M51&gt;0,M51&lt;1),K51,0)</f>
        <v>110</v>
      </c>
      <c r="Q51" s="52">
        <f t="shared" ref="Q51:Q56" ca="1" si="31">K51-SUM(N51:P51)</f>
        <v>0</v>
      </c>
      <c r="R51" s="55" t="str">
        <f t="shared" ca="1" si="1"/>
        <v>60% (60%)</v>
      </c>
      <c r="S51" s="80">
        <f ca="1">SUBTOTAL(103,$R$12:R50)+0.5</f>
        <v>39.5</v>
      </c>
      <c r="T51" s="54">
        <v>0</v>
      </c>
      <c r="U51" s="54"/>
      <c r="V51" s="54"/>
      <c r="W51" s="54"/>
      <c r="X51" s="54"/>
      <c r="Y51" s="54"/>
      <c r="Z51" s="54"/>
      <c r="AA51" s="54"/>
      <c r="AB51" s="54"/>
      <c r="AC51" s="101"/>
      <c r="AD51" s="104"/>
    </row>
    <row r="52" spans="2:30" ht="26" outlineLevel="1" x14ac:dyDescent="0.3">
      <c r="B52" s="2">
        <f>B51+1</f>
        <v>41</v>
      </c>
      <c r="C52" s="35" t="s">
        <v>106</v>
      </c>
      <c r="D52" s="35" t="s">
        <v>104</v>
      </c>
      <c r="E52" s="35"/>
      <c r="F52" s="4">
        <v>45717</v>
      </c>
      <c r="G52" s="129">
        <v>10</v>
      </c>
      <c r="H52" s="5">
        <f>H51</f>
        <v>40</v>
      </c>
      <c r="I52" s="6">
        <f t="shared" ref="I52:I56" si="32">IFERROR(WORKDAY(F52-1,1,holidays),0)</f>
        <v>45719</v>
      </c>
      <c r="J52" s="6" cm="1">
        <f t="array" ref="J52">FinishDate(I52,G52,holidays)</f>
        <v>45731</v>
      </c>
      <c r="K52" s="122">
        <f t="shared" si="27"/>
        <v>12</v>
      </c>
      <c r="L52" s="27" cm="1">
        <f t="array" aca="1" ref="L52" ca="1">AutoProgress(I52,J52,holidays,$C$5)</f>
        <v>1</v>
      </c>
      <c r="M52" s="28">
        <f t="shared" ref="M52:M56" ca="1" si="33">L52</f>
        <v>1</v>
      </c>
      <c r="N52" s="7">
        <f t="shared" ca="1" si="28"/>
        <v>0</v>
      </c>
      <c r="O52" s="7">
        <f t="shared" ca="1" si="29"/>
        <v>12</v>
      </c>
      <c r="P52" s="7">
        <f t="shared" ca="1" si="30"/>
        <v>0</v>
      </c>
      <c r="Q52" s="7">
        <f t="shared" ca="1" si="31"/>
        <v>0</v>
      </c>
      <c r="R52" s="8" t="str">
        <f t="shared" ca="1" si="1"/>
        <v>100%</v>
      </c>
      <c r="S52" s="78">
        <f ca="1">SUBTOTAL(103,$R$12:R51)+0.5</f>
        <v>40.5</v>
      </c>
      <c r="T52" s="28">
        <f>7/8</f>
        <v>0.875</v>
      </c>
      <c r="U52" s="28"/>
      <c r="V52" s="28"/>
      <c r="W52" s="28"/>
      <c r="X52" s="28"/>
      <c r="Y52" s="28"/>
      <c r="Z52" s="28"/>
      <c r="AA52" s="28"/>
      <c r="AB52" s="28"/>
      <c r="AC52" s="99"/>
      <c r="AD52" s="104"/>
    </row>
    <row r="53" spans="2:30" ht="26" outlineLevel="1" x14ac:dyDescent="0.3">
      <c r="B53" s="2">
        <f t="shared" ref="B53:B56" si="34">B52+1</f>
        <v>42</v>
      </c>
      <c r="C53" s="35" t="s">
        <v>107</v>
      </c>
      <c r="D53" s="35" t="s">
        <v>105</v>
      </c>
      <c r="E53" s="35"/>
      <c r="F53" s="4">
        <v>45796</v>
      </c>
      <c r="G53" s="129">
        <v>5</v>
      </c>
      <c r="H53" s="5">
        <f>H52</f>
        <v>40</v>
      </c>
      <c r="I53" s="6">
        <f t="shared" si="32"/>
        <v>45796</v>
      </c>
      <c r="J53" s="6" cm="1">
        <f t="array" ref="J53">FinishDate(I53,G53,holidays)</f>
        <v>45801</v>
      </c>
      <c r="K53" s="122">
        <f t="shared" si="27"/>
        <v>5</v>
      </c>
      <c r="L53" s="27" cm="1">
        <f t="array" aca="1" ref="L53" ca="1">AutoProgress(I53,J53,holidays,$C$5)</f>
        <v>1</v>
      </c>
      <c r="M53" s="28">
        <f t="shared" ca="1" si="33"/>
        <v>1</v>
      </c>
      <c r="N53" s="7">
        <f t="shared" ca="1" si="28"/>
        <v>0</v>
      </c>
      <c r="O53" s="7">
        <f t="shared" ca="1" si="29"/>
        <v>5</v>
      </c>
      <c r="P53" s="7">
        <f t="shared" ca="1" si="30"/>
        <v>0</v>
      </c>
      <c r="Q53" s="7">
        <f t="shared" ca="1" si="31"/>
        <v>0</v>
      </c>
      <c r="R53" s="8" t="str">
        <f t="shared" ca="1" si="1"/>
        <v>100%</v>
      </c>
      <c r="S53" s="78">
        <f ca="1">SUBTOTAL(103,$R$12:R52)+0.5</f>
        <v>41.5</v>
      </c>
      <c r="T53" s="28">
        <f>2/8</f>
        <v>0.25</v>
      </c>
      <c r="U53" s="28"/>
      <c r="V53" s="28"/>
      <c r="W53" s="28"/>
      <c r="X53" s="28"/>
      <c r="Y53" s="28"/>
      <c r="Z53" s="28"/>
      <c r="AA53" s="28"/>
      <c r="AB53" s="28"/>
      <c r="AC53" s="99"/>
      <c r="AD53" s="104"/>
    </row>
    <row r="54" spans="2:30" outlineLevel="1" x14ac:dyDescent="0.3">
      <c r="B54" s="2">
        <f t="shared" si="34"/>
        <v>43</v>
      </c>
      <c r="C54" s="35" t="s">
        <v>128</v>
      </c>
      <c r="D54" s="35" t="s">
        <v>129</v>
      </c>
      <c r="E54" s="35"/>
      <c r="F54" s="4">
        <v>45817</v>
      </c>
      <c r="G54" s="129">
        <v>2</v>
      </c>
      <c r="H54" s="5">
        <f>H53</f>
        <v>40</v>
      </c>
      <c r="I54" s="6">
        <f t="shared" si="32"/>
        <v>45817</v>
      </c>
      <c r="J54" s="6" cm="1">
        <f t="array" ref="J54">FinishDate(I54,G54,holidays)</f>
        <v>45819</v>
      </c>
      <c r="K54" s="122">
        <f t="shared" si="27"/>
        <v>2</v>
      </c>
      <c r="L54" s="27" cm="1">
        <f t="array" aca="1" ref="L54" ca="1">AutoProgress(I54,J54,holidays,$C$5)</f>
        <v>0</v>
      </c>
      <c r="M54" s="28">
        <f t="shared" ca="1" si="33"/>
        <v>0</v>
      </c>
      <c r="N54" s="7">
        <f t="shared" ca="1" si="28"/>
        <v>0</v>
      </c>
      <c r="O54" s="7">
        <f t="shared" ca="1" si="29"/>
        <v>0</v>
      </c>
      <c r="P54" s="7">
        <f t="shared" ca="1" si="30"/>
        <v>0</v>
      </c>
      <c r="Q54" s="7">
        <f t="shared" ca="1" si="31"/>
        <v>2</v>
      </c>
      <c r="R54" s="8" t="str">
        <f t="shared" ca="1" si="1"/>
        <v>0%</v>
      </c>
      <c r="S54" s="78">
        <f ca="1">SUBTOTAL(103,$R$12:R53)+0.5</f>
        <v>42.5</v>
      </c>
      <c r="T54" s="28">
        <f>2/8</f>
        <v>0.25</v>
      </c>
      <c r="U54" s="28"/>
      <c r="V54" s="28"/>
      <c r="W54" s="28"/>
      <c r="X54" s="28"/>
      <c r="Y54" s="28"/>
      <c r="Z54" s="28"/>
      <c r="AA54" s="28"/>
      <c r="AB54" s="28"/>
      <c r="AC54" s="99"/>
      <c r="AD54" s="104"/>
    </row>
    <row r="55" spans="2:30" outlineLevel="1" x14ac:dyDescent="0.3">
      <c r="B55" s="2">
        <f t="shared" si="34"/>
        <v>44</v>
      </c>
      <c r="C55" s="35" t="s">
        <v>108</v>
      </c>
      <c r="D55" s="35" t="s">
        <v>133</v>
      </c>
      <c r="E55" s="35"/>
      <c r="F55" s="4">
        <f>J54</f>
        <v>45819</v>
      </c>
      <c r="G55" s="129">
        <v>3</v>
      </c>
      <c r="H55" s="5">
        <f>H54</f>
        <v>40</v>
      </c>
      <c r="I55" s="6">
        <f t="shared" si="32"/>
        <v>45819</v>
      </c>
      <c r="J55" s="6" cm="1">
        <f t="array" ref="J55">FinishDate(I55,G55,holidays)</f>
        <v>45822</v>
      </c>
      <c r="K55" s="122">
        <f t="shared" si="27"/>
        <v>3</v>
      </c>
      <c r="L55" s="27" cm="1">
        <f t="array" aca="1" ref="L55" ca="1">AutoProgress(I55,J55,holidays,$C$5)</f>
        <v>0</v>
      </c>
      <c r="M55" s="28">
        <f t="shared" ca="1" si="33"/>
        <v>0</v>
      </c>
      <c r="N55" s="7">
        <f t="shared" ca="1" si="28"/>
        <v>0</v>
      </c>
      <c r="O55" s="7">
        <f t="shared" ca="1" si="29"/>
        <v>0</v>
      </c>
      <c r="P55" s="7">
        <f t="shared" ca="1" si="30"/>
        <v>0</v>
      </c>
      <c r="Q55" s="7">
        <f t="shared" ca="1" si="31"/>
        <v>3</v>
      </c>
      <c r="R55" s="8" t="str">
        <f t="shared" ca="1" si="1"/>
        <v>0%</v>
      </c>
      <c r="S55" s="78">
        <f ca="1">SUBTOTAL(103,$R$12:R54)+0.5</f>
        <v>43.5</v>
      </c>
      <c r="T55" s="28">
        <v>1</v>
      </c>
      <c r="U55" s="28"/>
      <c r="V55" s="28"/>
      <c r="W55" s="28"/>
      <c r="X55" s="28"/>
      <c r="Y55" s="28"/>
      <c r="Z55" s="28"/>
      <c r="AA55" s="28"/>
      <c r="AB55" s="28"/>
      <c r="AC55" s="99"/>
      <c r="AD55" s="104"/>
    </row>
    <row r="56" spans="2:30" outlineLevel="1" x14ac:dyDescent="0.3">
      <c r="B56" s="21">
        <f t="shared" si="34"/>
        <v>45</v>
      </c>
      <c r="C56" s="38" t="s">
        <v>109</v>
      </c>
      <c r="D56" s="38" t="s">
        <v>110</v>
      </c>
      <c r="E56" s="38"/>
      <c r="F56" s="22">
        <f>J55</f>
        <v>45822</v>
      </c>
      <c r="G56" s="133">
        <v>5</v>
      </c>
      <c r="H56" s="23">
        <f>H55</f>
        <v>40</v>
      </c>
      <c r="I56" s="24">
        <f t="shared" si="32"/>
        <v>45824</v>
      </c>
      <c r="J56" s="24" cm="1">
        <f t="array" ref="J56">FinishDate(I56,G56,holidays)</f>
        <v>45829</v>
      </c>
      <c r="K56" s="126">
        <f t="shared" si="27"/>
        <v>5</v>
      </c>
      <c r="L56" s="33" cm="1">
        <f t="array" aca="1" ref="L56" ca="1">AutoProgress(I56,J56,holidays,$C$5)</f>
        <v>0</v>
      </c>
      <c r="M56" s="34">
        <f t="shared" ca="1" si="33"/>
        <v>0</v>
      </c>
      <c r="N56" s="25">
        <f t="shared" ca="1" si="28"/>
        <v>0</v>
      </c>
      <c r="O56" s="25">
        <f t="shared" ca="1" si="29"/>
        <v>0</v>
      </c>
      <c r="P56" s="25">
        <f t="shared" ca="1" si="30"/>
        <v>0</v>
      </c>
      <c r="Q56" s="25">
        <f t="shared" ca="1" si="31"/>
        <v>5</v>
      </c>
      <c r="R56" s="26" t="str">
        <f t="shared" ca="1" si="1"/>
        <v>0%</v>
      </c>
      <c r="S56" s="82">
        <f ca="1">SUBTOTAL(103,$R$12:R55)+0.5</f>
        <v>44.5</v>
      </c>
      <c r="T56" s="34">
        <v>1</v>
      </c>
      <c r="U56" s="34"/>
      <c r="V56" s="34"/>
      <c r="W56" s="34"/>
      <c r="X56" s="34"/>
      <c r="Y56" s="34"/>
      <c r="Z56" s="34"/>
      <c r="AA56" s="34"/>
      <c r="AB56" s="34"/>
      <c r="AC56" s="103"/>
      <c r="AD56" s="104"/>
    </row>
    <row r="57" spans="2:30" x14ac:dyDescent="0.3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</row>
  </sheetData>
  <mergeCells count="15">
    <mergeCell ref="T10:AC10"/>
    <mergeCell ref="R10:S10"/>
    <mergeCell ref="E10:E11"/>
    <mergeCell ref="G10:G11"/>
    <mergeCell ref="B10:B11"/>
    <mergeCell ref="C10:C11"/>
    <mergeCell ref="D10:D11"/>
    <mergeCell ref="N10:Q10"/>
    <mergeCell ref="H10:H11"/>
    <mergeCell ref="F10:F11"/>
    <mergeCell ref="I10:I11"/>
    <mergeCell ref="J10:J11"/>
    <mergeCell ref="K10:K11"/>
    <mergeCell ref="L10:L11"/>
    <mergeCell ref="M10:M11"/>
  </mergeCells>
  <phoneticPr fontId="12" type="noConversion"/>
  <conditionalFormatting sqref="B12:H56">
    <cfRule type="containsBlanks" dxfId="3" priority="18">
      <formula>LEN(TRIM(B12))=0</formula>
    </cfRule>
  </conditionalFormatting>
  <conditionalFormatting sqref="T12:AC56">
    <cfRule type="containsBlanks" dxfId="2" priority="19">
      <formula>LEN(TRIM(T12))=0</formula>
    </cfRule>
  </conditionalFormatting>
  <conditionalFormatting sqref="M12:M56">
    <cfRule type="containsBlanks" dxfId="1" priority="1">
      <formula>LEN(TRIM(M12))=0</formula>
    </cfRule>
  </conditionalFormatting>
  <dataValidations count="5">
    <dataValidation allowBlank="1" showErrorMessage="1" sqref="I12:L56 C5:C8 N12:AD56" xr:uid="{99736726-8813-4FF6-AD55-FAE6A42F85DE}"/>
    <dataValidation type="date" allowBlank="1" showErrorMessage="1" sqref="J12:K56 N12:AD56" xr:uid="{898DF574-9917-464F-9CFB-485A1F7D818E}">
      <formula1>45292</formula1>
      <formula2>54789</formula2>
    </dataValidation>
    <dataValidation type="date" allowBlank="1" showErrorMessage="1" sqref="F13:F56" xr:uid="{F640859D-4FE4-4908-83DB-B1B1C734AB98}">
      <formula1>36526</formula1>
      <formula2>219148</formula2>
    </dataValidation>
    <dataValidation type="whole" allowBlank="1" showErrorMessage="1" sqref="G12:H56" xr:uid="{F1C0E0EE-07BD-4BFA-97C2-757ABC618F4F}">
      <formula1>0</formula1>
      <formula2>1000</formula2>
    </dataValidation>
    <dataValidation type="decimal" allowBlank="1" showErrorMessage="1" sqref="M12:M56" xr:uid="{8414890C-126E-456E-A45F-739C71F1FD88}">
      <formula1>0</formula1>
      <formula2>1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ignoredErrors>
    <ignoredError sqref="H2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5" r:id="rId4" name="Button 15">
              <controlPr defaultSize="0" print="0" autoFill="0" autoPict="0" macro="[0]!CreateChart">
                <anchor moveWithCells="1" sizeWithCells="1">
                  <from>
                    <xdr:col>3</xdr:col>
                    <xdr:colOff>95250</xdr:colOff>
                    <xdr:row>1</xdr:row>
                    <xdr:rowOff>165100</xdr:rowOff>
                  </from>
                  <to>
                    <xdr:col>3</xdr:col>
                    <xdr:colOff>1536700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5" name="Button 16">
              <controlPr defaultSize="0" print="0" autoFill="0" autoPict="0" macro="[0]!AutoScaleSecondaryAxis">
                <anchor moveWithCells="1" sizeWithCells="1">
                  <from>
                    <xdr:col>3</xdr:col>
                    <xdr:colOff>95250</xdr:colOff>
                    <xdr:row>4</xdr:row>
                    <xdr:rowOff>19050</xdr:rowOff>
                  </from>
                  <to>
                    <xdr:col>3</xdr:col>
                    <xdr:colOff>1536700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F78F-B179-4692-A26D-2C6ED6FD2313}">
  <sheetPr codeName="Sheet8"/>
  <dimension ref="B2:AC68"/>
  <sheetViews>
    <sheetView showGridLines="0" zoomScaleNormal="100" workbookViewId="0">
      <selection activeCell="K92" sqref="K92"/>
    </sheetView>
  </sheetViews>
  <sheetFormatPr defaultColWidth="8" defaultRowHeight="13" outlineLevelRow="1" x14ac:dyDescent="0.3"/>
  <cols>
    <col min="1" max="1" width="3.58203125" style="1" customWidth="1"/>
    <col min="2" max="2" width="6.58203125" style="1" customWidth="1"/>
    <col min="3" max="3" width="30.58203125" style="1" customWidth="1"/>
    <col min="4" max="6" width="10.58203125" style="1" customWidth="1"/>
    <col min="7" max="29" width="7.58203125" style="1" customWidth="1"/>
    <col min="30" max="16384" width="8" style="1"/>
  </cols>
  <sheetData>
    <row r="2" spans="2:29" ht="15" customHeight="1" x14ac:dyDescent="0.3">
      <c r="B2" s="39" t="s">
        <v>111</v>
      </c>
    </row>
    <row r="3" spans="2:29" ht="15" customHeight="1" x14ac:dyDescent="0.3">
      <c r="B3" s="57" t="s">
        <v>112</v>
      </c>
      <c r="C3" s="58" t="s">
        <v>37</v>
      </c>
    </row>
    <row r="4" spans="2:29" ht="15" customHeight="1" x14ac:dyDescent="0.3">
      <c r="B4" s="61" t="s">
        <v>113</v>
      </c>
      <c r="C4" s="62" t="s">
        <v>114</v>
      </c>
    </row>
    <row r="5" spans="2:29" ht="15" customHeight="1" x14ac:dyDescent="0.3">
      <c r="B5" s="56" t="s">
        <v>115</v>
      </c>
      <c r="C5" s="59">
        <f ca="1">TODAY()</f>
        <v>45813</v>
      </c>
    </row>
    <row r="6" spans="2:29" ht="15" customHeight="1" x14ac:dyDescent="0.3">
      <c r="B6" s="56" t="s">
        <v>40</v>
      </c>
      <c r="C6" s="59">
        <f>MIN(D12:E56)</f>
        <v>45667</v>
      </c>
    </row>
    <row r="7" spans="2:29" ht="15" customHeight="1" x14ac:dyDescent="0.3">
      <c r="B7" s="56" t="s">
        <v>93</v>
      </c>
      <c r="C7" s="59">
        <f>MAX(D12:E56)</f>
        <v>46007</v>
      </c>
    </row>
    <row r="8" spans="2:29" ht="15" customHeight="1" x14ac:dyDescent="0.3">
      <c r="B8" s="60" t="s">
        <v>43</v>
      </c>
      <c r="C8" s="66" t="str">
        <f>TEXT(C7-C6,"#,##0") &amp; " days"</f>
        <v>340 days</v>
      </c>
    </row>
    <row r="9" spans="2:29" ht="15" customHeight="1" x14ac:dyDescent="0.3"/>
    <row r="10" spans="2:29" ht="15" customHeight="1" x14ac:dyDescent="0.3">
      <c r="B10" s="92" t="s">
        <v>46</v>
      </c>
      <c r="C10" s="88" t="s">
        <v>38</v>
      </c>
      <c r="D10" s="88" t="s">
        <v>40</v>
      </c>
      <c r="E10" s="88" t="s">
        <v>93</v>
      </c>
      <c r="F10" s="90" t="s">
        <v>143</v>
      </c>
      <c r="G10" s="135">
        <f>DATE(YEAR($C$6),MONTH($C$6),1)</f>
        <v>45658</v>
      </c>
      <c r="H10" s="135">
        <f>EOMONTH(G10,0)+1</f>
        <v>45689</v>
      </c>
      <c r="I10" s="135">
        <f t="shared" ref="I10:AC10" si="0">EOMONTH(H10,0)+1</f>
        <v>45717</v>
      </c>
      <c r="J10" s="135">
        <f t="shared" si="0"/>
        <v>45748</v>
      </c>
      <c r="K10" s="135">
        <f t="shared" si="0"/>
        <v>45778</v>
      </c>
      <c r="L10" s="135">
        <f t="shared" si="0"/>
        <v>45809</v>
      </c>
      <c r="M10" s="135">
        <f t="shared" si="0"/>
        <v>45839</v>
      </c>
      <c r="N10" s="135">
        <f t="shared" si="0"/>
        <v>45870</v>
      </c>
      <c r="O10" s="135">
        <f t="shared" si="0"/>
        <v>45901</v>
      </c>
      <c r="P10" s="135">
        <f t="shared" si="0"/>
        <v>45931</v>
      </c>
      <c r="Q10" s="135">
        <f t="shared" si="0"/>
        <v>45962</v>
      </c>
      <c r="R10" s="135">
        <f t="shared" si="0"/>
        <v>45992</v>
      </c>
      <c r="S10" s="135">
        <f t="shared" si="0"/>
        <v>46023</v>
      </c>
      <c r="T10" s="135">
        <f t="shared" si="0"/>
        <v>46054</v>
      </c>
      <c r="U10" s="135">
        <f t="shared" si="0"/>
        <v>46082</v>
      </c>
      <c r="V10" s="135">
        <f t="shared" si="0"/>
        <v>46113</v>
      </c>
      <c r="W10" s="135">
        <f t="shared" si="0"/>
        <v>46143</v>
      </c>
      <c r="X10" s="135">
        <f t="shared" si="0"/>
        <v>46174</v>
      </c>
      <c r="Y10" s="135">
        <f t="shared" si="0"/>
        <v>46204</v>
      </c>
      <c r="Z10" s="135">
        <f t="shared" si="0"/>
        <v>46235</v>
      </c>
      <c r="AA10" s="135">
        <f t="shared" si="0"/>
        <v>46266</v>
      </c>
      <c r="AB10" s="135">
        <f t="shared" si="0"/>
        <v>46296</v>
      </c>
      <c r="AC10" s="136">
        <f t="shared" si="0"/>
        <v>46327</v>
      </c>
    </row>
    <row r="11" spans="2:29" ht="15" customHeight="1" x14ac:dyDescent="0.3">
      <c r="B11" s="93"/>
      <c r="C11" s="89"/>
      <c r="D11" s="89"/>
      <c r="E11" s="89"/>
      <c r="F11" s="91"/>
      <c r="G11" s="137">
        <f>NETWORKDAYS(G10,EOMONTH(G10,0),holidays)</f>
        <v>22</v>
      </c>
      <c r="H11" s="137">
        <f>NETWORKDAYS(H10,EOMONTH(H10,0),holidays)</f>
        <v>19</v>
      </c>
      <c r="I11" s="137">
        <f>NETWORKDAYS(I10,EOMONTH(I10,0),holidays)</f>
        <v>21</v>
      </c>
      <c r="J11" s="137">
        <f>NETWORKDAYS(J10,EOMONTH(J10,0),holidays)</f>
        <v>19</v>
      </c>
      <c r="K11" s="137">
        <f>NETWORKDAYS(K10,EOMONTH(K10,0),holidays)</f>
        <v>19</v>
      </c>
      <c r="L11" s="137">
        <f>NETWORKDAYS(L10,EOMONTH(L10,0),holidays)</f>
        <v>19</v>
      </c>
      <c r="M11" s="137">
        <f>NETWORKDAYS(M10,EOMONTH(M10,0),holidays)</f>
        <v>21</v>
      </c>
      <c r="N11" s="137">
        <f>NETWORKDAYS(N10,EOMONTH(N10,0),holidays)</f>
        <v>19</v>
      </c>
      <c r="O11" s="137">
        <f>NETWORKDAYS(O10,EOMONTH(O10,0),holidays)</f>
        <v>22</v>
      </c>
      <c r="P11" s="137">
        <f>NETWORKDAYS(P10,EOMONTH(P10,0),holidays)</f>
        <v>21</v>
      </c>
      <c r="Q11" s="137">
        <f>NETWORKDAYS(Q10,EOMONTH(Q10,0),holidays)</f>
        <v>20</v>
      </c>
      <c r="R11" s="137">
        <f>NETWORKDAYS(R10,EOMONTH(R10,0),holidays)</f>
        <v>20</v>
      </c>
      <c r="S11" s="137">
        <f>NETWORKDAYS(S10,EOMONTH(S10,0),holidays)</f>
        <v>22</v>
      </c>
      <c r="T11" s="137">
        <f>NETWORKDAYS(T10,EOMONTH(T10,0),holidays)</f>
        <v>20</v>
      </c>
      <c r="U11" s="137">
        <f>NETWORKDAYS(U10,EOMONTH(U10,0),holidays)</f>
        <v>22</v>
      </c>
      <c r="V11" s="137">
        <f>NETWORKDAYS(V10,EOMONTH(V10,0),holidays)</f>
        <v>22</v>
      </c>
      <c r="W11" s="137">
        <f>NETWORKDAYS(W10,EOMONTH(W10,0),holidays)</f>
        <v>21</v>
      </c>
      <c r="X11" s="137">
        <f>NETWORKDAYS(X10,EOMONTH(X10,0),holidays)</f>
        <v>22</v>
      </c>
      <c r="Y11" s="137">
        <f>NETWORKDAYS(Y10,EOMONTH(Y10,0),holidays)</f>
        <v>23</v>
      </c>
      <c r="Z11" s="137">
        <f>NETWORKDAYS(Z10,EOMONTH(Z10,0),holidays)</f>
        <v>21</v>
      </c>
      <c r="AA11" s="137">
        <f>NETWORKDAYS(AA10,EOMONTH(AA10,0),holidays)</f>
        <v>22</v>
      </c>
      <c r="AB11" s="137">
        <f>NETWORKDAYS(AB10,EOMONTH(AB10,0),holidays)</f>
        <v>22</v>
      </c>
      <c r="AC11" s="138">
        <f>NETWORKDAYS(AC10,EOMONTH(AC10,0),holidays)</f>
        <v>21</v>
      </c>
    </row>
    <row r="12" spans="2:29" ht="15" customHeight="1" x14ac:dyDescent="0.3">
      <c r="B12" s="68">
        <v>1</v>
      </c>
      <c r="C12" s="69" t="s">
        <v>114</v>
      </c>
      <c r="D12" s="70">
        <v>45667</v>
      </c>
      <c r="E12" s="70">
        <v>46007</v>
      </c>
      <c r="F12" s="127">
        <f>NETWORKDAYS(D12,E12-1,holidays)</f>
        <v>225</v>
      </c>
      <c r="G12" s="118" cm="1">
        <f t="array" ref="G12">CommonWorkdays($D12,$E12,G$10,EOMONTH(G$10,0)+1,holidays)</f>
        <v>16</v>
      </c>
      <c r="H12" s="118" cm="1">
        <f t="array" ref="H12">CommonWorkdays($D12,$E12,H$10,EOMONTH(H$10,0)+1,holidays)</f>
        <v>19</v>
      </c>
      <c r="I12" s="118" cm="1">
        <f t="array" ref="I12">CommonWorkdays($D12,$E12,I$10,EOMONTH(I$10,0)+1,holidays)</f>
        <v>21</v>
      </c>
      <c r="J12" s="118" cm="1">
        <f t="array" ref="J12">CommonWorkdays($D12,$E12,J$10,EOMONTH(J$10,0)+1,holidays)</f>
        <v>19</v>
      </c>
      <c r="K12" s="118" cm="1">
        <f t="array" ref="K12">CommonWorkdays($D12,$E12,K$10,EOMONTH(K$10,0)+1,holidays)</f>
        <v>19</v>
      </c>
      <c r="L12" s="118" cm="1">
        <f t="array" ref="L12">CommonWorkdays($D12,$E12,L$10,EOMONTH(L$10,0)+1,holidays)</f>
        <v>19</v>
      </c>
      <c r="M12" s="118" cm="1">
        <f t="array" ref="M12">CommonWorkdays($D12,$E12,M$10,EOMONTH(M$10,0)+1,holidays)</f>
        <v>21</v>
      </c>
      <c r="N12" s="118" cm="1">
        <f t="array" ref="N12">CommonWorkdays($D12,$E12,N$10,EOMONTH(N$10,0)+1,holidays)</f>
        <v>19</v>
      </c>
      <c r="O12" s="118" cm="1">
        <f t="array" ref="O12">CommonWorkdays($D12,$E12,O$10,EOMONTH(O$10,0)+1,holidays)</f>
        <v>22</v>
      </c>
      <c r="P12" s="118" cm="1">
        <f t="array" ref="P12">CommonWorkdays($D12,$E12,P$10,EOMONTH(P$10,0)+1,holidays)</f>
        <v>21</v>
      </c>
      <c r="Q12" s="118" cm="1">
        <f t="array" ref="Q12">CommonWorkdays($D12,$E12,Q$10,EOMONTH(Q$10,0)+1,holidays)</f>
        <v>20</v>
      </c>
      <c r="R12" s="118" cm="1">
        <f t="array" ref="R12">CommonWorkdays($D12,$E12,R$10,EOMONTH(R$10,0)+1,holidays)</f>
        <v>9</v>
      </c>
      <c r="S12" s="118" cm="1">
        <f t="array" ref="S12">CommonWorkdays($D12,$E12,S$10,EOMONTH(S$10,0)+1,holidays)</f>
        <v>0</v>
      </c>
      <c r="T12" s="118" cm="1">
        <f t="array" ref="T12">CommonWorkdays($D12,$E12,T$10,EOMONTH(T$10,0)+1,holidays)</f>
        <v>0</v>
      </c>
      <c r="U12" s="118" cm="1">
        <f t="array" ref="U12">CommonWorkdays($D12,$E12,U$10,EOMONTH(U$10,0)+1,holidays)</f>
        <v>0</v>
      </c>
      <c r="V12" s="118" cm="1">
        <f t="array" ref="V12">CommonWorkdays($D12,$E12,V$10,EOMONTH(V$10,0)+1,holidays)</f>
        <v>0</v>
      </c>
      <c r="W12" s="118" cm="1">
        <f t="array" ref="W12">CommonWorkdays($D12,$E12,W$10,EOMONTH(W$10,0)+1,holidays)</f>
        <v>0</v>
      </c>
      <c r="X12" s="118" cm="1">
        <f t="array" ref="X12">CommonWorkdays($D12,$E12,X$10,EOMONTH(X$10,0)+1,holidays)</f>
        <v>0</v>
      </c>
      <c r="Y12" s="118" cm="1">
        <f t="array" ref="Y12">CommonWorkdays($D12,$E12,Y$10,EOMONTH(Y$10,0)+1,holidays)</f>
        <v>0</v>
      </c>
      <c r="Z12" s="118" cm="1">
        <f t="array" ref="Z12">CommonWorkdays($D12,$E12,Z$10,EOMONTH(Z$10,0)+1,holidays)</f>
        <v>0</v>
      </c>
      <c r="AA12" s="118" cm="1">
        <f t="array" ref="AA12">CommonWorkdays($D12,$E12,AA$10,EOMONTH(AA$10,0)+1,holidays)</f>
        <v>0</v>
      </c>
      <c r="AB12" s="118" cm="1">
        <f t="array" ref="AB12">CommonWorkdays($D12,$E12,AB$10,EOMONTH(AB$10,0)+1,holidays)</f>
        <v>0</v>
      </c>
      <c r="AC12" s="119" cm="1">
        <f t="array" ref="AC12">CommonWorkdays($D12,$E12,AC$10,EOMONTH(AC$10,0)+1,holidays)</f>
        <v>0</v>
      </c>
    </row>
    <row r="13" spans="2:29" x14ac:dyDescent="0.3">
      <c r="B13" s="40">
        <f t="shared" ref="B13:B18" si="1">B12+1</f>
        <v>2</v>
      </c>
      <c r="C13" s="41" t="s">
        <v>65</v>
      </c>
      <c r="D13" s="42">
        <v>45667</v>
      </c>
      <c r="E13" s="42">
        <v>46007</v>
      </c>
      <c r="F13" s="128">
        <f>NETWORKDAYS(D13,E13-1,holidays)</f>
        <v>225</v>
      </c>
      <c r="G13" s="44" cm="1">
        <f t="array" ref="G13">CommonWorkdays($D13,$E13,G$10,EOMONTH(G$10,0)+1,holidays)</f>
        <v>16</v>
      </c>
      <c r="H13" s="44" cm="1">
        <f t="array" ref="H13">CommonWorkdays($D13,$E13,H$10,EOMONTH(H$10,0)+1,holidays)</f>
        <v>19</v>
      </c>
      <c r="I13" s="44" cm="1">
        <f t="array" ref="I13">CommonWorkdays($D13,$E13,I$10,EOMONTH(I$10,0)+1,holidays)</f>
        <v>21</v>
      </c>
      <c r="J13" s="44" cm="1">
        <f t="array" ref="J13">CommonWorkdays($D13,$E13,J$10,EOMONTH(J$10,0)+1,holidays)</f>
        <v>19</v>
      </c>
      <c r="K13" s="44" cm="1">
        <f t="array" ref="K13">CommonWorkdays($D13,$E13,K$10,EOMONTH(K$10,0)+1,holidays)</f>
        <v>19</v>
      </c>
      <c r="L13" s="44" cm="1">
        <f t="array" ref="L13">CommonWorkdays($D13,$E13,L$10,EOMONTH(L$10,0)+1,holidays)</f>
        <v>19</v>
      </c>
      <c r="M13" s="44" cm="1">
        <f t="array" ref="M13">CommonWorkdays($D13,$E13,M$10,EOMONTH(M$10,0)+1,holidays)</f>
        <v>21</v>
      </c>
      <c r="N13" s="44" cm="1">
        <f t="array" ref="N13">CommonWorkdays($D13,$E13,N$10,EOMONTH(N$10,0)+1,holidays)</f>
        <v>19</v>
      </c>
      <c r="O13" s="44" cm="1">
        <f t="array" ref="O13">CommonWorkdays($D13,$E13,O$10,EOMONTH(O$10,0)+1,holidays)</f>
        <v>22</v>
      </c>
      <c r="P13" s="44" cm="1">
        <f t="array" ref="P13">CommonWorkdays($D13,$E13,P$10,EOMONTH(P$10,0)+1,holidays)</f>
        <v>21</v>
      </c>
      <c r="Q13" s="44" cm="1">
        <f t="array" ref="Q13">CommonWorkdays($D13,$E13,Q$10,EOMONTH(Q$10,0)+1,holidays)</f>
        <v>20</v>
      </c>
      <c r="R13" s="44" cm="1">
        <f t="array" ref="R13">CommonWorkdays($D13,$E13,R$10,EOMONTH(R$10,0)+1,holidays)</f>
        <v>9</v>
      </c>
      <c r="S13" s="44" cm="1">
        <f t="array" ref="S13">CommonWorkdays($D13,$E13,S$10,EOMONTH(S$10,0)+1,holidays)</f>
        <v>0</v>
      </c>
      <c r="T13" s="44" cm="1">
        <f t="array" ref="T13">CommonWorkdays($D13,$E13,T$10,EOMONTH(T$10,0)+1,holidays)</f>
        <v>0</v>
      </c>
      <c r="U13" s="44" cm="1">
        <f t="array" ref="U13">CommonWorkdays($D13,$E13,U$10,EOMONTH(U$10,0)+1,holidays)</f>
        <v>0</v>
      </c>
      <c r="V13" s="44" cm="1">
        <f t="array" ref="V13">CommonWorkdays($D13,$E13,V$10,EOMONTH(V$10,0)+1,holidays)</f>
        <v>0</v>
      </c>
      <c r="W13" s="44" cm="1">
        <f t="array" ref="W13">CommonWorkdays($D13,$E13,W$10,EOMONTH(W$10,0)+1,holidays)</f>
        <v>0</v>
      </c>
      <c r="X13" s="44" cm="1">
        <f t="array" ref="X13">CommonWorkdays($D13,$E13,X$10,EOMONTH(X$10,0)+1,holidays)</f>
        <v>0</v>
      </c>
      <c r="Y13" s="44" cm="1">
        <f t="array" ref="Y13">CommonWorkdays($D13,$E13,Y$10,EOMONTH(Y$10,0)+1,holidays)</f>
        <v>0</v>
      </c>
      <c r="Z13" s="44" cm="1">
        <f t="array" ref="Z13">CommonWorkdays($D13,$E13,Z$10,EOMONTH(Z$10,0)+1,holidays)</f>
        <v>0</v>
      </c>
      <c r="AA13" s="44" cm="1">
        <f t="array" ref="AA13">CommonWorkdays($D13,$E13,AA$10,EOMONTH(AA$10,0)+1,holidays)</f>
        <v>0</v>
      </c>
      <c r="AB13" s="44" cm="1">
        <f t="array" ref="AB13">CommonWorkdays($D13,$E13,AB$10,EOMONTH(AB$10,0)+1,holidays)</f>
        <v>0</v>
      </c>
      <c r="AC13" s="115" cm="1">
        <f t="array" ref="AC13">CommonWorkdays($D13,$E13,AC$10,EOMONTH(AC$10,0)+1,holidays)</f>
        <v>0</v>
      </c>
    </row>
    <row r="14" spans="2:29" hidden="1" outlineLevel="1" x14ac:dyDescent="0.3">
      <c r="B14" s="2">
        <f t="shared" si="1"/>
        <v>3</v>
      </c>
      <c r="C14" s="35" t="s">
        <v>66</v>
      </c>
      <c r="D14" s="6">
        <v>45667</v>
      </c>
      <c r="E14" s="6">
        <v>45672</v>
      </c>
      <c r="F14" s="129">
        <f>NETWORKDAYS(D14,E14-1,holidays)</f>
        <v>3</v>
      </c>
      <c r="G14" s="7" cm="1">
        <f t="array" ref="G14">CommonWorkdays($D14,$E14,G$10,EOMONTH(G$10,0)+1,holidays)</f>
        <v>3</v>
      </c>
      <c r="H14" s="7" cm="1">
        <f t="array" ref="H14">CommonWorkdays($D14,$E14,H$10,EOMONTH(H$10,0)+1,holidays)</f>
        <v>0</v>
      </c>
      <c r="I14" s="7" cm="1">
        <f t="array" ref="I14">CommonWorkdays($D14,$E14,I$10,EOMONTH(I$10,0)+1,holidays)</f>
        <v>0</v>
      </c>
      <c r="J14" s="7" cm="1">
        <f t="array" ref="J14">CommonWorkdays($D14,$E14,J$10,EOMONTH(J$10,0)+1,holidays)</f>
        <v>0</v>
      </c>
      <c r="K14" s="7" cm="1">
        <f t="array" ref="K14">CommonWorkdays($D14,$E14,K$10,EOMONTH(K$10,0)+1,holidays)</f>
        <v>0</v>
      </c>
      <c r="L14" s="7" cm="1">
        <f t="array" ref="L14">CommonWorkdays($D14,$E14,L$10,EOMONTH(L$10,0)+1,holidays)</f>
        <v>0</v>
      </c>
      <c r="M14" s="7" cm="1">
        <f t="array" ref="M14">CommonWorkdays($D14,$E14,M$10,EOMONTH(M$10,0)+1,holidays)</f>
        <v>0</v>
      </c>
      <c r="N14" s="7" cm="1">
        <f t="array" ref="N14">CommonWorkdays($D14,$E14,N$10,EOMONTH(N$10,0)+1,holidays)</f>
        <v>0</v>
      </c>
      <c r="O14" s="7" cm="1">
        <f t="array" ref="O14">CommonWorkdays($D14,$E14,O$10,EOMONTH(O$10,0)+1,holidays)</f>
        <v>0</v>
      </c>
      <c r="P14" s="7" cm="1">
        <f t="array" ref="P14">CommonWorkdays($D14,$E14,P$10,EOMONTH(P$10,0)+1,holidays)</f>
        <v>0</v>
      </c>
      <c r="Q14" s="7" cm="1">
        <f t="array" ref="Q14">CommonWorkdays($D14,$E14,Q$10,EOMONTH(Q$10,0)+1,holidays)</f>
        <v>0</v>
      </c>
      <c r="R14" s="7" cm="1">
        <f t="array" ref="R14">CommonWorkdays($D14,$E14,R$10,EOMONTH(R$10,0)+1,holidays)</f>
        <v>0</v>
      </c>
      <c r="S14" s="7" cm="1">
        <f t="array" ref="S14">CommonWorkdays($D14,$E14,S$10,EOMONTH(S$10,0)+1,holidays)</f>
        <v>0</v>
      </c>
      <c r="T14" s="7" cm="1">
        <f t="array" ref="T14">CommonWorkdays($D14,$E14,T$10,EOMONTH(T$10,0)+1,holidays)</f>
        <v>0</v>
      </c>
      <c r="U14" s="7" cm="1">
        <f t="array" ref="U14">CommonWorkdays($D14,$E14,U$10,EOMONTH(U$10,0)+1,holidays)</f>
        <v>0</v>
      </c>
      <c r="V14" s="7" cm="1">
        <f t="array" ref="V14">CommonWorkdays($D14,$E14,V$10,EOMONTH(V$10,0)+1,holidays)</f>
        <v>0</v>
      </c>
      <c r="W14" s="7" cm="1">
        <f t="array" ref="W14">CommonWorkdays($D14,$E14,W$10,EOMONTH(W$10,0)+1,holidays)</f>
        <v>0</v>
      </c>
      <c r="X14" s="7" cm="1">
        <f t="array" ref="X14">CommonWorkdays($D14,$E14,X$10,EOMONTH(X$10,0)+1,holidays)</f>
        <v>0</v>
      </c>
      <c r="Y14" s="7" cm="1">
        <f t="array" ref="Y14">CommonWorkdays($D14,$E14,Y$10,EOMONTH(Y$10,0)+1,holidays)</f>
        <v>0</v>
      </c>
      <c r="Z14" s="7" cm="1">
        <f t="array" ref="Z14">CommonWorkdays($D14,$E14,Z$10,EOMONTH(Z$10,0)+1,holidays)</f>
        <v>0</v>
      </c>
      <c r="AA14" s="7" cm="1">
        <f t="array" ref="AA14">CommonWorkdays($D14,$E14,AA$10,EOMONTH(AA$10,0)+1,holidays)</f>
        <v>0</v>
      </c>
      <c r="AB14" s="7" cm="1">
        <f t="array" ref="AB14">CommonWorkdays($D14,$E14,AB$10,EOMONTH(AB$10,0)+1,holidays)</f>
        <v>0</v>
      </c>
      <c r="AC14" s="106" cm="1">
        <f t="array" ref="AC14">CommonWorkdays($D14,$E14,AC$10,EOMONTH(AC$10,0)+1,holidays)</f>
        <v>0</v>
      </c>
    </row>
    <row r="15" spans="2:29" hidden="1" outlineLevel="1" x14ac:dyDescent="0.3">
      <c r="B15" s="2">
        <f t="shared" si="1"/>
        <v>4</v>
      </c>
      <c r="C15" s="35" t="s">
        <v>67</v>
      </c>
      <c r="D15" s="6">
        <v>45698</v>
      </c>
      <c r="E15" s="6">
        <v>45702</v>
      </c>
      <c r="F15" s="129">
        <f>NETWORKDAYS(D15,E15-1,holidays)</f>
        <v>3</v>
      </c>
      <c r="G15" s="7" cm="1">
        <f t="array" ref="G15">CommonWorkdays($D15,$E15,G$10,EOMONTH(G$10,0)+1,holidays)</f>
        <v>0</v>
      </c>
      <c r="H15" s="7" cm="1">
        <f t="array" ref="H15">CommonWorkdays($D15,$E15,H$10,EOMONTH(H$10,0)+1,holidays)</f>
        <v>3</v>
      </c>
      <c r="I15" s="7" cm="1">
        <f t="array" ref="I15">CommonWorkdays($D15,$E15,I$10,EOMONTH(I$10,0)+1,holidays)</f>
        <v>0</v>
      </c>
      <c r="J15" s="7" cm="1">
        <f t="array" ref="J15">CommonWorkdays($D15,$E15,J$10,EOMONTH(J$10,0)+1,holidays)</f>
        <v>0</v>
      </c>
      <c r="K15" s="7" cm="1">
        <f t="array" ref="K15">CommonWorkdays($D15,$E15,K$10,EOMONTH(K$10,0)+1,holidays)</f>
        <v>0</v>
      </c>
      <c r="L15" s="7" cm="1">
        <f t="array" ref="L15">CommonWorkdays($D15,$E15,L$10,EOMONTH(L$10,0)+1,holidays)</f>
        <v>0</v>
      </c>
      <c r="M15" s="7" cm="1">
        <f t="array" ref="M15">CommonWorkdays($D15,$E15,M$10,EOMONTH(M$10,0)+1,holidays)</f>
        <v>0</v>
      </c>
      <c r="N15" s="7" cm="1">
        <f t="array" ref="N15">CommonWorkdays($D15,$E15,N$10,EOMONTH(N$10,0)+1,holidays)</f>
        <v>0</v>
      </c>
      <c r="O15" s="7" cm="1">
        <f t="array" ref="O15">CommonWorkdays($D15,$E15,O$10,EOMONTH(O$10,0)+1,holidays)</f>
        <v>0</v>
      </c>
      <c r="P15" s="7" cm="1">
        <f t="array" ref="P15">CommonWorkdays($D15,$E15,P$10,EOMONTH(P$10,0)+1,holidays)</f>
        <v>0</v>
      </c>
      <c r="Q15" s="7" cm="1">
        <f t="array" ref="Q15">CommonWorkdays($D15,$E15,Q$10,EOMONTH(Q$10,0)+1,holidays)</f>
        <v>0</v>
      </c>
      <c r="R15" s="7" cm="1">
        <f t="array" ref="R15">CommonWorkdays($D15,$E15,R$10,EOMONTH(R$10,0)+1,holidays)</f>
        <v>0</v>
      </c>
      <c r="S15" s="7" cm="1">
        <f t="array" ref="S15">CommonWorkdays($D15,$E15,S$10,EOMONTH(S$10,0)+1,holidays)</f>
        <v>0</v>
      </c>
      <c r="T15" s="7" cm="1">
        <f t="array" ref="T15">CommonWorkdays($D15,$E15,T$10,EOMONTH(T$10,0)+1,holidays)</f>
        <v>0</v>
      </c>
      <c r="U15" s="7" cm="1">
        <f t="array" ref="U15">CommonWorkdays($D15,$E15,U$10,EOMONTH(U$10,0)+1,holidays)</f>
        <v>0</v>
      </c>
      <c r="V15" s="7" cm="1">
        <f t="array" ref="V15">CommonWorkdays($D15,$E15,V$10,EOMONTH(V$10,0)+1,holidays)</f>
        <v>0</v>
      </c>
      <c r="W15" s="7" cm="1">
        <f t="array" ref="W15">CommonWorkdays($D15,$E15,W$10,EOMONTH(W$10,0)+1,holidays)</f>
        <v>0</v>
      </c>
      <c r="X15" s="7" cm="1">
        <f t="array" ref="X15">CommonWorkdays($D15,$E15,X$10,EOMONTH(X$10,0)+1,holidays)</f>
        <v>0</v>
      </c>
      <c r="Y15" s="7" cm="1">
        <f t="array" ref="Y15">CommonWorkdays($D15,$E15,Y$10,EOMONTH(Y$10,0)+1,holidays)</f>
        <v>0</v>
      </c>
      <c r="Z15" s="7" cm="1">
        <f t="array" ref="Z15">CommonWorkdays($D15,$E15,Z$10,EOMONTH(Z$10,0)+1,holidays)</f>
        <v>0</v>
      </c>
      <c r="AA15" s="7" cm="1">
        <f t="array" ref="AA15">CommonWorkdays($D15,$E15,AA$10,EOMONTH(AA$10,0)+1,holidays)</f>
        <v>0</v>
      </c>
      <c r="AB15" s="7" cm="1">
        <f t="array" ref="AB15">CommonWorkdays($D15,$E15,AB$10,EOMONTH(AB$10,0)+1,holidays)</f>
        <v>0</v>
      </c>
      <c r="AC15" s="106" cm="1">
        <f t="array" ref="AC15">CommonWorkdays($D15,$E15,AC$10,EOMONTH(AC$10,0)+1,holidays)</f>
        <v>0</v>
      </c>
    </row>
    <row r="16" spans="2:29" hidden="1" outlineLevel="1" x14ac:dyDescent="0.3">
      <c r="B16" s="2">
        <f t="shared" si="1"/>
        <v>5</v>
      </c>
      <c r="C16" s="35" t="s">
        <v>68</v>
      </c>
      <c r="D16" s="6">
        <v>45726</v>
      </c>
      <c r="E16" s="6">
        <v>45729</v>
      </c>
      <c r="F16" s="129">
        <f>NETWORKDAYS(D16,E16-1,holidays)</f>
        <v>3</v>
      </c>
      <c r="G16" s="7" cm="1">
        <f t="array" ref="G16">CommonWorkdays($D16,$E16,G$10,EOMONTH(G$10,0)+1,holidays)</f>
        <v>0</v>
      </c>
      <c r="H16" s="7" cm="1">
        <f t="array" ref="H16">CommonWorkdays($D16,$E16,H$10,EOMONTH(H$10,0)+1,holidays)</f>
        <v>0</v>
      </c>
      <c r="I16" s="7" cm="1">
        <f t="array" ref="I16">CommonWorkdays($D16,$E16,I$10,EOMONTH(I$10,0)+1,holidays)</f>
        <v>3</v>
      </c>
      <c r="J16" s="7" cm="1">
        <f t="array" ref="J16">CommonWorkdays($D16,$E16,J$10,EOMONTH(J$10,0)+1,holidays)</f>
        <v>0</v>
      </c>
      <c r="K16" s="7" cm="1">
        <f t="array" ref="K16">CommonWorkdays($D16,$E16,K$10,EOMONTH(K$10,0)+1,holidays)</f>
        <v>0</v>
      </c>
      <c r="L16" s="7" cm="1">
        <f t="array" ref="L16">CommonWorkdays($D16,$E16,L$10,EOMONTH(L$10,0)+1,holidays)</f>
        <v>0</v>
      </c>
      <c r="M16" s="7" cm="1">
        <f t="array" ref="M16">CommonWorkdays($D16,$E16,M$10,EOMONTH(M$10,0)+1,holidays)</f>
        <v>0</v>
      </c>
      <c r="N16" s="7" cm="1">
        <f t="array" ref="N16">CommonWorkdays($D16,$E16,N$10,EOMONTH(N$10,0)+1,holidays)</f>
        <v>0</v>
      </c>
      <c r="O16" s="7" cm="1">
        <f t="array" ref="O16">CommonWorkdays($D16,$E16,O$10,EOMONTH(O$10,0)+1,holidays)</f>
        <v>0</v>
      </c>
      <c r="P16" s="7" cm="1">
        <f t="array" ref="P16">CommonWorkdays($D16,$E16,P$10,EOMONTH(P$10,0)+1,holidays)</f>
        <v>0</v>
      </c>
      <c r="Q16" s="7" cm="1">
        <f t="array" ref="Q16">CommonWorkdays($D16,$E16,Q$10,EOMONTH(Q$10,0)+1,holidays)</f>
        <v>0</v>
      </c>
      <c r="R16" s="7" cm="1">
        <f t="array" ref="R16">CommonWorkdays($D16,$E16,R$10,EOMONTH(R$10,0)+1,holidays)</f>
        <v>0</v>
      </c>
      <c r="S16" s="7" cm="1">
        <f t="array" ref="S16">CommonWorkdays($D16,$E16,S$10,EOMONTH(S$10,0)+1,holidays)</f>
        <v>0</v>
      </c>
      <c r="T16" s="7" cm="1">
        <f t="array" ref="T16">CommonWorkdays($D16,$E16,T$10,EOMONTH(T$10,0)+1,holidays)</f>
        <v>0</v>
      </c>
      <c r="U16" s="7" cm="1">
        <f t="array" ref="U16">CommonWorkdays($D16,$E16,U$10,EOMONTH(U$10,0)+1,holidays)</f>
        <v>0</v>
      </c>
      <c r="V16" s="7" cm="1">
        <f t="array" ref="V16">CommonWorkdays($D16,$E16,V$10,EOMONTH(V$10,0)+1,holidays)</f>
        <v>0</v>
      </c>
      <c r="W16" s="7" cm="1">
        <f t="array" ref="W16">CommonWorkdays($D16,$E16,W$10,EOMONTH(W$10,0)+1,holidays)</f>
        <v>0</v>
      </c>
      <c r="X16" s="7" cm="1">
        <f t="array" ref="X16">CommonWorkdays($D16,$E16,X$10,EOMONTH(X$10,0)+1,holidays)</f>
        <v>0</v>
      </c>
      <c r="Y16" s="7" cm="1">
        <f t="array" ref="Y16">CommonWorkdays($D16,$E16,Y$10,EOMONTH(Y$10,0)+1,holidays)</f>
        <v>0</v>
      </c>
      <c r="Z16" s="7" cm="1">
        <f t="array" ref="Z16">CommonWorkdays($D16,$E16,Z$10,EOMONTH(Z$10,0)+1,holidays)</f>
        <v>0</v>
      </c>
      <c r="AA16" s="7" cm="1">
        <f t="array" ref="AA16">CommonWorkdays($D16,$E16,AA$10,EOMONTH(AA$10,0)+1,holidays)</f>
        <v>0</v>
      </c>
      <c r="AB16" s="7" cm="1">
        <f t="array" ref="AB16">CommonWorkdays($D16,$E16,AB$10,EOMONTH(AB$10,0)+1,holidays)</f>
        <v>0</v>
      </c>
      <c r="AC16" s="106" cm="1">
        <f t="array" ref="AC16">CommonWorkdays($D16,$E16,AC$10,EOMONTH(AC$10,0)+1,holidays)</f>
        <v>0</v>
      </c>
    </row>
    <row r="17" spans="2:29" hidden="1" outlineLevel="1" x14ac:dyDescent="0.3">
      <c r="B17" s="2">
        <f t="shared" si="1"/>
        <v>6</v>
      </c>
      <c r="C17" s="35" t="s">
        <v>69</v>
      </c>
      <c r="D17" s="6">
        <v>45757</v>
      </c>
      <c r="E17" s="6">
        <v>45764</v>
      </c>
      <c r="F17" s="129">
        <f>NETWORKDAYS(D17,E17-1,holidays)</f>
        <v>3</v>
      </c>
      <c r="G17" s="7" cm="1">
        <f t="array" ref="G17">CommonWorkdays($D17,$E17,G$10,EOMONTH(G$10,0)+1,holidays)</f>
        <v>0</v>
      </c>
      <c r="H17" s="7" cm="1">
        <f t="array" ref="H17">CommonWorkdays($D17,$E17,H$10,EOMONTH(H$10,0)+1,holidays)</f>
        <v>0</v>
      </c>
      <c r="I17" s="7" cm="1">
        <f t="array" ref="I17">CommonWorkdays($D17,$E17,I$10,EOMONTH(I$10,0)+1,holidays)</f>
        <v>0</v>
      </c>
      <c r="J17" s="7" cm="1">
        <f t="array" ref="J17">CommonWorkdays($D17,$E17,J$10,EOMONTH(J$10,0)+1,holidays)</f>
        <v>3</v>
      </c>
      <c r="K17" s="7" cm="1">
        <f t="array" ref="K17">CommonWorkdays($D17,$E17,K$10,EOMONTH(K$10,0)+1,holidays)</f>
        <v>0</v>
      </c>
      <c r="L17" s="7" cm="1">
        <f t="array" ref="L17">CommonWorkdays($D17,$E17,L$10,EOMONTH(L$10,0)+1,holidays)</f>
        <v>0</v>
      </c>
      <c r="M17" s="7" cm="1">
        <f t="array" ref="M17">CommonWorkdays($D17,$E17,M$10,EOMONTH(M$10,0)+1,holidays)</f>
        <v>0</v>
      </c>
      <c r="N17" s="7" cm="1">
        <f t="array" ref="N17">CommonWorkdays($D17,$E17,N$10,EOMONTH(N$10,0)+1,holidays)</f>
        <v>0</v>
      </c>
      <c r="O17" s="7" cm="1">
        <f t="array" ref="O17">CommonWorkdays($D17,$E17,O$10,EOMONTH(O$10,0)+1,holidays)</f>
        <v>0</v>
      </c>
      <c r="P17" s="7" cm="1">
        <f t="array" ref="P17">CommonWorkdays($D17,$E17,P$10,EOMONTH(P$10,0)+1,holidays)</f>
        <v>0</v>
      </c>
      <c r="Q17" s="7" cm="1">
        <f t="array" ref="Q17">CommonWorkdays($D17,$E17,Q$10,EOMONTH(Q$10,0)+1,holidays)</f>
        <v>0</v>
      </c>
      <c r="R17" s="7" cm="1">
        <f t="array" ref="R17">CommonWorkdays($D17,$E17,R$10,EOMONTH(R$10,0)+1,holidays)</f>
        <v>0</v>
      </c>
      <c r="S17" s="7" cm="1">
        <f t="array" ref="S17">CommonWorkdays($D17,$E17,S$10,EOMONTH(S$10,0)+1,holidays)</f>
        <v>0</v>
      </c>
      <c r="T17" s="7" cm="1">
        <f t="array" ref="T17">CommonWorkdays($D17,$E17,T$10,EOMONTH(T$10,0)+1,holidays)</f>
        <v>0</v>
      </c>
      <c r="U17" s="7" cm="1">
        <f t="array" ref="U17">CommonWorkdays($D17,$E17,U$10,EOMONTH(U$10,0)+1,holidays)</f>
        <v>0</v>
      </c>
      <c r="V17" s="7" cm="1">
        <f t="array" ref="V17">CommonWorkdays($D17,$E17,V$10,EOMONTH(V$10,0)+1,holidays)</f>
        <v>0</v>
      </c>
      <c r="W17" s="7" cm="1">
        <f t="array" ref="W17">CommonWorkdays($D17,$E17,W$10,EOMONTH(W$10,0)+1,holidays)</f>
        <v>0</v>
      </c>
      <c r="X17" s="7" cm="1">
        <f t="array" ref="X17">CommonWorkdays($D17,$E17,X$10,EOMONTH(X$10,0)+1,holidays)</f>
        <v>0</v>
      </c>
      <c r="Y17" s="7" cm="1">
        <f t="array" ref="Y17">CommonWorkdays($D17,$E17,Y$10,EOMONTH(Y$10,0)+1,holidays)</f>
        <v>0</v>
      </c>
      <c r="Z17" s="7" cm="1">
        <f t="array" ref="Z17">CommonWorkdays($D17,$E17,Z$10,EOMONTH(Z$10,0)+1,holidays)</f>
        <v>0</v>
      </c>
      <c r="AA17" s="7" cm="1">
        <f t="array" ref="AA17">CommonWorkdays($D17,$E17,AA$10,EOMONTH(AA$10,0)+1,holidays)</f>
        <v>0</v>
      </c>
      <c r="AB17" s="7" cm="1">
        <f t="array" ref="AB17">CommonWorkdays($D17,$E17,AB$10,EOMONTH(AB$10,0)+1,holidays)</f>
        <v>0</v>
      </c>
      <c r="AC17" s="106" cm="1">
        <f t="array" ref="AC17">CommonWorkdays($D17,$E17,AC$10,EOMONTH(AC$10,0)+1,holidays)</f>
        <v>0</v>
      </c>
    </row>
    <row r="18" spans="2:29" hidden="1" outlineLevel="1" x14ac:dyDescent="0.3">
      <c r="B18" s="2">
        <f t="shared" si="1"/>
        <v>7</v>
      </c>
      <c r="C18" s="35" t="s">
        <v>70</v>
      </c>
      <c r="D18" s="6">
        <v>45790</v>
      </c>
      <c r="E18" s="6">
        <v>45793</v>
      </c>
      <c r="F18" s="129">
        <f>NETWORKDAYS(D18,E18-1,holidays)</f>
        <v>3</v>
      </c>
      <c r="G18" s="7" cm="1">
        <f t="array" ref="G18">CommonWorkdays($D18,$E18,G$10,EOMONTH(G$10,0)+1,holidays)</f>
        <v>0</v>
      </c>
      <c r="H18" s="7" cm="1">
        <f t="array" ref="H18">CommonWorkdays($D18,$E18,H$10,EOMONTH(H$10,0)+1,holidays)</f>
        <v>0</v>
      </c>
      <c r="I18" s="7" cm="1">
        <f t="array" ref="I18">CommonWorkdays($D18,$E18,I$10,EOMONTH(I$10,0)+1,holidays)</f>
        <v>0</v>
      </c>
      <c r="J18" s="7" cm="1">
        <f t="array" ref="J18">CommonWorkdays($D18,$E18,J$10,EOMONTH(J$10,0)+1,holidays)</f>
        <v>0</v>
      </c>
      <c r="K18" s="7" cm="1">
        <f t="array" ref="K18">CommonWorkdays($D18,$E18,K$10,EOMONTH(K$10,0)+1,holidays)</f>
        <v>3</v>
      </c>
      <c r="L18" s="7" cm="1">
        <f t="array" ref="L18">CommonWorkdays($D18,$E18,L$10,EOMONTH(L$10,0)+1,holidays)</f>
        <v>0</v>
      </c>
      <c r="M18" s="7" cm="1">
        <f t="array" ref="M18">CommonWorkdays($D18,$E18,M$10,EOMONTH(M$10,0)+1,holidays)</f>
        <v>0</v>
      </c>
      <c r="N18" s="7" cm="1">
        <f t="array" ref="N18">CommonWorkdays($D18,$E18,N$10,EOMONTH(N$10,0)+1,holidays)</f>
        <v>0</v>
      </c>
      <c r="O18" s="7" cm="1">
        <f t="array" ref="O18">CommonWorkdays($D18,$E18,O$10,EOMONTH(O$10,0)+1,holidays)</f>
        <v>0</v>
      </c>
      <c r="P18" s="7" cm="1">
        <f t="array" ref="P18">CommonWorkdays($D18,$E18,P$10,EOMONTH(P$10,0)+1,holidays)</f>
        <v>0</v>
      </c>
      <c r="Q18" s="7" cm="1">
        <f t="array" ref="Q18">CommonWorkdays($D18,$E18,Q$10,EOMONTH(Q$10,0)+1,holidays)</f>
        <v>0</v>
      </c>
      <c r="R18" s="7" cm="1">
        <f t="array" ref="R18">CommonWorkdays($D18,$E18,R$10,EOMONTH(R$10,0)+1,holidays)</f>
        <v>0</v>
      </c>
      <c r="S18" s="7" cm="1">
        <f t="array" ref="S18">CommonWorkdays($D18,$E18,S$10,EOMONTH(S$10,0)+1,holidays)</f>
        <v>0</v>
      </c>
      <c r="T18" s="7" cm="1">
        <f t="array" ref="T18">CommonWorkdays($D18,$E18,T$10,EOMONTH(T$10,0)+1,holidays)</f>
        <v>0</v>
      </c>
      <c r="U18" s="7" cm="1">
        <f t="array" ref="U18">CommonWorkdays($D18,$E18,U$10,EOMONTH(U$10,0)+1,holidays)</f>
        <v>0</v>
      </c>
      <c r="V18" s="7" cm="1">
        <f t="array" ref="V18">CommonWorkdays($D18,$E18,V$10,EOMONTH(V$10,0)+1,holidays)</f>
        <v>0</v>
      </c>
      <c r="W18" s="7" cm="1">
        <f t="array" ref="W18">CommonWorkdays($D18,$E18,W$10,EOMONTH(W$10,0)+1,holidays)</f>
        <v>0</v>
      </c>
      <c r="X18" s="7" cm="1">
        <f t="array" ref="X18">CommonWorkdays($D18,$E18,X$10,EOMONTH(X$10,0)+1,holidays)</f>
        <v>0</v>
      </c>
      <c r="Y18" s="7" cm="1">
        <f t="array" ref="Y18">CommonWorkdays($D18,$E18,Y$10,EOMONTH(Y$10,0)+1,holidays)</f>
        <v>0</v>
      </c>
      <c r="Z18" s="7" cm="1">
        <f t="array" ref="Z18">CommonWorkdays($D18,$E18,Z$10,EOMONTH(Z$10,0)+1,holidays)</f>
        <v>0</v>
      </c>
      <c r="AA18" s="7" cm="1">
        <f t="array" ref="AA18">CommonWorkdays($D18,$E18,AA$10,EOMONTH(AA$10,0)+1,holidays)</f>
        <v>0</v>
      </c>
      <c r="AB18" s="7" cm="1">
        <f t="array" ref="AB18">CommonWorkdays($D18,$E18,AB$10,EOMONTH(AB$10,0)+1,holidays)</f>
        <v>0</v>
      </c>
      <c r="AC18" s="106" cm="1">
        <f t="array" ref="AC18">CommonWorkdays($D18,$E18,AC$10,EOMONTH(AC$10,0)+1,holidays)</f>
        <v>0</v>
      </c>
    </row>
    <row r="19" spans="2:29" hidden="1" outlineLevel="1" x14ac:dyDescent="0.3">
      <c r="B19" s="2">
        <f>B18+1</f>
        <v>8</v>
      </c>
      <c r="C19" s="35" t="s">
        <v>71</v>
      </c>
      <c r="D19" s="6">
        <v>45818</v>
      </c>
      <c r="E19" s="6">
        <v>45821</v>
      </c>
      <c r="F19" s="129">
        <f>NETWORKDAYS(D19,E19-1,holidays)</f>
        <v>3</v>
      </c>
      <c r="G19" s="7" cm="1">
        <f t="array" ref="G19">CommonWorkdays($D19,$E19,G$10,EOMONTH(G$10,0)+1,holidays)</f>
        <v>0</v>
      </c>
      <c r="H19" s="7" cm="1">
        <f t="array" ref="H19">CommonWorkdays($D19,$E19,H$10,EOMONTH(H$10,0)+1,holidays)</f>
        <v>0</v>
      </c>
      <c r="I19" s="7" cm="1">
        <f t="array" ref="I19">CommonWorkdays($D19,$E19,I$10,EOMONTH(I$10,0)+1,holidays)</f>
        <v>0</v>
      </c>
      <c r="J19" s="7" cm="1">
        <f t="array" ref="J19">CommonWorkdays($D19,$E19,J$10,EOMONTH(J$10,0)+1,holidays)</f>
        <v>0</v>
      </c>
      <c r="K19" s="7" cm="1">
        <f t="array" ref="K19">CommonWorkdays($D19,$E19,K$10,EOMONTH(K$10,0)+1,holidays)</f>
        <v>0</v>
      </c>
      <c r="L19" s="7" cm="1">
        <f t="array" ref="L19">CommonWorkdays($D19,$E19,L$10,EOMONTH(L$10,0)+1,holidays)</f>
        <v>3</v>
      </c>
      <c r="M19" s="7" cm="1">
        <f t="array" ref="M19">CommonWorkdays($D19,$E19,M$10,EOMONTH(M$10,0)+1,holidays)</f>
        <v>0</v>
      </c>
      <c r="N19" s="7" cm="1">
        <f t="array" ref="N19">CommonWorkdays($D19,$E19,N$10,EOMONTH(N$10,0)+1,holidays)</f>
        <v>0</v>
      </c>
      <c r="O19" s="7" cm="1">
        <f t="array" ref="O19">CommonWorkdays($D19,$E19,O$10,EOMONTH(O$10,0)+1,holidays)</f>
        <v>0</v>
      </c>
      <c r="P19" s="7" cm="1">
        <f t="array" ref="P19">CommonWorkdays($D19,$E19,P$10,EOMONTH(P$10,0)+1,holidays)</f>
        <v>0</v>
      </c>
      <c r="Q19" s="7" cm="1">
        <f t="array" ref="Q19">CommonWorkdays($D19,$E19,Q$10,EOMONTH(Q$10,0)+1,holidays)</f>
        <v>0</v>
      </c>
      <c r="R19" s="7" cm="1">
        <f t="array" ref="R19">CommonWorkdays($D19,$E19,R$10,EOMONTH(R$10,0)+1,holidays)</f>
        <v>0</v>
      </c>
      <c r="S19" s="7" cm="1">
        <f t="array" ref="S19">CommonWorkdays($D19,$E19,S$10,EOMONTH(S$10,0)+1,holidays)</f>
        <v>0</v>
      </c>
      <c r="T19" s="7" cm="1">
        <f t="array" ref="T19">CommonWorkdays($D19,$E19,T$10,EOMONTH(T$10,0)+1,holidays)</f>
        <v>0</v>
      </c>
      <c r="U19" s="7" cm="1">
        <f t="array" ref="U19">CommonWorkdays($D19,$E19,U$10,EOMONTH(U$10,0)+1,holidays)</f>
        <v>0</v>
      </c>
      <c r="V19" s="7" cm="1">
        <f t="array" ref="V19">CommonWorkdays($D19,$E19,V$10,EOMONTH(V$10,0)+1,holidays)</f>
        <v>0</v>
      </c>
      <c r="W19" s="7" cm="1">
        <f t="array" ref="W19">CommonWorkdays($D19,$E19,W$10,EOMONTH(W$10,0)+1,holidays)</f>
        <v>0</v>
      </c>
      <c r="X19" s="7" cm="1">
        <f t="array" ref="X19">CommonWorkdays($D19,$E19,X$10,EOMONTH(X$10,0)+1,holidays)</f>
        <v>0</v>
      </c>
      <c r="Y19" s="7" cm="1">
        <f t="array" ref="Y19">CommonWorkdays($D19,$E19,Y$10,EOMONTH(Y$10,0)+1,holidays)</f>
        <v>0</v>
      </c>
      <c r="Z19" s="7" cm="1">
        <f t="array" ref="Z19">CommonWorkdays($D19,$E19,Z$10,EOMONTH(Z$10,0)+1,holidays)</f>
        <v>0</v>
      </c>
      <c r="AA19" s="7" cm="1">
        <f t="array" ref="AA19">CommonWorkdays($D19,$E19,AA$10,EOMONTH(AA$10,0)+1,holidays)</f>
        <v>0</v>
      </c>
      <c r="AB19" s="7" cm="1">
        <f t="array" ref="AB19">CommonWorkdays($D19,$E19,AB$10,EOMONTH(AB$10,0)+1,holidays)</f>
        <v>0</v>
      </c>
      <c r="AC19" s="106" cm="1">
        <f t="array" ref="AC19">CommonWorkdays($D19,$E19,AC$10,EOMONTH(AC$10,0)+1,holidays)</f>
        <v>0</v>
      </c>
    </row>
    <row r="20" spans="2:29" hidden="1" outlineLevel="1" x14ac:dyDescent="0.3">
      <c r="B20" s="2">
        <f t="shared" ref="B20:B24" si="2">B19+1</f>
        <v>9</v>
      </c>
      <c r="C20" s="35" t="s">
        <v>72</v>
      </c>
      <c r="D20" s="6">
        <v>45849</v>
      </c>
      <c r="E20" s="6">
        <v>45854</v>
      </c>
      <c r="F20" s="129">
        <f>NETWORKDAYS(D20,E20-1,holidays)</f>
        <v>3</v>
      </c>
      <c r="G20" s="7" cm="1">
        <f t="array" ref="G20">CommonWorkdays($D20,$E20,G$10,EOMONTH(G$10,0)+1,holidays)</f>
        <v>0</v>
      </c>
      <c r="H20" s="7" cm="1">
        <f t="array" ref="H20">CommonWorkdays($D20,$E20,H$10,EOMONTH(H$10,0)+1,holidays)</f>
        <v>0</v>
      </c>
      <c r="I20" s="7" cm="1">
        <f t="array" ref="I20">CommonWorkdays($D20,$E20,I$10,EOMONTH(I$10,0)+1,holidays)</f>
        <v>0</v>
      </c>
      <c r="J20" s="7" cm="1">
        <f t="array" ref="J20">CommonWorkdays($D20,$E20,J$10,EOMONTH(J$10,0)+1,holidays)</f>
        <v>0</v>
      </c>
      <c r="K20" s="7" cm="1">
        <f t="array" ref="K20">CommonWorkdays($D20,$E20,K$10,EOMONTH(K$10,0)+1,holidays)</f>
        <v>0</v>
      </c>
      <c r="L20" s="7" cm="1">
        <f t="array" ref="L20">CommonWorkdays($D20,$E20,L$10,EOMONTH(L$10,0)+1,holidays)</f>
        <v>0</v>
      </c>
      <c r="M20" s="7" cm="1">
        <f t="array" ref="M20">CommonWorkdays($D20,$E20,M$10,EOMONTH(M$10,0)+1,holidays)</f>
        <v>3</v>
      </c>
      <c r="N20" s="7" cm="1">
        <f t="array" ref="N20">CommonWorkdays($D20,$E20,N$10,EOMONTH(N$10,0)+1,holidays)</f>
        <v>0</v>
      </c>
      <c r="O20" s="7" cm="1">
        <f t="array" ref="O20">CommonWorkdays($D20,$E20,O$10,EOMONTH(O$10,0)+1,holidays)</f>
        <v>0</v>
      </c>
      <c r="P20" s="7" cm="1">
        <f t="array" ref="P20">CommonWorkdays($D20,$E20,P$10,EOMONTH(P$10,0)+1,holidays)</f>
        <v>0</v>
      </c>
      <c r="Q20" s="7" cm="1">
        <f t="array" ref="Q20">CommonWorkdays($D20,$E20,Q$10,EOMONTH(Q$10,0)+1,holidays)</f>
        <v>0</v>
      </c>
      <c r="R20" s="7" cm="1">
        <f t="array" ref="R20">CommonWorkdays($D20,$E20,R$10,EOMONTH(R$10,0)+1,holidays)</f>
        <v>0</v>
      </c>
      <c r="S20" s="7" cm="1">
        <f t="array" ref="S20">CommonWorkdays($D20,$E20,S$10,EOMONTH(S$10,0)+1,holidays)</f>
        <v>0</v>
      </c>
      <c r="T20" s="7" cm="1">
        <f t="array" ref="T20">CommonWorkdays($D20,$E20,T$10,EOMONTH(T$10,0)+1,holidays)</f>
        <v>0</v>
      </c>
      <c r="U20" s="7" cm="1">
        <f t="array" ref="U20">CommonWorkdays($D20,$E20,U$10,EOMONTH(U$10,0)+1,holidays)</f>
        <v>0</v>
      </c>
      <c r="V20" s="7" cm="1">
        <f t="array" ref="V20">CommonWorkdays($D20,$E20,V$10,EOMONTH(V$10,0)+1,holidays)</f>
        <v>0</v>
      </c>
      <c r="W20" s="7" cm="1">
        <f t="array" ref="W20">CommonWorkdays($D20,$E20,W$10,EOMONTH(W$10,0)+1,holidays)</f>
        <v>0</v>
      </c>
      <c r="X20" s="7" cm="1">
        <f t="array" ref="X20">CommonWorkdays($D20,$E20,X$10,EOMONTH(X$10,0)+1,holidays)</f>
        <v>0</v>
      </c>
      <c r="Y20" s="7" cm="1">
        <f t="array" ref="Y20">CommonWorkdays($D20,$E20,Y$10,EOMONTH(Y$10,0)+1,holidays)</f>
        <v>0</v>
      </c>
      <c r="Z20" s="7" cm="1">
        <f t="array" ref="Z20">CommonWorkdays($D20,$E20,Z$10,EOMONTH(Z$10,0)+1,holidays)</f>
        <v>0</v>
      </c>
      <c r="AA20" s="7" cm="1">
        <f t="array" ref="AA20">CommonWorkdays($D20,$E20,AA$10,EOMONTH(AA$10,0)+1,holidays)</f>
        <v>0</v>
      </c>
      <c r="AB20" s="7" cm="1">
        <f t="array" ref="AB20">CommonWorkdays($D20,$E20,AB$10,EOMONTH(AB$10,0)+1,holidays)</f>
        <v>0</v>
      </c>
      <c r="AC20" s="106" cm="1">
        <f t="array" ref="AC20">CommonWorkdays($D20,$E20,AC$10,EOMONTH(AC$10,0)+1,holidays)</f>
        <v>0</v>
      </c>
    </row>
    <row r="21" spans="2:29" hidden="1" outlineLevel="1" x14ac:dyDescent="0.3">
      <c r="B21" s="2">
        <f t="shared" si="2"/>
        <v>10</v>
      </c>
      <c r="C21" s="35" t="s">
        <v>73</v>
      </c>
      <c r="D21" s="6">
        <v>45882</v>
      </c>
      <c r="E21" s="6">
        <v>45885</v>
      </c>
      <c r="F21" s="129">
        <f>NETWORKDAYS(D21,E21-1,holidays)</f>
        <v>3</v>
      </c>
      <c r="G21" s="7" cm="1">
        <f t="array" ref="G21">CommonWorkdays($D21,$E21,G$10,EOMONTH(G$10,0)+1,holidays)</f>
        <v>0</v>
      </c>
      <c r="H21" s="7" cm="1">
        <f t="array" ref="H21">CommonWorkdays($D21,$E21,H$10,EOMONTH(H$10,0)+1,holidays)</f>
        <v>0</v>
      </c>
      <c r="I21" s="7" cm="1">
        <f t="array" ref="I21">CommonWorkdays($D21,$E21,I$10,EOMONTH(I$10,0)+1,holidays)</f>
        <v>0</v>
      </c>
      <c r="J21" s="7" cm="1">
        <f t="array" ref="J21">CommonWorkdays($D21,$E21,J$10,EOMONTH(J$10,0)+1,holidays)</f>
        <v>0</v>
      </c>
      <c r="K21" s="7" cm="1">
        <f t="array" ref="K21">CommonWorkdays($D21,$E21,K$10,EOMONTH(K$10,0)+1,holidays)</f>
        <v>0</v>
      </c>
      <c r="L21" s="7" cm="1">
        <f t="array" ref="L21">CommonWorkdays($D21,$E21,L$10,EOMONTH(L$10,0)+1,holidays)</f>
        <v>0</v>
      </c>
      <c r="M21" s="7" cm="1">
        <f t="array" ref="M21">CommonWorkdays($D21,$E21,M$10,EOMONTH(M$10,0)+1,holidays)</f>
        <v>0</v>
      </c>
      <c r="N21" s="7" cm="1">
        <f t="array" ref="N21">CommonWorkdays($D21,$E21,N$10,EOMONTH(N$10,0)+1,holidays)</f>
        <v>3</v>
      </c>
      <c r="O21" s="7" cm="1">
        <f t="array" ref="O21">CommonWorkdays($D21,$E21,O$10,EOMONTH(O$10,0)+1,holidays)</f>
        <v>0</v>
      </c>
      <c r="P21" s="7" cm="1">
        <f t="array" ref="P21">CommonWorkdays($D21,$E21,P$10,EOMONTH(P$10,0)+1,holidays)</f>
        <v>0</v>
      </c>
      <c r="Q21" s="7" cm="1">
        <f t="array" ref="Q21">CommonWorkdays($D21,$E21,Q$10,EOMONTH(Q$10,0)+1,holidays)</f>
        <v>0</v>
      </c>
      <c r="R21" s="7" cm="1">
        <f t="array" ref="R21">CommonWorkdays($D21,$E21,R$10,EOMONTH(R$10,0)+1,holidays)</f>
        <v>0</v>
      </c>
      <c r="S21" s="7" cm="1">
        <f t="array" ref="S21">CommonWorkdays($D21,$E21,S$10,EOMONTH(S$10,0)+1,holidays)</f>
        <v>0</v>
      </c>
      <c r="T21" s="7" cm="1">
        <f t="array" ref="T21">CommonWorkdays($D21,$E21,T$10,EOMONTH(T$10,0)+1,holidays)</f>
        <v>0</v>
      </c>
      <c r="U21" s="7" cm="1">
        <f t="array" ref="U21">CommonWorkdays($D21,$E21,U$10,EOMONTH(U$10,0)+1,holidays)</f>
        <v>0</v>
      </c>
      <c r="V21" s="7" cm="1">
        <f t="array" ref="V21">CommonWorkdays($D21,$E21,V$10,EOMONTH(V$10,0)+1,holidays)</f>
        <v>0</v>
      </c>
      <c r="W21" s="7" cm="1">
        <f t="array" ref="W21">CommonWorkdays($D21,$E21,W$10,EOMONTH(W$10,0)+1,holidays)</f>
        <v>0</v>
      </c>
      <c r="X21" s="7" cm="1">
        <f t="array" ref="X21">CommonWorkdays($D21,$E21,X$10,EOMONTH(X$10,0)+1,holidays)</f>
        <v>0</v>
      </c>
      <c r="Y21" s="7" cm="1">
        <f t="array" ref="Y21">CommonWorkdays($D21,$E21,Y$10,EOMONTH(Y$10,0)+1,holidays)</f>
        <v>0</v>
      </c>
      <c r="Z21" s="7" cm="1">
        <f t="array" ref="Z21">CommonWorkdays($D21,$E21,Z$10,EOMONTH(Z$10,0)+1,holidays)</f>
        <v>0</v>
      </c>
      <c r="AA21" s="7" cm="1">
        <f t="array" ref="AA21">CommonWorkdays($D21,$E21,AA$10,EOMONTH(AA$10,0)+1,holidays)</f>
        <v>0</v>
      </c>
      <c r="AB21" s="7" cm="1">
        <f t="array" ref="AB21">CommonWorkdays($D21,$E21,AB$10,EOMONTH(AB$10,0)+1,holidays)</f>
        <v>0</v>
      </c>
      <c r="AC21" s="106" cm="1">
        <f t="array" ref="AC21">CommonWorkdays($D21,$E21,AC$10,EOMONTH(AC$10,0)+1,holidays)</f>
        <v>0</v>
      </c>
    </row>
    <row r="22" spans="2:29" hidden="1" outlineLevel="1" x14ac:dyDescent="0.3">
      <c r="B22" s="2">
        <f t="shared" si="2"/>
        <v>11</v>
      </c>
      <c r="C22" s="35" t="s">
        <v>74</v>
      </c>
      <c r="D22" s="6">
        <v>45910</v>
      </c>
      <c r="E22" s="6">
        <v>45913</v>
      </c>
      <c r="F22" s="129">
        <f>NETWORKDAYS(D22,E22-1,holidays)</f>
        <v>3</v>
      </c>
      <c r="G22" s="7" cm="1">
        <f t="array" ref="G22">CommonWorkdays($D22,$E22,G$10,EOMONTH(G$10,0)+1,holidays)</f>
        <v>0</v>
      </c>
      <c r="H22" s="7" cm="1">
        <f t="array" ref="H22">CommonWorkdays($D22,$E22,H$10,EOMONTH(H$10,0)+1,holidays)</f>
        <v>0</v>
      </c>
      <c r="I22" s="7" cm="1">
        <f t="array" ref="I22">CommonWorkdays($D22,$E22,I$10,EOMONTH(I$10,0)+1,holidays)</f>
        <v>0</v>
      </c>
      <c r="J22" s="7" cm="1">
        <f t="array" ref="J22">CommonWorkdays($D22,$E22,J$10,EOMONTH(J$10,0)+1,holidays)</f>
        <v>0</v>
      </c>
      <c r="K22" s="7" cm="1">
        <f t="array" ref="K22">CommonWorkdays($D22,$E22,K$10,EOMONTH(K$10,0)+1,holidays)</f>
        <v>0</v>
      </c>
      <c r="L22" s="7" cm="1">
        <f t="array" ref="L22">CommonWorkdays($D22,$E22,L$10,EOMONTH(L$10,0)+1,holidays)</f>
        <v>0</v>
      </c>
      <c r="M22" s="7" cm="1">
        <f t="array" ref="M22">CommonWorkdays($D22,$E22,M$10,EOMONTH(M$10,0)+1,holidays)</f>
        <v>0</v>
      </c>
      <c r="N22" s="7" cm="1">
        <f t="array" ref="N22">CommonWorkdays($D22,$E22,N$10,EOMONTH(N$10,0)+1,holidays)</f>
        <v>0</v>
      </c>
      <c r="O22" s="7" cm="1">
        <f t="array" ref="O22">CommonWorkdays($D22,$E22,O$10,EOMONTH(O$10,0)+1,holidays)</f>
        <v>3</v>
      </c>
      <c r="P22" s="7" cm="1">
        <f t="array" ref="P22">CommonWorkdays($D22,$E22,P$10,EOMONTH(P$10,0)+1,holidays)</f>
        <v>0</v>
      </c>
      <c r="Q22" s="7" cm="1">
        <f t="array" ref="Q22">CommonWorkdays($D22,$E22,Q$10,EOMONTH(Q$10,0)+1,holidays)</f>
        <v>0</v>
      </c>
      <c r="R22" s="7" cm="1">
        <f t="array" ref="R22">CommonWorkdays($D22,$E22,R$10,EOMONTH(R$10,0)+1,holidays)</f>
        <v>0</v>
      </c>
      <c r="S22" s="7" cm="1">
        <f t="array" ref="S22">CommonWorkdays($D22,$E22,S$10,EOMONTH(S$10,0)+1,holidays)</f>
        <v>0</v>
      </c>
      <c r="T22" s="7" cm="1">
        <f t="array" ref="T22">CommonWorkdays($D22,$E22,T$10,EOMONTH(T$10,0)+1,holidays)</f>
        <v>0</v>
      </c>
      <c r="U22" s="7" cm="1">
        <f t="array" ref="U22">CommonWorkdays($D22,$E22,U$10,EOMONTH(U$10,0)+1,holidays)</f>
        <v>0</v>
      </c>
      <c r="V22" s="7" cm="1">
        <f t="array" ref="V22">CommonWorkdays($D22,$E22,V$10,EOMONTH(V$10,0)+1,holidays)</f>
        <v>0</v>
      </c>
      <c r="W22" s="7" cm="1">
        <f t="array" ref="W22">CommonWorkdays($D22,$E22,W$10,EOMONTH(W$10,0)+1,holidays)</f>
        <v>0</v>
      </c>
      <c r="X22" s="7" cm="1">
        <f t="array" ref="X22">CommonWorkdays($D22,$E22,X$10,EOMONTH(X$10,0)+1,holidays)</f>
        <v>0</v>
      </c>
      <c r="Y22" s="7" cm="1">
        <f t="array" ref="Y22">CommonWorkdays($D22,$E22,Y$10,EOMONTH(Y$10,0)+1,holidays)</f>
        <v>0</v>
      </c>
      <c r="Z22" s="7" cm="1">
        <f t="array" ref="Z22">CommonWorkdays($D22,$E22,Z$10,EOMONTH(Z$10,0)+1,holidays)</f>
        <v>0</v>
      </c>
      <c r="AA22" s="7" cm="1">
        <f t="array" ref="AA22">CommonWorkdays($D22,$E22,AA$10,EOMONTH(AA$10,0)+1,holidays)</f>
        <v>0</v>
      </c>
      <c r="AB22" s="7" cm="1">
        <f t="array" ref="AB22">CommonWorkdays($D22,$E22,AB$10,EOMONTH(AB$10,0)+1,holidays)</f>
        <v>0</v>
      </c>
      <c r="AC22" s="106" cm="1">
        <f t="array" ref="AC22">CommonWorkdays($D22,$E22,AC$10,EOMONTH(AC$10,0)+1,holidays)</f>
        <v>0</v>
      </c>
    </row>
    <row r="23" spans="2:29" hidden="1" outlineLevel="1" x14ac:dyDescent="0.3">
      <c r="B23" s="2">
        <f t="shared" si="2"/>
        <v>12</v>
      </c>
      <c r="C23" s="35" t="s">
        <v>75</v>
      </c>
      <c r="D23" s="6">
        <v>45940</v>
      </c>
      <c r="E23" s="6">
        <v>45946</v>
      </c>
      <c r="F23" s="129">
        <f>NETWORKDAYS(D23,E23-1,holidays)</f>
        <v>3</v>
      </c>
      <c r="G23" s="7" cm="1">
        <f t="array" ref="G23">CommonWorkdays($D23,$E23,G$10,EOMONTH(G$10,0)+1,holidays)</f>
        <v>0</v>
      </c>
      <c r="H23" s="7" cm="1">
        <f t="array" ref="H23">CommonWorkdays($D23,$E23,H$10,EOMONTH(H$10,0)+1,holidays)</f>
        <v>0</v>
      </c>
      <c r="I23" s="7" cm="1">
        <f t="array" ref="I23">CommonWorkdays($D23,$E23,I$10,EOMONTH(I$10,0)+1,holidays)</f>
        <v>0</v>
      </c>
      <c r="J23" s="7" cm="1">
        <f t="array" ref="J23">CommonWorkdays($D23,$E23,J$10,EOMONTH(J$10,0)+1,holidays)</f>
        <v>0</v>
      </c>
      <c r="K23" s="7" cm="1">
        <f t="array" ref="K23">CommonWorkdays($D23,$E23,K$10,EOMONTH(K$10,0)+1,holidays)</f>
        <v>0</v>
      </c>
      <c r="L23" s="7" cm="1">
        <f t="array" ref="L23">CommonWorkdays($D23,$E23,L$10,EOMONTH(L$10,0)+1,holidays)</f>
        <v>0</v>
      </c>
      <c r="M23" s="7" cm="1">
        <f t="array" ref="M23">CommonWorkdays($D23,$E23,M$10,EOMONTH(M$10,0)+1,holidays)</f>
        <v>0</v>
      </c>
      <c r="N23" s="7" cm="1">
        <f t="array" ref="N23">CommonWorkdays($D23,$E23,N$10,EOMONTH(N$10,0)+1,holidays)</f>
        <v>0</v>
      </c>
      <c r="O23" s="7" cm="1">
        <f t="array" ref="O23">CommonWorkdays($D23,$E23,O$10,EOMONTH(O$10,0)+1,holidays)</f>
        <v>0</v>
      </c>
      <c r="P23" s="7" cm="1">
        <f t="array" ref="P23">CommonWorkdays($D23,$E23,P$10,EOMONTH(P$10,0)+1,holidays)</f>
        <v>3</v>
      </c>
      <c r="Q23" s="7" cm="1">
        <f t="array" ref="Q23">CommonWorkdays($D23,$E23,Q$10,EOMONTH(Q$10,0)+1,holidays)</f>
        <v>0</v>
      </c>
      <c r="R23" s="7" cm="1">
        <f t="array" ref="R23">CommonWorkdays($D23,$E23,R$10,EOMONTH(R$10,0)+1,holidays)</f>
        <v>0</v>
      </c>
      <c r="S23" s="7" cm="1">
        <f t="array" ref="S23">CommonWorkdays($D23,$E23,S$10,EOMONTH(S$10,0)+1,holidays)</f>
        <v>0</v>
      </c>
      <c r="T23" s="7" cm="1">
        <f t="array" ref="T23">CommonWorkdays($D23,$E23,T$10,EOMONTH(T$10,0)+1,holidays)</f>
        <v>0</v>
      </c>
      <c r="U23" s="7" cm="1">
        <f t="array" ref="U23">CommonWorkdays($D23,$E23,U$10,EOMONTH(U$10,0)+1,holidays)</f>
        <v>0</v>
      </c>
      <c r="V23" s="7" cm="1">
        <f t="array" ref="V23">CommonWorkdays($D23,$E23,V$10,EOMONTH(V$10,0)+1,holidays)</f>
        <v>0</v>
      </c>
      <c r="W23" s="7" cm="1">
        <f t="array" ref="W23">CommonWorkdays($D23,$E23,W$10,EOMONTH(W$10,0)+1,holidays)</f>
        <v>0</v>
      </c>
      <c r="X23" s="7" cm="1">
        <f t="array" ref="X23">CommonWorkdays($D23,$E23,X$10,EOMONTH(X$10,0)+1,holidays)</f>
        <v>0</v>
      </c>
      <c r="Y23" s="7" cm="1">
        <f t="array" ref="Y23">CommonWorkdays($D23,$E23,Y$10,EOMONTH(Y$10,0)+1,holidays)</f>
        <v>0</v>
      </c>
      <c r="Z23" s="7" cm="1">
        <f t="array" ref="Z23">CommonWorkdays($D23,$E23,Z$10,EOMONTH(Z$10,0)+1,holidays)</f>
        <v>0</v>
      </c>
      <c r="AA23" s="7" cm="1">
        <f t="array" ref="AA23">CommonWorkdays($D23,$E23,AA$10,EOMONTH(AA$10,0)+1,holidays)</f>
        <v>0</v>
      </c>
      <c r="AB23" s="7" cm="1">
        <f t="array" ref="AB23">CommonWorkdays($D23,$E23,AB$10,EOMONTH(AB$10,0)+1,holidays)</f>
        <v>0</v>
      </c>
      <c r="AC23" s="106" cm="1">
        <f t="array" ref="AC23">CommonWorkdays($D23,$E23,AC$10,EOMONTH(AC$10,0)+1,holidays)</f>
        <v>0</v>
      </c>
    </row>
    <row r="24" spans="2:29" hidden="1" outlineLevel="1" x14ac:dyDescent="0.3">
      <c r="B24" s="2">
        <f t="shared" si="2"/>
        <v>13</v>
      </c>
      <c r="C24" s="35" t="s">
        <v>76</v>
      </c>
      <c r="D24" s="6">
        <v>45971</v>
      </c>
      <c r="E24" s="6">
        <v>45974</v>
      </c>
      <c r="F24" s="129">
        <f>NETWORKDAYS(D24,E24-1,holidays)</f>
        <v>3</v>
      </c>
      <c r="G24" s="7" cm="1">
        <f t="array" ref="G24">CommonWorkdays($D24,$E24,G$10,EOMONTH(G$10,0)+1,holidays)</f>
        <v>0</v>
      </c>
      <c r="H24" s="7" cm="1">
        <f t="array" ref="H24">CommonWorkdays($D24,$E24,H$10,EOMONTH(H$10,0)+1,holidays)</f>
        <v>0</v>
      </c>
      <c r="I24" s="7" cm="1">
        <f t="array" ref="I24">CommonWorkdays($D24,$E24,I$10,EOMONTH(I$10,0)+1,holidays)</f>
        <v>0</v>
      </c>
      <c r="J24" s="7" cm="1">
        <f t="array" ref="J24">CommonWorkdays($D24,$E24,J$10,EOMONTH(J$10,0)+1,holidays)</f>
        <v>0</v>
      </c>
      <c r="K24" s="7" cm="1">
        <f t="array" ref="K24">CommonWorkdays($D24,$E24,K$10,EOMONTH(K$10,0)+1,holidays)</f>
        <v>0</v>
      </c>
      <c r="L24" s="7" cm="1">
        <f t="array" ref="L24">CommonWorkdays($D24,$E24,L$10,EOMONTH(L$10,0)+1,holidays)</f>
        <v>0</v>
      </c>
      <c r="M24" s="7" cm="1">
        <f t="array" ref="M24">CommonWorkdays($D24,$E24,M$10,EOMONTH(M$10,0)+1,holidays)</f>
        <v>0</v>
      </c>
      <c r="N24" s="7" cm="1">
        <f t="array" ref="N24">CommonWorkdays($D24,$E24,N$10,EOMONTH(N$10,0)+1,holidays)</f>
        <v>0</v>
      </c>
      <c r="O24" s="7" cm="1">
        <f t="array" ref="O24">CommonWorkdays($D24,$E24,O$10,EOMONTH(O$10,0)+1,holidays)</f>
        <v>0</v>
      </c>
      <c r="P24" s="7" cm="1">
        <f t="array" ref="P24">CommonWorkdays($D24,$E24,P$10,EOMONTH(P$10,0)+1,holidays)</f>
        <v>0</v>
      </c>
      <c r="Q24" s="7" cm="1">
        <f t="array" ref="Q24">CommonWorkdays($D24,$E24,Q$10,EOMONTH(Q$10,0)+1,holidays)</f>
        <v>3</v>
      </c>
      <c r="R24" s="7" cm="1">
        <f t="array" ref="R24">CommonWorkdays($D24,$E24,R$10,EOMONTH(R$10,0)+1,holidays)</f>
        <v>0</v>
      </c>
      <c r="S24" s="7" cm="1">
        <f t="array" ref="S24">CommonWorkdays($D24,$E24,S$10,EOMONTH(S$10,0)+1,holidays)</f>
        <v>0</v>
      </c>
      <c r="T24" s="7" cm="1">
        <f t="array" ref="T24">CommonWorkdays($D24,$E24,T$10,EOMONTH(T$10,0)+1,holidays)</f>
        <v>0</v>
      </c>
      <c r="U24" s="7" cm="1">
        <f t="array" ref="U24">CommonWorkdays($D24,$E24,U$10,EOMONTH(U$10,0)+1,holidays)</f>
        <v>0</v>
      </c>
      <c r="V24" s="7" cm="1">
        <f t="array" ref="V24">CommonWorkdays($D24,$E24,V$10,EOMONTH(V$10,0)+1,holidays)</f>
        <v>0</v>
      </c>
      <c r="W24" s="7" cm="1">
        <f t="array" ref="W24">CommonWorkdays($D24,$E24,W$10,EOMONTH(W$10,0)+1,holidays)</f>
        <v>0</v>
      </c>
      <c r="X24" s="7" cm="1">
        <f t="array" ref="X24">CommonWorkdays($D24,$E24,X$10,EOMONTH(X$10,0)+1,holidays)</f>
        <v>0</v>
      </c>
      <c r="Y24" s="7" cm="1">
        <f t="array" ref="Y24">CommonWorkdays($D24,$E24,Y$10,EOMONTH(Y$10,0)+1,holidays)</f>
        <v>0</v>
      </c>
      <c r="Z24" s="7" cm="1">
        <f t="array" ref="Z24">CommonWorkdays($D24,$E24,Z$10,EOMONTH(Z$10,0)+1,holidays)</f>
        <v>0</v>
      </c>
      <c r="AA24" s="7" cm="1">
        <f t="array" ref="AA24">CommonWorkdays($D24,$E24,AA$10,EOMONTH(AA$10,0)+1,holidays)</f>
        <v>0</v>
      </c>
      <c r="AB24" s="7" cm="1">
        <f t="array" ref="AB24">CommonWorkdays($D24,$E24,AB$10,EOMONTH(AB$10,0)+1,holidays)</f>
        <v>0</v>
      </c>
      <c r="AC24" s="106" cm="1">
        <f t="array" ref="AC24">CommonWorkdays($D24,$E24,AC$10,EOMONTH(AC$10,0)+1,holidays)</f>
        <v>0</v>
      </c>
    </row>
    <row r="25" spans="2:29" hidden="1" outlineLevel="1" x14ac:dyDescent="0.3">
      <c r="B25" s="9">
        <f>B24+1</f>
        <v>14</v>
      </c>
      <c r="C25" s="36" t="s">
        <v>77</v>
      </c>
      <c r="D25" s="12">
        <v>46002</v>
      </c>
      <c r="E25" s="12">
        <v>46007</v>
      </c>
      <c r="F25" s="130">
        <f>NETWORKDAYS(D25,E25-1,holidays)</f>
        <v>3</v>
      </c>
      <c r="G25" s="13" cm="1">
        <f t="array" ref="G25">CommonWorkdays($D25,$E25,G$10,EOMONTH(G$10,0)+1,holidays)</f>
        <v>0</v>
      </c>
      <c r="H25" s="13" cm="1">
        <f t="array" ref="H25">CommonWorkdays($D25,$E25,H$10,EOMONTH(H$10,0)+1,holidays)</f>
        <v>0</v>
      </c>
      <c r="I25" s="13" cm="1">
        <f t="array" ref="I25">CommonWorkdays($D25,$E25,I$10,EOMONTH(I$10,0)+1,holidays)</f>
        <v>0</v>
      </c>
      <c r="J25" s="13" cm="1">
        <f t="array" ref="J25">CommonWorkdays($D25,$E25,J$10,EOMONTH(J$10,0)+1,holidays)</f>
        <v>0</v>
      </c>
      <c r="K25" s="13" cm="1">
        <f t="array" ref="K25">CommonWorkdays($D25,$E25,K$10,EOMONTH(K$10,0)+1,holidays)</f>
        <v>0</v>
      </c>
      <c r="L25" s="13" cm="1">
        <f t="array" ref="L25">CommonWorkdays($D25,$E25,L$10,EOMONTH(L$10,0)+1,holidays)</f>
        <v>0</v>
      </c>
      <c r="M25" s="13" cm="1">
        <f t="array" ref="M25">CommonWorkdays($D25,$E25,M$10,EOMONTH(M$10,0)+1,holidays)</f>
        <v>0</v>
      </c>
      <c r="N25" s="13" cm="1">
        <f t="array" ref="N25">CommonWorkdays($D25,$E25,N$10,EOMONTH(N$10,0)+1,holidays)</f>
        <v>0</v>
      </c>
      <c r="O25" s="13" cm="1">
        <f t="array" ref="O25">CommonWorkdays($D25,$E25,O$10,EOMONTH(O$10,0)+1,holidays)</f>
        <v>0</v>
      </c>
      <c r="P25" s="13" cm="1">
        <f t="array" ref="P25">CommonWorkdays($D25,$E25,P$10,EOMONTH(P$10,0)+1,holidays)</f>
        <v>0</v>
      </c>
      <c r="Q25" s="13" cm="1">
        <f t="array" ref="Q25">CommonWorkdays($D25,$E25,Q$10,EOMONTH(Q$10,0)+1,holidays)</f>
        <v>0</v>
      </c>
      <c r="R25" s="13" cm="1">
        <f t="array" ref="R25">CommonWorkdays($D25,$E25,R$10,EOMONTH(R$10,0)+1,holidays)</f>
        <v>3</v>
      </c>
      <c r="S25" s="13" cm="1">
        <f t="array" ref="S25">CommonWorkdays($D25,$E25,S$10,EOMONTH(S$10,0)+1,holidays)</f>
        <v>0</v>
      </c>
      <c r="T25" s="13" cm="1">
        <f t="array" ref="T25">CommonWorkdays($D25,$E25,T$10,EOMONTH(T$10,0)+1,holidays)</f>
        <v>0</v>
      </c>
      <c r="U25" s="13" cm="1">
        <f t="array" ref="U25">CommonWorkdays($D25,$E25,U$10,EOMONTH(U$10,0)+1,holidays)</f>
        <v>0</v>
      </c>
      <c r="V25" s="13" cm="1">
        <f t="array" ref="V25">CommonWorkdays($D25,$E25,V$10,EOMONTH(V$10,0)+1,holidays)</f>
        <v>0</v>
      </c>
      <c r="W25" s="13" cm="1">
        <f t="array" ref="W25">CommonWorkdays($D25,$E25,W$10,EOMONTH(W$10,0)+1,holidays)</f>
        <v>0</v>
      </c>
      <c r="X25" s="13" cm="1">
        <f t="array" ref="X25">CommonWorkdays($D25,$E25,X$10,EOMONTH(X$10,0)+1,holidays)</f>
        <v>0</v>
      </c>
      <c r="Y25" s="13" cm="1">
        <f t="array" ref="Y25">CommonWorkdays($D25,$E25,Y$10,EOMONTH(Y$10,0)+1,holidays)</f>
        <v>0</v>
      </c>
      <c r="Z25" s="13" cm="1">
        <f t="array" ref="Z25">CommonWorkdays($D25,$E25,Z$10,EOMONTH(Z$10,0)+1,holidays)</f>
        <v>0</v>
      </c>
      <c r="AA25" s="13" cm="1">
        <f t="array" ref="AA25">CommonWorkdays($D25,$E25,AA$10,EOMONTH(AA$10,0)+1,holidays)</f>
        <v>0</v>
      </c>
      <c r="AB25" s="13" cm="1">
        <f t="array" ref="AB25">CommonWorkdays($D25,$E25,AB$10,EOMONTH(AB$10,0)+1,holidays)</f>
        <v>0</v>
      </c>
      <c r="AC25" s="114" cm="1">
        <f t="array" ref="AC25">CommonWorkdays($D25,$E25,AC$10,EOMONTH(AC$10,0)+1,holidays)</f>
        <v>0</v>
      </c>
    </row>
    <row r="26" spans="2:29" collapsed="1" x14ac:dyDescent="0.3">
      <c r="B26" s="48">
        <f>B25+1</f>
        <v>15</v>
      </c>
      <c r="C26" s="49" t="s">
        <v>102</v>
      </c>
      <c r="D26" s="50">
        <v>45691</v>
      </c>
      <c r="E26" s="50">
        <v>45826</v>
      </c>
      <c r="F26" s="131">
        <f>NETWORKDAYS(D26,E26-1,holidays)</f>
        <v>88</v>
      </c>
      <c r="G26" s="116" cm="1">
        <f t="array" ref="G26">CommonWorkdays($D26,$E26,G$10,EOMONTH(G$10,0)+1,holidays)</f>
        <v>0</v>
      </c>
      <c r="H26" s="116" cm="1">
        <f t="array" ref="H26">CommonWorkdays($D26,$E26,H$10,EOMONTH(H$10,0)+1,holidays)</f>
        <v>19</v>
      </c>
      <c r="I26" s="116" cm="1">
        <f t="array" ref="I26">CommonWorkdays($D26,$E26,I$10,EOMONTH(I$10,0)+1,holidays)</f>
        <v>21</v>
      </c>
      <c r="J26" s="116" cm="1">
        <f t="array" ref="J26">CommonWorkdays($D26,$E26,J$10,EOMONTH(J$10,0)+1,holidays)</f>
        <v>19</v>
      </c>
      <c r="K26" s="116" cm="1">
        <f t="array" ref="K26">CommonWorkdays($D26,$E26,K$10,EOMONTH(K$10,0)+1,holidays)</f>
        <v>19</v>
      </c>
      <c r="L26" s="116" cm="1">
        <f t="array" ref="L26">CommonWorkdays($D26,$E26,L$10,EOMONTH(L$10,0)+1,holidays)</f>
        <v>10</v>
      </c>
      <c r="M26" s="116" cm="1">
        <f t="array" ref="M26">CommonWorkdays($D26,$E26,M$10,EOMONTH(M$10,0)+1,holidays)</f>
        <v>0</v>
      </c>
      <c r="N26" s="116" cm="1">
        <f t="array" ref="N26">CommonWorkdays($D26,$E26,N$10,EOMONTH(N$10,0)+1,holidays)</f>
        <v>0</v>
      </c>
      <c r="O26" s="116" cm="1">
        <f t="array" ref="O26">CommonWorkdays($D26,$E26,O$10,EOMONTH(O$10,0)+1,holidays)</f>
        <v>0</v>
      </c>
      <c r="P26" s="116" cm="1">
        <f t="array" ref="P26">CommonWorkdays($D26,$E26,P$10,EOMONTH(P$10,0)+1,holidays)</f>
        <v>0</v>
      </c>
      <c r="Q26" s="116" cm="1">
        <f t="array" ref="Q26">CommonWorkdays($D26,$E26,Q$10,EOMONTH(Q$10,0)+1,holidays)</f>
        <v>0</v>
      </c>
      <c r="R26" s="116" cm="1">
        <f t="array" ref="R26">CommonWorkdays($D26,$E26,R$10,EOMONTH(R$10,0)+1,holidays)</f>
        <v>0</v>
      </c>
      <c r="S26" s="116" cm="1">
        <f t="array" ref="S26">CommonWorkdays($D26,$E26,S$10,EOMONTH(S$10,0)+1,holidays)</f>
        <v>0</v>
      </c>
      <c r="T26" s="116" cm="1">
        <f t="array" ref="T26">CommonWorkdays($D26,$E26,T$10,EOMONTH(T$10,0)+1,holidays)</f>
        <v>0</v>
      </c>
      <c r="U26" s="116" cm="1">
        <f t="array" ref="U26">CommonWorkdays($D26,$E26,U$10,EOMONTH(U$10,0)+1,holidays)</f>
        <v>0</v>
      </c>
      <c r="V26" s="116" cm="1">
        <f t="array" ref="V26">CommonWorkdays($D26,$E26,V$10,EOMONTH(V$10,0)+1,holidays)</f>
        <v>0</v>
      </c>
      <c r="W26" s="116" cm="1">
        <f t="array" ref="W26">CommonWorkdays($D26,$E26,W$10,EOMONTH(W$10,0)+1,holidays)</f>
        <v>0</v>
      </c>
      <c r="X26" s="116" cm="1">
        <f t="array" ref="X26">CommonWorkdays($D26,$E26,X$10,EOMONTH(X$10,0)+1,holidays)</f>
        <v>0</v>
      </c>
      <c r="Y26" s="116" cm="1">
        <f t="array" ref="Y26">CommonWorkdays($D26,$E26,Y$10,EOMONTH(Y$10,0)+1,holidays)</f>
        <v>0</v>
      </c>
      <c r="Z26" s="116" cm="1">
        <f t="array" ref="Z26">CommonWorkdays($D26,$E26,Z$10,EOMONTH(Z$10,0)+1,holidays)</f>
        <v>0</v>
      </c>
      <c r="AA26" s="116" cm="1">
        <f t="array" ref="AA26">CommonWorkdays($D26,$E26,AA$10,EOMONTH(AA$10,0)+1,holidays)</f>
        <v>0</v>
      </c>
      <c r="AB26" s="116" cm="1">
        <f t="array" ref="AB26">CommonWorkdays($D26,$E26,AB$10,EOMONTH(AB$10,0)+1,holidays)</f>
        <v>0</v>
      </c>
      <c r="AC26" s="117" cm="1">
        <f t="array" ref="AC26">CommonWorkdays($D26,$E26,AC$10,EOMONTH(AC$10,0)+1,holidays)</f>
        <v>0</v>
      </c>
    </row>
    <row r="27" spans="2:29" hidden="1" outlineLevel="1" x14ac:dyDescent="0.3">
      <c r="B27" s="2">
        <f>B26+1</f>
        <v>16</v>
      </c>
      <c r="C27" s="35" t="s">
        <v>78</v>
      </c>
      <c r="D27" s="6">
        <v>45691</v>
      </c>
      <c r="E27" s="6">
        <v>45693</v>
      </c>
      <c r="F27" s="129">
        <f>NETWORKDAYS(D27,E27-1,holidays)</f>
        <v>2</v>
      </c>
      <c r="G27" s="7" cm="1">
        <f t="array" ref="G27">CommonWorkdays($D27,$E27,G$10,EOMONTH(G$10,0)+1,holidays)</f>
        <v>0</v>
      </c>
      <c r="H27" s="7" cm="1">
        <f t="array" ref="H27">CommonWorkdays($D27,$E27,H$10,EOMONTH(H$10,0)+1,holidays)</f>
        <v>2</v>
      </c>
      <c r="I27" s="7" cm="1">
        <f t="array" ref="I27">CommonWorkdays($D27,$E27,I$10,EOMONTH(I$10,0)+1,holidays)</f>
        <v>0</v>
      </c>
      <c r="J27" s="7" cm="1">
        <f t="array" ref="J27">CommonWorkdays($D27,$E27,J$10,EOMONTH(J$10,0)+1,holidays)</f>
        <v>0</v>
      </c>
      <c r="K27" s="7" cm="1">
        <f t="array" ref="K27">CommonWorkdays($D27,$E27,K$10,EOMONTH(K$10,0)+1,holidays)</f>
        <v>0</v>
      </c>
      <c r="L27" s="7" cm="1">
        <f t="array" ref="L27">CommonWorkdays($D27,$E27,L$10,EOMONTH(L$10,0)+1,holidays)</f>
        <v>0</v>
      </c>
      <c r="M27" s="7" cm="1">
        <f t="array" ref="M27">CommonWorkdays($D27,$E27,M$10,EOMONTH(M$10,0)+1,holidays)</f>
        <v>0</v>
      </c>
      <c r="N27" s="7" cm="1">
        <f t="array" ref="N27">CommonWorkdays($D27,$E27,N$10,EOMONTH(N$10,0)+1,holidays)</f>
        <v>0</v>
      </c>
      <c r="O27" s="7" cm="1">
        <f t="array" ref="O27">CommonWorkdays($D27,$E27,O$10,EOMONTH(O$10,0)+1,holidays)</f>
        <v>0</v>
      </c>
      <c r="P27" s="7" cm="1">
        <f t="array" ref="P27">CommonWorkdays($D27,$E27,P$10,EOMONTH(P$10,0)+1,holidays)</f>
        <v>0</v>
      </c>
      <c r="Q27" s="7" cm="1">
        <f t="array" ref="Q27">CommonWorkdays($D27,$E27,Q$10,EOMONTH(Q$10,0)+1,holidays)</f>
        <v>0</v>
      </c>
      <c r="R27" s="7" cm="1">
        <f t="array" ref="R27">CommonWorkdays($D27,$E27,R$10,EOMONTH(R$10,0)+1,holidays)</f>
        <v>0</v>
      </c>
      <c r="S27" s="7" cm="1">
        <f t="array" ref="S27">CommonWorkdays($D27,$E27,S$10,EOMONTH(S$10,0)+1,holidays)</f>
        <v>0</v>
      </c>
      <c r="T27" s="7" cm="1">
        <f t="array" ref="T27">CommonWorkdays($D27,$E27,T$10,EOMONTH(T$10,0)+1,holidays)</f>
        <v>0</v>
      </c>
      <c r="U27" s="7" cm="1">
        <f t="array" ref="U27">CommonWorkdays($D27,$E27,U$10,EOMONTH(U$10,0)+1,holidays)</f>
        <v>0</v>
      </c>
      <c r="V27" s="7" cm="1">
        <f t="array" ref="V27">CommonWorkdays($D27,$E27,V$10,EOMONTH(V$10,0)+1,holidays)</f>
        <v>0</v>
      </c>
      <c r="W27" s="7" cm="1">
        <f t="array" ref="W27">CommonWorkdays($D27,$E27,W$10,EOMONTH(W$10,0)+1,holidays)</f>
        <v>0</v>
      </c>
      <c r="X27" s="7" cm="1">
        <f t="array" ref="X27">CommonWorkdays($D27,$E27,X$10,EOMONTH(X$10,0)+1,holidays)</f>
        <v>0</v>
      </c>
      <c r="Y27" s="7" cm="1">
        <f t="array" ref="Y27">CommonWorkdays($D27,$E27,Y$10,EOMONTH(Y$10,0)+1,holidays)</f>
        <v>0</v>
      </c>
      <c r="Z27" s="7" cm="1">
        <f t="array" ref="Z27">CommonWorkdays($D27,$E27,Z$10,EOMONTH(Z$10,0)+1,holidays)</f>
        <v>0</v>
      </c>
      <c r="AA27" s="7" cm="1">
        <f t="array" ref="AA27">CommonWorkdays($D27,$E27,AA$10,EOMONTH(AA$10,0)+1,holidays)</f>
        <v>0</v>
      </c>
      <c r="AB27" s="7" cm="1">
        <f t="array" ref="AB27">CommonWorkdays($D27,$E27,AB$10,EOMONTH(AB$10,0)+1,holidays)</f>
        <v>0</v>
      </c>
      <c r="AC27" s="106" cm="1">
        <f t="array" ref="AC27">CommonWorkdays($D27,$E27,AC$10,EOMONTH(AC$10,0)+1,holidays)</f>
        <v>0</v>
      </c>
    </row>
    <row r="28" spans="2:29" hidden="1" outlineLevel="1" x14ac:dyDescent="0.3">
      <c r="B28" s="2">
        <f t="shared" ref="B28:B30" si="3">B27+1</f>
        <v>17</v>
      </c>
      <c r="C28" s="35" t="s">
        <v>47</v>
      </c>
      <c r="D28" s="6">
        <v>45734</v>
      </c>
      <c r="E28" s="6">
        <v>45736</v>
      </c>
      <c r="F28" s="129">
        <f>NETWORKDAYS(D28,E28-1,holidays)</f>
        <v>2</v>
      </c>
      <c r="G28" s="7" cm="1">
        <f t="array" ref="G28">CommonWorkdays($D28,$E28,G$10,EOMONTH(G$10,0)+1,holidays)</f>
        <v>0</v>
      </c>
      <c r="H28" s="7" cm="1">
        <f t="array" ref="H28">CommonWorkdays($D28,$E28,H$10,EOMONTH(H$10,0)+1,holidays)</f>
        <v>0</v>
      </c>
      <c r="I28" s="7" cm="1">
        <f t="array" ref="I28">CommonWorkdays($D28,$E28,I$10,EOMONTH(I$10,0)+1,holidays)</f>
        <v>2</v>
      </c>
      <c r="J28" s="7" cm="1">
        <f t="array" ref="J28">CommonWorkdays($D28,$E28,J$10,EOMONTH(J$10,0)+1,holidays)</f>
        <v>0</v>
      </c>
      <c r="K28" s="7" cm="1">
        <f t="array" ref="K28">CommonWorkdays($D28,$E28,K$10,EOMONTH(K$10,0)+1,holidays)</f>
        <v>0</v>
      </c>
      <c r="L28" s="7" cm="1">
        <f t="array" ref="L28">CommonWorkdays($D28,$E28,L$10,EOMONTH(L$10,0)+1,holidays)</f>
        <v>0</v>
      </c>
      <c r="M28" s="7" cm="1">
        <f t="array" ref="M28">CommonWorkdays($D28,$E28,M$10,EOMONTH(M$10,0)+1,holidays)</f>
        <v>0</v>
      </c>
      <c r="N28" s="7" cm="1">
        <f t="array" ref="N28">CommonWorkdays($D28,$E28,N$10,EOMONTH(N$10,0)+1,holidays)</f>
        <v>0</v>
      </c>
      <c r="O28" s="7" cm="1">
        <f t="array" ref="O28">CommonWorkdays($D28,$E28,O$10,EOMONTH(O$10,0)+1,holidays)</f>
        <v>0</v>
      </c>
      <c r="P28" s="7" cm="1">
        <f t="array" ref="P28">CommonWorkdays($D28,$E28,P$10,EOMONTH(P$10,0)+1,holidays)</f>
        <v>0</v>
      </c>
      <c r="Q28" s="7" cm="1">
        <f t="array" ref="Q28">CommonWorkdays($D28,$E28,Q$10,EOMONTH(Q$10,0)+1,holidays)</f>
        <v>0</v>
      </c>
      <c r="R28" s="7" cm="1">
        <f t="array" ref="R28">CommonWorkdays($D28,$E28,R$10,EOMONTH(R$10,0)+1,holidays)</f>
        <v>0</v>
      </c>
      <c r="S28" s="7" cm="1">
        <f t="array" ref="S28">CommonWorkdays($D28,$E28,S$10,EOMONTH(S$10,0)+1,holidays)</f>
        <v>0</v>
      </c>
      <c r="T28" s="7" cm="1">
        <f t="array" ref="T28">CommonWorkdays($D28,$E28,T$10,EOMONTH(T$10,0)+1,holidays)</f>
        <v>0</v>
      </c>
      <c r="U28" s="7" cm="1">
        <f t="array" ref="U28">CommonWorkdays($D28,$E28,U$10,EOMONTH(U$10,0)+1,holidays)</f>
        <v>0</v>
      </c>
      <c r="V28" s="7" cm="1">
        <f t="array" ref="V28">CommonWorkdays($D28,$E28,V$10,EOMONTH(V$10,0)+1,holidays)</f>
        <v>0</v>
      </c>
      <c r="W28" s="7" cm="1">
        <f t="array" ref="W28">CommonWorkdays($D28,$E28,W$10,EOMONTH(W$10,0)+1,holidays)</f>
        <v>0</v>
      </c>
      <c r="X28" s="7" cm="1">
        <f t="array" ref="X28">CommonWorkdays($D28,$E28,X$10,EOMONTH(X$10,0)+1,holidays)</f>
        <v>0</v>
      </c>
      <c r="Y28" s="7" cm="1">
        <f t="array" ref="Y28">CommonWorkdays($D28,$E28,Y$10,EOMONTH(Y$10,0)+1,holidays)</f>
        <v>0</v>
      </c>
      <c r="Z28" s="7" cm="1">
        <f t="array" ref="Z28">CommonWorkdays($D28,$E28,Z$10,EOMONTH(Z$10,0)+1,holidays)</f>
        <v>0</v>
      </c>
      <c r="AA28" s="7" cm="1">
        <f t="array" ref="AA28">CommonWorkdays($D28,$E28,AA$10,EOMONTH(AA$10,0)+1,holidays)</f>
        <v>0</v>
      </c>
      <c r="AB28" s="7" cm="1">
        <f t="array" ref="AB28">CommonWorkdays($D28,$E28,AB$10,EOMONTH(AB$10,0)+1,holidays)</f>
        <v>0</v>
      </c>
      <c r="AC28" s="106" cm="1">
        <f t="array" ref="AC28">CommonWorkdays($D28,$E28,AC$10,EOMONTH(AC$10,0)+1,holidays)</f>
        <v>0</v>
      </c>
    </row>
    <row r="29" spans="2:29" hidden="1" outlineLevel="1" x14ac:dyDescent="0.3">
      <c r="B29" s="2">
        <f t="shared" si="3"/>
        <v>18</v>
      </c>
      <c r="C29" s="35" t="s">
        <v>88</v>
      </c>
      <c r="D29" s="6">
        <v>45790</v>
      </c>
      <c r="E29" s="6">
        <v>45794</v>
      </c>
      <c r="F29" s="129">
        <f>NETWORKDAYS(D29,E29-1,holidays)</f>
        <v>4</v>
      </c>
      <c r="G29" s="7" cm="1">
        <f t="array" ref="G29">CommonWorkdays($D29,$E29,G$10,EOMONTH(G$10,0)+1,holidays)</f>
        <v>0</v>
      </c>
      <c r="H29" s="7" cm="1">
        <f t="array" ref="H29">CommonWorkdays($D29,$E29,H$10,EOMONTH(H$10,0)+1,holidays)</f>
        <v>0</v>
      </c>
      <c r="I29" s="7" cm="1">
        <f t="array" ref="I29">CommonWorkdays($D29,$E29,I$10,EOMONTH(I$10,0)+1,holidays)</f>
        <v>0</v>
      </c>
      <c r="J29" s="7" cm="1">
        <f t="array" ref="J29">CommonWorkdays($D29,$E29,J$10,EOMONTH(J$10,0)+1,holidays)</f>
        <v>0</v>
      </c>
      <c r="K29" s="7" cm="1">
        <f t="array" ref="K29">CommonWorkdays($D29,$E29,K$10,EOMONTH(K$10,0)+1,holidays)</f>
        <v>4</v>
      </c>
      <c r="L29" s="7" cm="1">
        <f t="array" ref="L29">CommonWorkdays($D29,$E29,L$10,EOMONTH(L$10,0)+1,holidays)</f>
        <v>0</v>
      </c>
      <c r="M29" s="7" cm="1">
        <f t="array" ref="M29">CommonWorkdays($D29,$E29,M$10,EOMONTH(M$10,0)+1,holidays)</f>
        <v>0</v>
      </c>
      <c r="N29" s="7" cm="1">
        <f t="array" ref="N29">CommonWorkdays($D29,$E29,N$10,EOMONTH(N$10,0)+1,holidays)</f>
        <v>0</v>
      </c>
      <c r="O29" s="7" cm="1">
        <f t="array" ref="O29">CommonWorkdays($D29,$E29,O$10,EOMONTH(O$10,0)+1,holidays)</f>
        <v>0</v>
      </c>
      <c r="P29" s="7" cm="1">
        <f t="array" ref="P29">CommonWorkdays($D29,$E29,P$10,EOMONTH(P$10,0)+1,holidays)</f>
        <v>0</v>
      </c>
      <c r="Q29" s="7" cm="1">
        <f t="array" ref="Q29">CommonWorkdays($D29,$E29,Q$10,EOMONTH(Q$10,0)+1,holidays)</f>
        <v>0</v>
      </c>
      <c r="R29" s="7" cm="1">
        <f t="array" ref="R29">CommonWorkdays($D29,$E29,R$10,EOMONTH(R$10,0)+1,holidays)</f>
        <v>0</v>
      </c>
      <c r="S29" s="7" cm="1">
        <f t="array" ref="S29">CommonWorkdays($D29,$E29,S$10,EOMONTH(S$10,0)+1,holidays)</f>
        <v>0</v>
      </c>
      <c r="T29" s="7" cm="1">
        <f t="array" ref="T29">CommonWorkdays($D29,$E29,T$10,EOMONTH(T$10,0)+1,holidays)</f>
        <v>0</v>
      </c>
      <c r="U29" s="7" cm="1">
        <f t="array" ref="U29">CommonWorkdays($D29,$E29,U$10,EOMONTH(U$10,0)+1,holidays)</f>
        <v>0</v>
      </c>
      <c r="V29" s="7" cm="1">
        <f t="array" ref="V29">CommonWorkdays($D29,$E29,V$10,EOMONTH(V$10,0)+1,holidays)</f>
        <v>0</v>
      </c>
      <c r="W29" s="7" cm="1">
        <f t="array" ref="W29">CommonWorkdays($D29,$E29,W$10,EOMONTH(W$10,0)+1,holidays)</f>
        <v>0</v>
      </c>
      <c r="X29" s="7" cm="1">
        <f t="array" ref="X29">CommonWorkdays($D29,$E29,X$10,EOMONTH(X$10,0)+1,holidays)</f>
        <v>0</v>
      </c>
      <c r="Y29" s="7" cm="1">
        <f t="array" ref="Y29">CommonWorkdays($D29,$E29,Y$10,EOMONTH(Y$10,0)+1,holidays)</f>
        <v>0</v>
      </c>
      <c r="Z29" s="7" cm="1">
        <f t="array" ref="Z29">CommonWorkdays($D29,$E29,Z$10,EOMONTH(Z$10,0)+1,holidays)</f>
        <v>0</v>
      </c>
      <c r="AA29" s="7" cm="1">
        <f t="array" ref="AA29">CommonWorkdays($D29,$E29,AA$10,EOMONTH(AA$10,0)+1,holidays)</f>
        <v>0</v>
      </c>
      <c r="AB29" s="7" cm="1">
        <f t="array" ref="AB29">CommonWorkdays($D29,$E29,AB$10,EOMONTH(AB$10,0)+1,holidays)</f>
        <v>0</v>
      </c>
      <c r="AC29" s="106" cm="1">
        <f t="array" ref="AC29">CommonWorkdays($D29,$E29,AC$10,EOMONTH(AC$10,0)+1,holidays)</f>
        <v>0</v>
      </c>
    </row>
    <row r="30" spans="2:29" ht="26" hidden="1" outlineLevel="1" x14ac:dyDescent="0.3">
      <c r="B30" s="9">
        <f t="shared" si="3"/>
        <v>19</v>
      </c>
      <c r="C30" s="36" t="s">
        <v>48</v>
      </c>
      <c r="D30" s="12">
        <v>45824</v>
      </c>
      <c r="E30" s="12">
        <v>45826</v>
      </c>
      <c r="F30" s="130">
        <f>NETWORKDAYS(D30,E30-1,holidays)</f>
        <v>2</v>
      </c>
      <c r="G30" s="13" cm="1">
        <f t="array" ref="G30">CommonWorkdays($D30,$E30,G$10,EOMONTH(G$10,0)+1,holidays)</f>
        <v>0</v>
      </c>
      <c r="H30" s="13" cm="1">
        <f t="array" ref="H30">CommonWorkdays($D30,$E30,H$10,EOMONTH(H$10,0)+1,holidays)</f>
        <v>0</v>
      </c>
      <c r="I30" s="13" cm="1">
        <f t="array" ref="I30">CommonWorkdays($D30,$E30,I$10,EOMONTH(I$10,0)+1,holidays)</f>
        <v>0</v>
      </c>
      <c r="J30" s="13" cm="1">
        <f t="array" ref="J30">CommonWorkdays($D30,$E30,J$10,EOMONTH(J$10,0)+1,holidays)</f>
        <v>0</v>
      </c>
      <c r="K30" s="13" cm="1">
        <f t="array" ref="K30">CommonWorkdays($D30,$E30,K$10,EOMONTH(K$10,0)+1,holidays)</f>
        <v>0</v>
      </c>
      <c r="L30" s="13" cm="1">
        <f t="array" ref="L30">CommonWorkdays($D30,$E30,L$10,EOMONTH(L$10,0)+1,holidays)</f>
        <v>2</v>
      </c>
      <c r="M30" s="13" cm="1">
        <f t="array" ref="M30">CommonWorkdays($D30,$E30,M$10,EOMONTH(M$10,0)+1,holidays)</f>
        <v>0</v>
      </c>
      <c r="N30" s="13" cm="1">
        <f t="array" ref="N30">CommonWorkdays($D30,$E30,N$10,EOMONTH(N$10,0)+1,holidays)</f>
        <v>0</v>
      </c>
      <c r="O30" s="13" cm="1">
        <f t="array" ref="O30">CommonWorkdays($D30,$E30,O$10,EOMONTH(O$10,0)+1,holidays)</f>
        <v>0</v>
      </c>
      <c r="P30" s="13" cm="1">
        <f t="array" ref="P30">CommonWorkdays($D30,$E30,P$10,EOMONTH(P$10,0)+1,holidays)</f>
        <v>0</v>
      </c>
      <c r="Q30" s="13" cm="1">
        <f t="array" ref="Q30">CommonWorkdays($D30,$E30,Q$10,EOMONTH(Q$10,0)+1,holidays)</f>
        <v>0</v>
      </c>
      <c r="R30" s="13" cm="1">
        <f t="array" ref="R30">CommonWorkdays($D30,$E30,R$10,EOMONTH(R$10,0)+1,holidays)</f>
        <v>0</v>
      </c>
      <c r="S30" s="13" cm="1">
        <f t="array" ref="S30">CommonWorkdays($D30,$E30,S$10,EOMONTH(S$10,0)+1,holidays)</f>
        <v>0</v>
      </c>
      <c r="T30" s="13" cm="1">
        <f t="array" ref="T30">CommonWorkdays($D30,$E30,T$10,EOMONTH(T$10,0)+1,holidays)</f>
        <v>0</v>
      </c>
      <c r="U30" s="13" cm="1">
        <f t="array" ref="U30">CommonWorkdays($D30,$E30,U$10,EOMONTH(U$10,0)+1,holidays)</f>
        <v>0</v>
      </c>
      <c r="V30" s="13" cm="1">
        <f t="array" ref="V30">CommonWorkdays($D30,$E30,V$10,EOMONTH(V$10,0)+1,holidays)</f>
        <v>0</v>
      </c>
      <c r="W30" s="13" cm="1">
        <f t="array" ref="W30">CommonWorkdays($D30,$E30,W$10,EOMONTH(W$10,0)+1,holidays)</f>
        <v>0</v>
      </c>
      <c r="X30" s="13" cm="1">
        <f t="array" ref="X30">CommonWorkdays($D30,$E30,X$10,EOMONTH(X$10,0)+1,holidays)</f>
        <v>0</v>
      </c>
      <c r="Y30" s="13" cm="1">
        <f t="array" ref="Y30">CommonWorkdays($D30,$E30,Y$10,EOMONTH(Y$10,0)+1,holidays)</f>
        <v>0</v>
      </c>
      <c r="Z30" s="13" cm="1">
        <f t="array" ref="Z30">CommonWorkdays($D30,$E30,Z$10,EOMONTH(Z$10,0)+1,holidays)</f>
        <v>0</v>
      </c>
      <c r="AA30" s="13" cm="1">
        <f t="array" ref="AA30">CommonWorkdays($D30,$E30,AA$10,EOMONTH(AA$10,0)+1,holidays)</f>
        <v>0</v>
      </c>
      <c r="AB30" s="13" cm="1">
        <f t="array" ref="AB30">CommonWorkdays($D30,$E30,AB$10,EOMONTH(AB$10,0)+1,holidays)</f>
        <v>0</v>
      </c>
      <c r="AC30" s="114" cm="1">
        <f t="array" ref="AC30">CommonWorkdays($D30,$E30,AC$10,EOMONTH(AC$10,0)+1,holidays)</f>
        <v>0</v>
      </c>
    </row>
    <row r="31" spans="2:29" collapsed="1" x14ac:dyDescent="0.3">
      <c r="B31" s="48">
        <f>B30+1</f>
        <v>20</v>
      </c>
      <c r="C31" s="49" t="s">
        <v>92</v>
      </c>
      <c r="D31" s="50">
        <v>45733</v>
      </c>
      <c r="E31" s="50">
        <v>45777</v>
      </c>
      <c r="F31" s="131">
        <f>NETWORKDAYS(D31,E31-1,holidays)</f>
        <v>29</v>
      </c>
      <c r="G31" s="116" cm="1">
        <f t="array" ref="G31">CommonWorkdays($D31,$E31,G$10,EOMONTH(G$10,0)+1,holidays)</f>
        <v>0</v>
      </c>
      <c r="H31" s="116" cm="1">
        <f t="array" ref="H31">CommonWorkdays($D31,$E31,H$10,EOMONTH(H$10,0)+1,holidays)</f>
        <v>0</v>
      </c>
      <c r="I31" s="116" cm="1">
        <f t="array" ref="I31">CommonWorkdays($D31,$E31,I$10,EOMONTH(I$10,0)+1,holidays)</f>
        <v>11</v>
      </c>
      <c r="J31" s="116" cm="1">
        <f t="array" ref="J31">CommonWorkdays($D31,$E31,J$10,EOMONTH(J$10,0)+1,holidays)</f>
        <v>18</v>
      </c>
      <c r="K31" s="116" cm="1">
        <f t="array" ref="K31">CommonWorkdays($D31,$E31,K$10,EOMONTH(K$10,0)+1,holidays)</f>
        <v>0</v>
      </c>
      <c r="L31" s="116" cm="1">
        <f t="array" ref="L31">CommonWorkdays($D31,$E31,L$10,EOMONTH(L$10,0)+1,holidays)</f>
        <v>0</v>
      </c>
      <c r="M31" s="116" cm="1">
        <f t="array" ref="M31">CommonWorkdays($D31,$E31,M$10,EOMONTH(M$10,0)+1,holidays)</f>
        <v>0</v>
      </c>
      <c r="N31" s="116" cm="1">
        <f t="array" ref="N31">CommonWorkdays($D31,$E31,N$10,EOMONTH(N$10,0)+1,holidays)</f>
        <v>0</v>
      </c>
      <c r="O31" s="116" cm="1">
        <f t="array" ref="O31">CommonWorkdays($D31,$E31,O$10,EOMONTH(O$10,0)+1,holidays)</f>
        <v>0</v>
      </c>
      <c r="P31" s="116" cm="1">
        <f t="array" ref="P31">CommonWorkdays($D31,$E31,P$10,EOMONTH(P$10,0)+1,holidays)</f>
        <v>0</v>
      </c>
      <c r="Q31" s="116" cm="1">
        <f t="array" ref="Q31">CommonWorkdays($D31,$E31,Q$10,EOMONTH(Q$10,0)+1,holidays)</f>
        <v>0</v>
      </c>
      <c r="R31" s="116" cm="1">
        <f t="array" ref="R31">CommonWorkdays($D31,$E31,R$10,EOMONTH(R$10,0)+1,holidays)</f>
        <v>0</v>
      </c>
      <c r="S31" s="116" cm="1">
        <f t="array" ref="S31">CommonWorkdays($D31,$E31,S$10,EOMONTH(S$10,0)+1,holidays)</f>
        <v>0</v>
      </c>
      <c r="T31" s="116" cm="1">
        <f t="array" ref="T31">CommonWorkdays($D31,$E31,T$10,EOMONTH(T$10,0)+1,holidays)</f>
        <v>0</v>
      </c>
      <c r="U31" s="116" cm="1">
        <f t="array" ref="U31">CommonWorkdays($D31,$E31,U$10,EOMONTH(U$10,0)+1,holidays)</f>
        <v>0</v>
      </c>
      <c r="V31" s="116" cm="1">
        <f t="array" ref="V31">CommonWorkdays($D31,$E31,V$10,EOMONTH(V$10,0)+1,holidays)</f>
        <v>0</v>
      </c>
      <c r="W31" s="116" cm="1">
        <f t="array" ref="W31">CommonWorkdays($D31,$E31,W$10,EOMONTH(W$10,0)+1,holidays)</f>
        <v>0</v>
      </c>
      <c r="X31" s="116" cm="1">
        <f t="array" ref="X31">CommonWorkdays($D31,$E31,X$10,EOMONTH(X$10,0)+1,holidays)</f>
        <v>0</v>
      </c>
      <c r="Y31" s="116" cm="1">
        <f t="array" ref="Y31">CommonWorkdays($D31,$E31,Y$10,EOMONTH(Y$10,0)+1,holidays)</f>
        <v>0</v>
      </c>
      <c r="Z31" s="116" cm="1">
        <f t="array" ref="Z31">CommonWorkdays($D31,$E31,Z$10,EOMONTH(Z$10,0)+1,holidays)</f>
        <v>0</v>
      </c>
      <c r="AA31" s="116" cm="1">
        <f t="array" ref="AA31">CommonWorkdays($D31,$E31,AA$10,EOMONTH(AA$10,0)+1,holidays)</f>
        <v>0</v>
      </c>
      <c r="AB31" s="116" cm="1">
        <f t="array" ref="AB31">CommonWorkdays($D31,$E31,AB$10,EOMONTH(AB$10,0)+1,holidays)</f>
        <v>0</v>
      </c>
      <c r="AC31" s="117" cm="1">
        <f t="array" ref="AC31">CommonWorkdays($D31,$E31,AC$10,EOMONTH(AC$10,0)+1,holidays)</f>
        <v>0</v>
      </c>
    </row>
    <row r="32" spans="2:29" hidden="1" outlineLevel="1" x14ac:dyDescent="0.3">
      <c r="B32" s="2">
        <f>B31+1</f>
        <v>21</v>
      </c>
      <c r="C32" s="35" t="s">
        <v>78</v>
      </c>
      <c r="D32" s="6">
        <v>45733</v>
      </c>
      <c r="E32" s="6">
        <v>45735</v>
      </c>
      <c r="F32" s="129">
        <f>NETWORKDAYS(D32,E32-1,holidays)</f>
        <v>2</v>
      </c>
      <c r="G32" s="7" cm="1">
        <f t="array" ref="G32">CommonWorkdays($D32,$E32,G$10,EOMONTH(G$10,0)+1,holidays)</f>
        <v>0</v>
      </c>
      <c r="H32" s="7" cm="1">
        <f t="array" ref="H32">CommonWorkdays($D32,$E32,H$10,EOMONTH(H$10,0)+1,holidays)</f>
        <v>0</v>
      </c>
      <c r="I32" s="7" cm="1">
        <f t="array" ref="I32">CommonWorkdays($D32,$E32,I$10,EOMONTH(I$10,0)+1,holidays)</f>
        <v>2</v>
      </c>
      <c r="J32" s="7" cm="1">
        <f t="array" ref="J32">CommonWorkdays($D32,$E32,J$10,EOMONTH(J$10,0)+1,holidays)</f>
        <v>0</v>
      </c>
      <c r="K32" s="7" cm="1">
        <f t="array" ref="K32">CommonWorkdays($D32,$E32,K$10,EOMONTH(K$10,0)+1,holidays)</f>
        <v>0</v>
      </c>
      <c r="L32" s="7" cm="1">
        <f t="array" ref="L32">CommonWorkdays($D32,$E32,L$10,EOMONTH(L$10,0)+1,holidays)</f>
        <v>0</v>
      </c>
      <c r="M32" s="7" cm="1">
        <f t="array" ref="M32">CommonWorkdays($D32,$E32,M$10,EOMONTH(M$10,0)+1,holidays)</f>
        <v>0</v>
      </c>
      <c r="N32" s="7" cm="1">
        <f t="array" ref="N32">CommonWorkdays($D32,$E32,N$10,EOMONTH(N$10,0)+1,holidays)</f>
        <v>0</v>
      </c>
      <c r="O32" s="7" cm="1">
        <f t="array" ref="O32">CommonWorkdays($D32,$E32,O$10,EOMONTH(O$10,0)+1,holidays)</f>
        <v>0</v>
      </c>
      <c r="P32" s="7" cm="1">
        <f t="array" ref="P32">CommonWorkdays($D32,$E32,P$10,EOMONTH(P$10,0)+1,holidays)</f>
        <v>0</v>
      </c>
      <c r="Q32" s="7" cm="1">
        <f t="array" ref="Q32">CommonWorkdays($D32,$E32,Q$10,EOMONTH(Q$10,0)+1,holidays)</f>
        <v>0</v>
      </c>
      <c r="R32" s="7" cm="1">
        <f t="array" ref="R32">CommonWorkdays($D32,$E32,R$10,EOMONTH(R$10,0)+1,holidays)</f>
        <v>0</v>
      </c>
      <c r="S32" s="7" cm="1">
        <f t="array" ref="S32">CommonWorkdays($D32,$E32,S$10,EOMONTH(S$10,0)+1,holidays)</f>
        <v>0</v>
      </c>
      <c r="T32" s="7" cm="1">
        <f t="array" ref="T32">CommonWorkdays($D32,$E32,T$10,EOMONTH(T$10,0)+1,holidays)</f>
        <v>0</v>
      </c>
      <c r="U32" s="7" cm="1">
        <f t="array" ref="U32">CommonWorkdays($D32,$E32,U$10,EOMONTH(U$10,0)+1,holidays)</f>
        <v>0</v>
      </c>
      <c r="V32" s="7" cm="1">
        <f t="array" ref="V32">CommonWorkdays($D32,$E32,V$10,EOMONTH(V$10,0)+1,holidays)</f>
        <v>0</v>
      </c>
      <c r="W32" s="7" cm="1">
        <f t="array" ref="W32">CommonWorkdays($D32,$E32,W$10,EOMONTH(W$10,0)+1,holidays)</f>
        <v>0</v>
      </c>
      <c r="X32" s="7" cm="1">
        <f t="array" ref="X32">CommonWorkdays($D32,$E32,X$10,EOMONTH(X$10,0)+1,holidays)</f>
        <v>0</v>
      </c>
      <c r="Y32" s="7" cm="1">
        <f t="array" ref="Y32">CommonWorkdays($D32,$E32,Y$10,EOMONTH(Y$10,0)+1,holidays)</f>
        <v>0</v>
      </c>
      <c r="Z32" s="7" cm="1">
        <f t="array" ref="Z32">CommonWorkdays($D32,$E32,Z$10,EOMONTH(Z$10,0)+1,holidays)</f>
        <v>0</v>
      </c>
      <c r="AA32" s="7" cm="1">
        <f t="array" ref="AA32">CommonWorkdays($D32,$E32,AA$10,EOMONTH(AA$10,0)+1,holidays)</f>
        <v>0</v>
      </c>
      <c r="AB32" s="7" cm="1">
        <f t="array" ref="AB32">CommonWorkdays($D32,$E32,AB$10,EOMONTH(AB$10,0)+1,holidays)</f>
        <v>0</v>
      </c>
      <c r="AC32" s="106" cm="1">
        <f t="array" ref="AC32">CommonWorkdays($D32,$E32,AC$10,EOMONTH(AC$10,0)+1,holidays)</f>
        <v>0</v>
      </c>
    </row>
    <row r="33" spans="2:29" hidden="1" outlineLevel="1" x14ac:dyDescent="0.3">
      <c r="B33" s="9">
        <f t="shared" ref="B33" si="4">B32+1</f>
        <v>22</v>
      </c>
      <c r="C33" s="36" t="s">
        <v>49</v>
      </c>
      <c r="D33" s="12">
        <v>45775</v>
      </c>
      <c r="E33" s="12">
        <v>45777</v>
      </c>
      <c r="F33" s="130">
        <f>NETWORKDAYS(D33,E33-1,holidays)</f>
        <v>2</v>
      </c>
      <c r="G33" s="13" cm="1">
        <f t="array" ref="G33">CommonWorkdays($D33,$E33,G$10,EOMONTH(G$10,0)+1,holidays)</f>
        <v>0</v>
      </c>
      <c r="H33" s="13" cm="1">
        <f t="array" ref="H33">CommonWorkdays($D33,$E33,H$10,EOMONTH(H$10,0)+1,holidays)</f>
        <v>0</v>
      </c>
      <c r="I33" s="13" cm="1">
        <f t="array" ref="I33">CommonWorkdays($D33,$E33,I$10,EOMONTH(I$10,0)+1,holidays)</f>
        <v>0</v>
      </c>
      <c r="J33" s="13" cm="1">
        <f t="array" ref="J33">CommonWorkdays($D33,$E33,J$10,EOMONTH(J$10,0)+1,holidays)</f>
        <v>2</v>
      </c>
      <c r="K33" s="13" cm="1">
        <f t="array" ref="K33">CommonWorkdays($D33,$E33,K$10,EOMONTH(K$10,0)+1,holidays)</f>
        <v>0</v>
      </c>
      <c r="L33" s="13" cm="1">
        <f t="array" ref="L33">CommonWorkdays($D33,$E33,L$10,EOMONTH(L$10,0)+1,holidays)</f>
        <v>0</v>
      </c>
      <c r="M33" s="13" cm="1">
        <f t="array" ref="M33">CommonWorkdays($D33,$E33,M$10,EOMONTH(M$10,0)+1,holidays)</f>
        <v>0</v>
      </c>
      <c r="N33" s="13" cm="1">
        <f t="array" ref="N33">CommonWorkdays($D33,$E33,N$10,EOMONTH(N$10,0)+1,holidays)</f>
        <v>0</v>
      </c>
      <c r="O33" s="13" cm="1">
        <f t="array" ref="O33">CommonWorkdays($D33,$E33,O$10,EOMONTH(O$10,0)+1,holidays)</f>
        <v>0</v>
      </c>
      <c r="P33" s="13" cm="1">
        <f t="array" ref="P33">CommonWorkdays($D33,$E33,P$10,EOMONTH(P$10,0)+1,holidays)</f>
        <v>0</v>
      </c>
      <c r="Q33" s="13" cm="1">
        <f t="array" ref="Q33">CommonWorkdays($D33,$E33,Q$10,EOMONTH(Q$10,0)+1,holidays)</f>
        <v>0</v>
      </c>
      <c r="R33" s="13" cm="1">
        <f t="array" ref="R33">CommonWorkdays($D33,$E33,R$10,EOMONTH(R$10,0)+1,holidays)</f>
        <v>0</v>
      </c>
      <c r="S33" s="13" cm="1">
        <f t="array" ref="S33">CommonWorkdays($D33,$E33,S$10,EOMONTH(S$10,0)+1,holidays)</f>
        <v>0</v>
      </c>
      <c r="T33" s="13" cm="1">
        <f t="array" ref="T33">CommonWorkdays($D33,$E33,T$10,EOMONTH(T$10,0)+1,holidays)</f>
        <v>0</v>
      </c>
      <c r="U33" s="13" cm="1">
        <f t="array" ref="U33">CommonWorkdays($D33,$E33,U$10,EOMONTH(U$10,0)+1,holidays)</f>
        <v>0</v>
      </c>
      <c r="V33" s="13" cm="1">
        <f t="array" ref="V33">CommonWorkdays($D33,$E33,V$10,EOMONTH(V$10,0)+1,holidays)</f>
        <v>0</v>
      </c>
      <c r="W33" s="13" cm="1">
        <f t="array" ref="W33">CommonWorkdays($D33,$E33,W$10,EOMONTH(W$10,0)+1,holidays)</f>
        <v>0</v>
      </c>
      <c r="X33" s="13" cm="1">
        <f t="array" ref="X33">CommonWorkdays($D33,$E33,X$10,EOMONTH(X$10,0)+1,holidays)</f>
        <v>0</v>
      </c>
      <c r="Y33" s="13" cm="1">
        <f t="array" ref="Y33">CommonWorkdays($D33,$E33,Y$10,EOMONTH(Y$10,0)+1,holidays)</f>
        <v>0</v>
      </c>
      <c r="Z33" s="13" cm="1">
        <f t="array" ref="Z33">CommonWorkdays($D33,$E33,Z$10,EOMONTH(Z$10,0)+1,holidays)</f>
        <v>0</v>
      </c>
      <c r="AA33" s="13" cm="1">
        <f t="array" ref="AA33">CommonWorkdays($D33,$E33,AA$10,EOMONTH(AA$10,0)+1,holidays)</f>
        <v>0</v>
      </c>
      <c r="AB33" s="13" cm="1">
        <f t="array" ref="AB33">CommonWorkdays($D33,$E33,AB$10,EOMONTH(AB$10,0)+1,holidays)</f>
        <v>0</v>
      </c>
      <c r="AC33" s="114" cm="1">
        <f t="array" ref="AC33">CommonWorkdays($D33,$E33,AC$10,EOMONTH(AC$10,0)+1,holidays)</f>
        <v>0</v>
      </c>
    </row>
    <row r="34" spans="2:29" collapsed="1" x14ac:dyDescent="0.3">
      <c r="B34" s="48">
        <f>B33+1</f>
        <v>23</v>
      </c>
      <c r="C34" s="49" t="s">
        <v>84</v>
      </c>
      <c r="D34" s="50">
        <v>45691</v>
      </c>
      <c r="E34" s="50">
        <v>45836</v>
      </c>
      <c r="F34" s="131">
        <f>NETWORKDAYS(D34,E34-1,holidays)</f>
        <v>96</v>
      </c>
      <c r="G34" s="116" cm="1">
        <f t="array" ref="G34">CommonWorkdays($D34,$E34,G$10,EOMONTH(G$10,0)+1,holidays)</f>
        <v>0</v>
      </c>
      <c r="H34" s="116" cm="1">
        <f t="array" ref="H34">CommonWorkdays($D34,$E34,H$10,EOMONTH(H$10,0)+1,holidays)</f>
        <v>19</v>
      </c>
      <c r="I34" s="116" cm="1">
        <f t="array" ref="I34">CommonWorkdays($D34,$E34,I$10,EOMONTH(I$10,0)+1,holidays)</f>
        <v>21</v>
      </c>
      <c r="J34" s="116" cm="1">
        <f t="array" ref="J34">CommonWorkdays($D34,$E34,J$10,EOMONTH(J$10,0)+1,holidays)</f>
        <v>19</v>
      </c>
      <c r="K34" s="116" cm="1">
        <f t="array" ref="K34">CommonWorkdays($D34,$E34,K$10,EOMONTH(K$10,0)+1,holidays)</f>
        <v>19</v>
      </c>
      <c r="L34" s="116" cm="1">
        <f t="array" ref="L34">CommonWorkdays($D34,$E34,L$10,EOMONTH(L$10,0)+1,holidays)</f>
        <v>18</v>
      </c>
      <c r="M34" s="116" cm="1">
        <f t="array" ref="M34">CommonWorkdays($D34,$E34,M$10,EOMONTH(M$10,0)+1,holidays)</f>
        <v>0</v>
      </c>
      <c r="N34" s="116" cm="1">
        <f t="array" ref="N34">CommonWorkdays($D34,$E34,N$10,EOMONTH(N$10,0)+1,holidays)</f>
        <v>0</v>
      </c>
      <c r="O34" s="116" cm="1">
        <f t="array" ref="O34">CommonWorkdays($D34,$E34,O$10,EOMONTH(O$10,0)+1,holidays)</f>
        <v>0</v>
      </c>
      <c r="P34" s="116" cm="1">
        <f t="array" ref="P34">CommonWorkdays($D34,$E34,P$10,EOMONTH(P$10,0)+1,holidays)</f>
        <v>0</v>
      </c>
      <c r="Q34" s="116" cm="1">
        <f t="array" ref="Q34">CommonWorkdays($D34,$E34,Q$10,EOMONTH(Q$10,0)+1,holidays)</f>
        <v>0</v>
      </c>
      <c r="R34" s="116" cm="1">
        <f t="array" ref="R34">CommonWorkdays($D34,$E34,R$10,EOMONTH(R$10,0)+1,holidays)</f>
        <v>0</v>
      </c>
      <c r="S34" s="116" cm="1">
        <f t="array" ref="S34">CommonWorkdays($D34,$E34,S$10,EOMONTH(S$10,0)+1,holidays)</f>
        <v>0</v>
      </c>
      <c r="T34" s="116" cm="1">
        <f t="array" ref="T34">CommonWorkdays($D34,$E34,T$10,EOMONTH(T$10,0)+1,holidays)</f>
        <v>0</v>
      </c>
      <c r="U34" s="116" cm="1">
        <f t="array" ref="U34">CommonWorkdays($D34,$E34,U$10,EOMONTH(U$10,0)+1,holidays)</f>
        <v>0</v>
      </c>
      <c r="V34" s="116" cm="1">
        <f t="array" ref="V34">CommonWorkdays($D34,$E34,V$10,EOMONTH(V$10,0)+1,holidays)</f>
        <v>0</v>
      </c>
      <c r="W34" s="116" cm="1">
        <f t="array" ref="W34">CommonWorkdays($D34,$E34,W$10,EOMONTH(W$10,0)+1,holidays)</f>
        <v>0</v>
      </c>
      <c r="X34" s="116" cm="1">
        <f t="array" ref="X34">CommonWorkdays($D34,$E34,X$10,EOMONTH(X$10,0)+1,holidays)</f>
        <v>0</v>
      </c>
      <c r="Y34" s="116" cm="1">
        <f t="array" ref="Y34">CommonWorkdays($D34,$E34,Y$10,EOMONTH(Y$10,0)+1,holidays)</f>
        <v>0</v>
      </c>
      <c r="Z34" s="116" cm="1">
        <f t="array" ref="Z34">CommonWorkdays($D34,$E34,Z$10,EOMONTH(Z$10,0)+1,holidays)</f>
        <v>0</v>
      </c>
      <c r="AA34" s="116" cm="1">
        <f t="array" ref="AA34">CommonWorkdays($D34,$E34,AA$10,EOMONTH(AA$10,0)+1,holidays)</f>
        <v>0</v>
      </c>
      <c r="AB34" s="116" cm="1">
        <f t="array" ref="AB34">CommonWorkdays($D34,$E34,AB$10,EOMONTH(AB$10,0)+1,holidays)</f>
        <v>0</v>
      </c>
      <c r="AC34" s="117" cm="1">
        <f t="array" ref="AC34">CommonWorkdays($D34,$E34,AC$10,EOMONTH(AC$10,0)+1,holidays)</f>
        <v>0</v>
      </c>
    </row>
    <row r="35" spans="2:29" hidden="1" outlineLevel="1" x14ac:dyDescent="0.3">
      <c r="B35" s="2">
        <f>B34+1</f>
        <v>24</v>
      </c>
      <c r="C35" s="35" t="s">
        <v>83</v>
      </c>
      <c r="D35" s="6">
        <v>45691</v>
      </c>
      <c r="E35" s="6">
        <v>45693</v>
      </c>
      <c r="F35" s="129">
        <f>NETWORKDAYS(D35,E35-1,holidays)</f>
        <v>2</v>
      </c>
      <c r="G35" s="7" cm="1">
        <f t="array" ref="G35">CommonWorkdays($D35,$E35,G$10,EOMONTH(G$10,0)+1,holidays)</f>
        <v>0</v>
      </c>
      <c r="H35" s="7" cm="1">
        <f t="array" ref="H35">CommonWorkdays($D35,$E35,H$10,EOMONTH(H$10,0)+1,holidays)</f>
        <v>2</v>
      </c>
      <c r="I35" s="7" cm="1">
        <f t="array" ref="I35">CommonWorkdays($D35,$E35,I$10,EOMONTH(I$10,0)+1,holidays)</f>
        <v>0</v>
      </c>
      <c r="J35" s="7" cm="1">
        <f t="array" ref="J35">CommonWorkdays($D35,$E35,J$10,EOMONTH(J$10,0)+1,holidays)</f>
        <v>0</v>
      </c>
      <c r="K35" s="7" cm="1">
        <f t="array" ref="K35">CommonWorkdays($D35,$E35,K$10,EOMONTH(K$10,0)+1,holidays)</f>
        <v>0</v>
      </c>
      <c r="L35" s="7" cm="1">
        <f t="array" ref="L35">CommonWorkdays($D35,$E35,L$10,EOMONTH(L$10,0)+1,holidays)</f>
        <v>0</v>
      </c>
      <c r="M35" s="7" cm="1">
        <f t="array" ref="M35">CommonWorkdays($D35,$E35,M$10,EOMONTH(M$10,0)+1,holidays)</f>
        <v>0</v>
      </c>
      <c r="N35" s="7" cm="1">
        <f t="array" ref="N35">CommonWorkdays($D35,$E35,N$10,EOMONTH(N$10,0)+1,holidays)</f>
        <v>0</v>
      </c>
      <c r="O35" s="7" cm="1">
        <f t="array" ref="O35">CommonWorkdays($D35,$E35,O$10,EOMONTH(O$10,0)+1,holidays)</f>
        <v>0</v>
      </c>
      <c r="P35" s="7" cm="1">
        <f t="array" ref="P35">CommonWorkdays($D35,$E35,P$10,EOMONTH(P$10,0)+1,holidays)</f>
        <v>0</v>
      </c>
      <c r="Q35" s="7" cm="1">
        <f t="array" ref="Q35">CommonWorkdays($D35,$E35,Q$10,EOMONTH(Q$10,0)+1,holidays)</f>
        <v>0</v>
      </c>
      <c r="R35" s="7" cm="1">
        <f t="array" ref="R35">CommonWorkdays($D35,$E35,R$10,EOMONTH(R$10,0)+1,holidays)</f>
        <v>0</v>
      </c>
      <c r="S35" s="7" cm="1">
        <f t="array" ref="S35">CommonWorkdays($D35,$E35,S$10,EOMONTH(S$10,0)+1,holidays)</f>
        <v>0</v>
      </c>
      <c r="T35" s="7" cm="1">
        <f t="array" ref="T35">CommonWorkdays($D35,$E35,T$10,EOMONTH(T$10,0)+1,holidays)</f>
        <v>0</v>
      </c>
      <c r="U35" s="7" cm="1">
        <f t="array" ref="U35">CommonWorkdays($D35,$E35,U$10,EOMONTH(U$10,0)+1,holidays)</f>
        <v>0</v>
      </c>
      <c r="V35" s="7" cm="1">
        <f t="array" ref="V35">CommonWorkdays($D35,$E35,V$10,EOMONTH(V$10,0)+1,holidays)</f>
        <v>0</v>
      </c>
      <c r="W35" s="7" cm="1">
        <f t="array" ref="W35">CommonWorkdays($D35,$E35,W$10,EOMONTH(W$10,0)+1,holidays)</f>
        <v>0</v>
      </c>
      <c r="X35" s="7" cm="1">
        <f t="array" ref="X35">CommonWorkdays($D35,$E35,X$10,EOMONTH(X$10,0)+1,holidays)</f>
        <v>0</v>
      </c>
      <c r="Y35" s="7" cm="1">
        <f t="array" ref="Y35">CommonWorkdays($D35,$E35,Y$10,EOMONTH(Y$10,0)+1,holidays)</f>
        <v>0</v>
      </c>
      <c r="Z35" s="7" cm="1">
        <f t="array" ref="Z35">CommonWorkdays($D35,$E35,Z$10,EOMONTH(Z$10,0)+1,holidays)</f>
        <v>0</v>
      </c>
      <c r="AA35" s="7" cm="1">
        <f t="array" ref="AA35">CommonWorkdays($D35,$E35,AA$10,EOMONTH(AA$10,0)+1,holidays)</f>
        <v>0</v>
      </c>
      <c r="AB35" s="7" cm="1">
        <f t="array" ref="AB35">CommonWorkdays($D35,$E35,AB$10,EOMONTH(AB$10,0)+1,holidays)</f>
        <v>0</v>
      </c>
      <c r="AC35" s="106" cm="1">
        <f t="array" ref="AC35">CommonWorkdays($D35,$E35,AC$10,EOMONTH(AC$10,0)+1,holidays)</f>
        <v>0</v>
      </c>
    </row>
    <row r="36" spans="2:29" hidden="1" outlineLevel="1" x14ac:dyDescent="0.3">
      <c r="B36" s="2">
        <f t="shared" ref="B36:B38" si="5">B35+1</f>
        <v>25</v>
      </c>
      <c r="C36" s="35" t="s">
        <v>91</v>
      </c>
      <c r="D36" s="6">
        <v>45751</v>
      </c>
      <c r="E36" s="6">
        <v>45758</v>
      </c>
      <c r="F36" s="129">
        <f>NETWORKDAYS(D36,E36-1,holidays)</f>
        <v>4</v>
      </c>
      <c r="G36" s="7" cm="1">
        <f t="array" ref="G36">CommonWorkdays($D36,$E36,G$10,EOMONTH(G$10,0)+1,holidays)</f>
        <v>0</v>
      </c>
      <c r="H36" s="7" cm="1">
        <f t="array" ref="H36">CommonWorkdays($D36,$E36,H$10,EOMONTH(H$10,0)+1,holidays)</f>
        <v>0</v>
      </c>
      <c r="I36" s="7" cm="1">
        <f t="array" ref="I36">CommonWorkdays($D36,$E36,I$10,EOMONTH(I$10,0)+1,holidays)</f>
        <v>0</v>
      </c>
      <c r="J36" s="7" cm="1">
        <f t="array" ref="J36">CommonWorkdays($D36,$E36,J$10,EOMONTH(J$10,0)+1,holidays)</f>
        <v>4</v>
      </c>
      <c r="K36" s="7" cm="1">
        <f t="array" ref="K36">CommonWorkdays($D36,$E36,K$10,EOMONTH(K$10,0)+1,holidays)</f>
        <v>0</v>
      </c>
      <c r="L36" s="7" cm="1">
        <f t="array" ref="L36">CommonWorkdays($D36,$E36,L$10,EOMONTH(L$10,0)+1,holidays)</f>
        <v>0</v>
      </c>
      <c r="M36" s="7" cm="1">
        <f t="array" ref="M36">CommonWorkdays($D36,$E36,M$10,EOMONTH(M$10,0)+1,holidays)</f>
        <v>0</v>
      </c>
      <c r="N36" s="7" cm="1">
        <f t="array" ref="N36">CommonWorkdays($D36,$E36,N$10,EOMONTH(N$10,0)+1,holidays)</f>
        <v>0</v>
      </c>
      <c r="O36" s="7" cm="1">
        <f t="array" ref="O36">CommonWorkdays($D36,$E36,O$10,EOMONTH(O$10,0)+1,holidays)</f>
        <v>0</v>
      </c>
      <c r="P36" s="7" cm="1">
        <f t="array" ref="P36">CommonWorkdays($D36,$E36,P$10,EOMONTH(P$10,0)+1,holidays)</f>
        <v>0</v>
      </c>
      <c r="Q36" s="7" cm="1">
        <f t="array" ref="Q36">CommonWorkdays($D36,$E36,Q$10,EOMONTH(Q$10,0)+1,holidays)</f>
        <v>0</v>
      </c>
      <c r="R36" s="7" cm="1">
        <f t="array" ref="R36">CommonWorkdays($D36,$E36,R$10,EOMONTH(R$10,0)+1,holidays)</f>
        <v>0</v>
      </c>
      <c r="S36" s="7" cm="1">
        <f t="array" ref="S36">CommonWorkdays($D36,$E36,S$10,EOMONTH(S$10,0)+1,holidays)</f>
        <v>0</v>
      </c>
      <c r="T36" s="7" cm="1">
        <f t="array" ref="T36">CommonWorkdays($D36,$E36,T$10,EOMONTH(T$10,0)+1,holidays)</f>
        <v>0</v>
      </c>
      <c r="U36" s="7" cm="1">
        <f t="array" ref="U36">CommonWorkdays($D36,$E36,U$10,EOMONTH(U$10,0)+1,holidays)</f>
        <v>0</v>
      </c>
      <c r="V36" s="7" cm="1">
        <f t="array" ref="V36">CommonWorkdays($D36,$E36,V$10,EOMONTH(V$10,0)+1,holidays)</f>
        <v>0</v>
      </c>
      <c r="W36" s="7" cm="1">
        <f t="array" ref="W36">CommonWorkdays($D36,$E36,W$10,EOMONTH(W$10,0)+1,holidays)</f>
        <v>0</v>
      </c>
      <c r="X36" s="7" cm="1">
        <f t="array" ref="X36">CommonWorkdays($D36,$E36,X$10,EOMONTH(X$10,0)+1,holidays)</f>
        <v>0</v>
      </c>
      <c r="Y36" s="7" cm="1">
        <f t="array" ref="Y36">CommonWorkdays($D36,$E36,Y$10,EOMONTH(Y$10,0)+1,holidays)</f>
        <v>0</v>
      </c>
      <c r="Z36" s="7" cm="1">
        <f t="array" ref="Z36">CommonWorkdays($D36,$E36,Z$10,EOMONTH(Z$10,0)+1,holidays)</f>
        <v>0</v>
      </c>
      <c r="AA36" s="7" cm="1">
        <f t="array" ref="AA36">CommonWorkdays($D36,$E36,AA$10,EOMONTH(AA$10,0)+1,holidays)</f>
        <v>0</v>
      </c>
      <c r="AB36" s="7" cm="1">
        <f t="array" ref="AB36">CommonWorkdays($D36,$E36,AB$10,EOMONTH(AB$10,0)+1,holidays)</f>
        <v>0</v>
      </c>
      <c r="AC36" s="106" cm="1">
        <f t="array" ref="AC36">CommonWorkdays($D36,$E36,AC$10,EOMONTH(AC$10,0)+1,holidays)</f>
        <v>0</v>
      </c>
    </row>
    <row r="37" spans="2:29" hidden="1" outlineLevel="1" x14ac:dyDescent="0.3">
      <c r="B37" s="2">
        <f t="shared" si="5"/>
        <v>26</v>
      </c>
      <c r="C37" s="35" t="s">
        <v>50</v>
      </c>
      <c r="D37" s="6">
        <v>45796</v>
      </c>
      <c r="E37" s="6">
        <v>45801</v>
      </c>
      <c r="F37" s="129">
        <f>NETWORKDAYS(D37,E37-1,holidays)</f>
        <v>5</v>
      </c>
      <c r="G37" s="7" cm="1">
        <f t="array" ref="G37">CommonWorkdays($D37,$E37,G$10,EOMONTH(G$10,0)+1,holidays)</f>
        <v>0</v>
      </c>
      <c r="H37" s="7" cm="1">
        <f t="array" ref="H37">CommonWorkdays($D37,$E37,H$10,EOMONTH(H$10,0)+1,holidays)</f>
        <v>0</v>
      </c>
      <c r="I37" s="7" cm="1">
        <f t="array" ref="I37">CommonWorkdays($D37,$E37,I$10,EOMONTH(I$10,0)+1,holidays)</f>
        <v>0</v>
      </c>
      <c r="J37" s="7" cm="1">
        <f t="array" ref="J37">CommonWorkdays($D37,$E37,J$10,EOMONTH(J$10,0)+1,holidays)</f>
        <v>0</v>
      </c>
      <c r="K37" s="7" cm="1">
        <f t="array" ref="K37">CommonWorkdays($D37,$E37,K$10,EOMONTH(K$10,0)+1,holidays)</f>
        <v>5</v>
      </c>
      <c r="L37" s="7" cm="1">
        <f t="array" ref="L37">CommonWorkdays($D37,$E37,L$10,EOMONTH(L$10,0)+1,holidays)</f>
        <v>0</v>
      </c>
      <c r="M37" s="7" cm="1">
        <f t="array" ref="M37">CommonWorkdays($D37,$E37,M$10,EOMONTH(M$10,0)+1,holidays)</f>
        <v>0</v>
      </c>
      <c r="N37" s="7" cm="1">
        <f t="array" ref="N37">CommonWorkdays($D37,$E37,N$10,EOMONTH(N$10,0)+1,holidays)</f>
        <v>0</v>
      </c>
      <c r="O37" s="7" cm="1">
        <f t="array" ref="O37">CommonWorkdays($D37,$E37,O$10,EOMONTH(O$10,0)+1,holidays)</f>
        <v>0</v>
      </c>
      <c r="P37" s="7" cm="1">
        <f t="array" ref="P37">CommonWorkdays($D37,$E37,P$10,EOMONTH(P$10,0)+1,holidays)</f>
        <v>0</v>
      </c>
      <c r="Q37" s="7" cm="1">
        <f t="array" ref="Q37">CommonWorkdays($D37,$E37,Q$10,EOMONTH(Q$10,0)+1,holidays)</f>
        <v>0</v>
      </c>
      <c r="R37" s="7" cm="1">
        <f t="array" ref="R37">CommonWorkdays($D37,$E37,R$10,EOMONTH(R$10,0)+1,holidays)</f>
        <v>0</v>
      </c>
      <c r="S37" s="7" cm="1">
        <f t="array" ref="S37">CommonWorkdays($D37,$E37,S$10,EOMONTH(S$10,0)+1,holidays)</f>
        <v>0</v>
      </c>
      <c r="T37" s="7" cm="1">
        <f t="array" ref="T37">CommonWorkdays($D37,$E37,T$10,EOMONTH(T$10,0)+1,holidays)</f>
        <v>0</v>
      </c>
      <c r="U37" s="7" cm="1">
        <f t="array" ref="U37">CommonWorkdays($D37,$E37,U$10,EOMONTH(U$10,0)+1,holidays)</f>
        <v>0</v>
      </c>
      <c r="V37" s="7" cm="1">
        <f t="array" ref="V37">CommonWorkdays($D37,$E37,V$10,EOMONTH(V$10,0)+1,holidays)</f>
        <v>0</v>
      </c>
      <c r="W37" s="7" cm="1">
        <f t="array" ref="W37">CommonWorkdays($D37,$E37,W$10,EOMONTH(W$10,0)+1,holidays)</f>
        <v>0</v>
      </c>
      <c r="X37" s="7" cm="1">
        <f t="array" ref="X37">CommonWorkdays($D37,$E37,X$10,EOMONTH(X$10,0)+1,holidays)</f>
        <v>0</v>
      </c>
      <c r="Y37" s="7" cm="1">
        <f t="array" ref="Y37">CommonWorkdays($D37,$E37,Y$10,EOMONTH(Y$10,0)+1,holidays)</f>
        <v>0</v>
      </c>
      <c r="Z37" s="7" cm="1">
        <f t="array" ref="Z37">CommonWorkdays($D37,$E37,Z$10,EOMONTH(Z$10,0)+1,holidays)</f>
        <v>0</v>
      </c>
      <c r="AA37" s="7" cm="1">
        <f t="array" ref="AA37">CommonWorkdays($D37,$E37,AA$10,EOMONTH(AA$10,0)+1,holidays)</f>
        <v>0</v>
      </c>
      <c r="AB37" s="7" cm="1">
        <f t="array" ref="AB37">CommonWorkdays($D37,$E37,AB$10,EOMONTH(AB$10,0)+1,holidays)</f>
        <v>0</v>
      </c>
      <c r="AC37" s="106" cm="1">
        <f t="array" ref="AC37">CommonWorkdays($D37,$E37,AC$10,EOMONTH(AC$10,0)+1,holidays)</f>
        <v>0</v>
      </c>
    </row>
    <row r="38" spans="2:29" hidden="1" outlineLevel="1" x14ac:dyDescent="0.3">
      <c r="B38" s="9">
        <f t="shared" si="5"/>
        <v>27</v>
      </c>
      <c r="C38" s="36" t="s">
        <v>51</v>
      </c>
      <c r="D38" s="12">
        <v>45834</v>
      </c>
      <c r="E38" s="12">
        <v>45836</v>
      </c>
      <c r="F38" s="130">
        <f>NETWORKDAYS(D38,E38-1,holidays)</f>
        <v>2</v>
      </c>
      <c r="G38" s="13" cm="1">
        <f t="array" ref="G38">CommonWorkdays($D38,$E38,G$10,EOMONTH(G$10,0)+1,holidays)</f>
        <v>0</v>
      </c>
      <c r="H38" s="13" cm="1">
        <f t="array" ref="H38">CommonWorkdays($D38,$E38,H$10,EOMONTH(H$10,0)+1,holidays)</f>
        <v>0</v>
      </c>
      <c r="I38" s="13" cm="1">
        <f t="array" ref="I38">CommonWorkdays($D38,$E38,I$10,EOMONTH(I$10,0)+1,holidays)</f>
        <v>0</v>
      </c>
      <c r="J38" s="13" cm="1">
        <f t="array" ref="J38">CommonWorkdays($D38,$E38,J$10,EOMONTH(J$10,0)+1,holidays)</f>
        <v>0</v>
      </c>
      <c r="K38" s="13" cm="1">
        <f t="array" ref="K38">CommonWorkdays($D38,$E38,K$10,EOMONTH(K$10,0)+1,holidays)</f>
        <v>0</v>
      </c>
      <c r="L38" s="13" cm="1">
        <f t="array" ref="L38">CommonWorkdays($D38,$E38,L$10,EOMONTH(L$10,0)+1,holidays)</f>
        <v>2</v>
      </c>
      <c r="M38" s="13" cm="1">
        <f t="array" ref="M38">CommonWorkdays($D38,$E38,M$10,EOMONTH(M$10,0)+1,holidays)</f>
        <v>0</v>
      </c>
      <c r="N38" s="13" cm="1">
        <f t="array" ref="N38">CommonWorkdays($D38,$E38,N$10,EOMONTH(N$10,0)+1,holidays)</f>
        <v>0</v>
      </c>
      <c r="O38" s="13" cm="1">
        <f t="array" ref="O38">CommonWorkdays($D38,$E38,O$10,EOMONTH(O$10,0)+1,holidays)</f>
        <v>0</v>
      </c>
      <c r="P38" s="13" cm="1">
        <f t="array" ref="P38">CommonWorkdays($D38,$E38,P$10,EOMONTH(P$10,0)+1,holidays)</f>
        <v>0</v>
      </c>
      <c r="Q38" s="13" cm="1">
        <f t="array" ref="Q38">CommonWorkdays($D38,$E38,Q$10,EOMONTH(Q$10,0)+1,holidays)</f>
        <v>0</v>
      </c>
      <c r="R38" s="13" cm="1">
        <f t="array" ref="R38">CommonWorkdays($D38,$E38,R$10,EOMONTH(R$10,0)+1,holidays)</f>
        <v>0</v>
      </c>
      <c r="S38" s="13" cm="1">
        <f t="array" ref="S38">CommonWorkdays($D38,$E38,S$10,EOMONTH(S$10,0)+1,holidays)</f>
        <v>0</v>
      </c>
      <c r="T38" s="13" cm="1">
        <f t="array" ref="T38">CommonWorkdays($D38,$E38,T$10,EOMONTH(T$10,0)+1,holidays)</f>
        <v>0</v>
      </c>
      <c r="U38" s="13" cm="1">
        <f t="array" ref="U38">CommonWorkdays($D38,$E38,U$10,EOMONTH(U$10,0)+1,holidays)</f>
        <v>0</v>
      </c>
      <c r="V38" s="13" cm="1">
        <f t="array" ref="V38">CommonWorkdays($D38,$E38,V$10,EOMONTH(V$10,0)+1,holidays)</f>
        <v>0</v>
      </c>
      <c r="W38" s="13" cm="1">
        <f t="array" ref="W38">CommonWorkdays($D38,$E38,W$10,EOMONTH(W$10,0)+1,holidays)</f>
        <v>0</v>
      </c>
      <c r="X38" s="13" cm="1">
        <f t="array" ref="X38">CommonWorkdays($D38,$E38,X$10,EOMONTH(X$10,0)+1,holidays)</f>
        <v>0</v>
      </c>
      <c r="Y38" s="13" cm="1">
        <f t="array" ref="Y38">CommonWorkdays($D38,$E38,Y$10,EOMONTH(Y$10,0)+1,holidays)</f>
        <v>0</v>
      </c>
      <c r="Z38" s="13" cm="1">
        <f t="array" ref="Z38">CommonWorkdays($D38,$E38,Z$10,EOMONTH(Z$10,0)+1,holidays)</f>
        <v>0</v>
      </c>
      <c r="AA38" s="13" cm="1">
        <f t="array" ref="AA38">CommonWorkdays($D38,$E38,AA$10,EOMONTH(AA$10,0)+1,holidays)</f>
        <v>0</v>
      </c>
      <c r="AB38" s="13" cm="1">
        <f t="array" ref="AB38">CommonWorkdays($D38,$E38,AB$10,EOMONTH(AB$10,0)+1,holidays)</f>
        <v>0</v>
      </c>
      <c r="AC38" s="114" cm="1">
        <f t="array" ref="AC38">CommonWorkdays($D38,$E38,AC$10,EOMONTH(AC$10,0)+1,holidays)</f>
        <v>0</v>
      </c>
    </row>
    <row r="39" spans="2:29" collapsed="1" x14ac:dyDescent="0.3">
      <c r="B39" s="48">
        <f>B38+1</f>
        <v>28</v>
      </c>
      <c r="C39" s="49" t="s">
        <v>52</v>
      </c>
      <c r="D39" s="50">
        <v>45733</v>
      </c>
      <c r="E39" s="50">
        <v>45854</v>
      </c>
      <c r="F39" s="131">
        <f>NETWORKDAYS(D39,E39-1,holidays)</f>
        <v>78</v>
      </c>
      <c r="G39" s="116" cm="1">
        <f t="array" ref="G39">CommonWorkdays($D39,$E39,G$10,EOMONTH(G$10,0)+1,holidays)</f>
        <v>0</v>
      </c>
      <c r="H39" s="116" cm="1">
        <f t="array" ref="H39">CommonWorkdays($D39,$E39,H$10,EOMONTH(H$10,0)+1,holidays)</f>
        <v>0</v>
      </c>
      <c r="I39" s="116" cm="1">
        <f t="array" ref="I39">CommonWorkdays($D39,$E39,I$10,EOMONTH(I$10,0)+1,holidays)</f>
        <v>11</v>
      </c>
      <c r="J39" s="116" cm="1">
        <f t="array" ref="J39">CommonWorkdays($D39,$E39,J$10,EOMONTH(J$10,0)+1,holidays)</f>
        <v>19</v>
      </c>
      <c r="K39" s="116" cm="1">
        <f t="array" ref="K39">CommonWorkdays($D39,$E39,K$10,EOMONTH(K$10,0)+1,holidays)</f>
        <v>19</v>
      </c>
      <c r="L39" s="116" cm="1">
        <f t="array" ref="L39">CommonWorkdays($D39,$E39,L$10,EOMONTH(L$10,0)+1,holidays)</f>
        <v>19</v>
      </c>
      <c r="M39" s="116" cm="1">
        <f t="array" ref="M39">CommonWorkdays($D39,$E39,M$10,EOMONTH(M$10,0)+1,holidays)</f>
        <v>10</v>
      </c>
      <c r="N39" s="116" cm="1">
        <f t="array" ref="N39">CommonWorkdays($D39,$E39,N$10,EOMONTH(N$10,0)+1,holidays)</f>
        <v>0</v>
      </c>
      <c r="O39" s="116" cm="1">
        <f t="array" ref="O39">CommonWorkdays($D39,$E39,O$10,EOMONTH(O$10,0)+1,holidays)</f>
        <v>0</v>
      </c>
      <c r="P39" s="116" cm="1">
        <f t="array" ref="P39">CommonWorkdays($D39,$E39,P$10,EOMONTH(P$10,0)+1,holidays)</f>
        <v>0</v>
      </c>
      <c r="Q39" s="116" cm="1">
        <f t="array" ref="Q39">CommonWorkdays($D39,$E39,Q$10,EOMONTH(Q$10,0)+1,holidays)</f>
        <v>0</v>
      </c>
      <c r="R39" s="116" cm="1">
        <f t="array" ref="R39">CommonWorkdays($D39,$E39,R$10,EOMONTH(R$10,0)+1,holidays)</f>
        <v>0</v>
      </c>
      <c r="S39" s="116" cm="1">
        <f t="array" ref="S39">CommonWorkdays($D39,$E39,S$10,EOMONTH(S$10,0)+1,holidays)</f>
        <v>0</v>
      </c>
      <c r="T39" s="116" cm="1">
        <f t="array" ref="T39">CommonWorkdays($D39,$E39,T$10,EOMONTH(T$10,0)+1,holidays)</f>
        <v>0</v>
      </c>
      <c r="U39" s="116" cm="1">
        <f t="array" ref="U39">CommonWorkdays($D39,$E39,U$10,EOMONTH(U$10,0)+1,holidays)</f>
        <v>0</v>
      </c>
      <c r="V39" s="116" cm="1">
        <f t="array" ref="V39">CommonWorkdays($D39,$E39,V$10,EOMONTH(V$10,0)+1,holidays)</f>
        <v>0</v>
      </c>
      <c r="W39" s="116" cm="1">
        <f t="array" ref="W39">CommonWorkdays($D39,$E39,W$10,EOMONTH(W$10,0)+1,holidays)</f>
        <v>0</v>
      </c>
      <c r="X39" s="116" cm="1">
        <f t="array" ref="X39">CommonWorkdays($D39,$E39,X$10,EOMONTH(X$10,0)+1,holidays)</f>
        <v>0</v>
      </c>
      <c r="Y39" s="116" cm="1">
        <f t="array" ref="Y39">CommonWorkdays($D39,$E39,Y$10,EOMONTH(Y$10,0)+1,holidays)</f>
        <v>0</v>
      </c>
      <c r="Z39" s="116" cm="1">
        <f t="array" ref="Z39">CommonWorkdays($D39,$E39,Z$10,EOMONTH(Z$10,0)+1,holidays)</f>
        <v>0</v>
      </c>
      <c r="AA39" s="116" cm="1">
        <f t="array" ref="AA39">CommonWorkdays($D39,$E39,AA$10,EOMONTH(AA$10,0)+1,holidays)</f>
        <v>0</v>
      </c>
      <c r="AB39" s="116" cm="1">
        <f t="array" ref="AB39">CommonWorkdays($D39,$E39,AB$10,EOMONTH(AB$10,0)+1,holidays)</f>
        <v>0</v>
      </c>
      <c r="AC39" s="117" cm="1">
        <f t="array" ref="AC39">CommonWorkdays($D39,$E39,AC$10,EOMONTH(AC$10,0)+1,holidays)</f>
        <v>0</v>
      </c>
    </row>
    <row r="40" spans="2:29" hidden="1" outlineLevel="1" x14ac:dyDescent="0.3">
      <c r="B40" s="2">
        <f>B39+1</f>
        <v>29</v>
      </c>
      <c r="C40" s="35" t="s">
        <v>78</v>
      </c>
      <c r="D40" s="6">
        <v>45733</v>
      </c>
      <c r="E40" s="6">
        <v>45735</v>
      </c>
      <c r="F40" s="129">
        <f>NETWORKDAYS(D40,E40-1,holidays)</f>
        <v>2</v>
      </c>
      <c r="G40" s="7" cm="1">
        <f t="array" ref="G40">CommonWorkdays($D40,$E40,G$10,EOMONTH(G$10,0)+1,holidays)</f>
        <v>0</v>
      </c>
      <c r="H40" s="7" cm="1">
        <f t="array" ref="H40">CommonWorkdays($D40,$E40,H$10,EOMONTH(H$10,0)+1,holidays)</f>
        <v>0</v>
      </c>
      <c r="I40" s="7" cm="1">
        <f t="array" ref="I40">CommonWorkdays($D40,$E40,I$10,EOMONTH(I$10,0)+1,holidays)</f>
        <v>2</v>
      </c>
      <c r="J40" s="7" cm="1">
        <f t="array" ref="J40">CommonWorkdays($D40,$E40,J$10,EOMONTH(J$10,0)+1,holidays)</f>
        <v>0</v>
      </c>
      <c r="K40" s="7" cm="1">
        <f t="array" ref="K40">CommonWorkdays($D40,$E40,K$10,EOMONTH(K$10,0)+1,holidays)</f>
        <v>0</v>
      </c>
      <c r="L40" s="7" cm="1">
        <f t="array" ref="L40">CommonWorkdays($D40,$E40,L$10,EOMONTH(L$10,0)+1,holidays)</f>
        <v>0</v>
      </c>
      <c r="M40" s="7" cm="1">
        <f t="array" ref="M40">CommonWorkdays($D40,$E40,M$10,EOMONTH(M$10,0)+1,holidays)</f>
        <v>0</v>
      </c>
      <c r="N40" s="7" cm="1">
        <f t="array" ref="N40">CommonWorkdays($D40,$E40,N$10,EOMONTH(N$10,0)+1,holidays)</f>
        <v>0</v>
      </c>
      <c r="O40" s="7" cm="1">
        <f t="array" ref="O40">CommonWorkdays($D40,$E40,O$10,EOMONTH(O$10,0)+1,holidays)</f>
        <v>0</v>
      </c>
      <c r="P40" s="7" cm="1">
        <f t="array" ref="P40">CommonWorkdays($D40,$E40,P$10,EOMONTH(P$10,0)+1,holidays)</f>
        <v>0</v>
      </c>
      <c r="Q40" s="7" cm="1">
        <f t="array" ref="Q40">CommonWorkdays($D40,$E40,Q$10,EOMONTH(Q$10,0)+1,holidays)</f>
        <v>0</v>
      </c>
      <c r="R40" s="7" cm="1">
        <f t="array" ref="R40">CommonWorkdays($D40,$E40,R$10,EOMONTH(R$10,0)+1,holidays)</f>
        <v>0</v>
      </c>
      <c r="S40" s="7" cm="1">
        <f t="array" ref="S40">CommonWorkdays($D40,$E40,S$10,EOMONTH(S$10,0)+1,holidays)</f>
        <v>0</v>
      </c>
      <c r="T40" s="7" cm="1">
        <f t="array" ref="T40">CommonWorkdays($D40,$E40,T$10,EOMONTH(T$10,0)+1,holidays)</f>
        <v>0</v>
      </c>
      <c r="U40" s="7" cm="1">
        <f t="array" ref="U40">CommonWorkdays($D40,$E40,U$10,EOMONTH(U$10,0)+1,holidays)</f>
        <v>0</v>
      </c>
      <c r="V40" s="7" cm="1">
        <f t="array" ref="V40">CommonWorkdays($D40,$E40,V$10,EOMONTH(V$10,0)+1,holidays)</f>
        <v>0</v>
      </c>
      <c r="W40" s="7" cm="1">
        <f t="array" ref="W40">CommonWorkdays($D40,$E40,W$10,EOMONTH(W$10,0)+1,holidays)</f>
        <v>0</v>
      </c>
      <c r="X40" s="7" cm="1">
        <f t="array" ref="X40">CommonWorkdays($D40,$E40,X$10,EOMONTH(X$10,0)+1,holidays)</f>
        <v>0</v>
      </c>
      <c r="Y40" s="7" cm="1">
        <f t="array" ref="Y40">CommonWorkdays($D40,$E40,Y$10,EOMONTH(Y$10,0)+1,holidays)</f>
        <v>0</v>
      </c>
      <c r="Z40" s="7" cm="1">
        <f t="array" ref="Z40">CommonWorkdays($D40,$E40,Z$10,EOMONTH(Z$10,0)+1,holidays)</f>
        <v>0</v>
      </c>
      <c r="AA40" s="7" cm="1">
        <f t="array" ref="AA40">CommonWorkdays($D40,$E40,AA$10,EOMONTH(AA$10,0)+1,holidays)</f>
        <v>0</v>
      </c>
      <c r="AB40" s="7" cm="1">
        <f t="array" ref="AB40">CommonWorkdays($D40,$E40,AB$10,EOMONTH(AB$10,0)+1,holidays)</f>
        <v>0</v>
      </c>
      <c r="AC40" s="106" cm="1">
        <f t="array" ref="AC40">CommonWorkdays($D40,$E40,AC$10,EOMONTH(AC$10,0)+1,holidays)</f>
        <v>0</v>
      </c>
    </row>
    <row r="41" spans="2:29" hidden="1" outlineLevel="1" x14ac:dyDescent="0.3">
      <c r="B41" s="2">
        <f t="shared" ref="B41:B44" si="6">B40+1</f>
        <v>30</v>
      </c>
      <c r="C41" s="35" t="s">
        <v>53</v>
      </c>
      <c r="D41" s="6">
        <v>45803</v>
      </c>
      <c r="E41" s="6">
        <v>45819</v>
      </c>
      <c r="F41" s="129">
        <f>NETWORKDAYS(D41,E41-1,holidays)</f>
        <v>10</v>
      </c>
      <c r="G41" s="7" cm="1">
        <f t="array" ref="G41">CommonWorkdays($D41,$E41,G$10,EOMONTH(G$10,0)+1,holidays)</f>
        <v>0</v>
      </c>
      <c r="H41" s="7" cm="1">
        <f t="array" ref="H41">CommonWorkdays($D41,$E41,H$10,EOMONTH(H$10,0)+1,holidays)</f>
        <v>0</v>
      </c>
      <c r="I41" s="7" cm="1">
        <f t="array" ref="I41">CommonWorkdays($D41,$E41,I$10,EOMONTH(I$10,0)+1,holidays)</f>
        <v>0</v>
      </c>
      <c r="J41" s="7" cm="1">
        <f t="array" ref="J41">CommonWorkdays($D41,$E41,J$10,EOMONTH(J$10,0)+1,holidays)</f>
        <v>0</v>
      </c>
      <c r="K41" s="7" cm="1">
        <f t="array" ref="K41">CommonWorkdays($D41,$E41,K$10,EOMONTH(K$10,0)+1,holidays)</f>
        <v>5</v>
      </c>
      <c r="L41" s="7" cm="1">
        <f t="array" ref="L41">CommonWorkdays($D41,$E41,L$10,EOMONTH(L$10,0)+1,holidays)</f>
        <v>5</v>
      </c>
      <c r="M41" s="7" cm="1">
        <f t="array" ref="M41">CommonWorkdays($D41,$E41,M$10,EOMONTH(M$10,0)+1,holidays)</f>
        <v>0</v>
      </c>
      <c r="N41" s="7" cm="1">
        <f t="array" ref="N41">CommonWorkdays($D41,$E41,N$10,EOMONTH(N$10,0)+1,holidays)</f>
        <v>0</v>
      </c>
      <c r="O41" s="7" cm="1">
        <f t="array" ref="O41">CommonWorkdays($D41,$E41,O$10,EOMONTH(O$10,0)+1,holidays)</f>
        <v>0</v>
      </c>
      <c r="P41" s="7" cm="1">
        <f t="array" ref="P41">CommonWorkdays($D41,$E41,P$10,EOMONTH(P$10,0)+1,holidays)</f>
        <v>0</v>
      </c>
      <c r="Q41" s="7" cm="1">
        <f t="array" ref="Q41">CommonWorkdays($D41,$E41,Q$10,EOMONTH(Q$10,0)+1,holidays)</f>
        <v>0</v>
      </c>
      <c r="R41" s="7" cm="1">
        <f t="array" ref="R41">CommonWorkdays($D41,$E41,R$10,EOMONTH(R$10,0)+1,holidays)</f>
        <v>0</v>
      </c>
      <c r="S41" s="7" cm="1">
        <f t="array" ref="S41">CommonWorkdays($D41,$E41,S$10,EOMONTH(S$10,0)+1,holidays)</f>
        <v>0</v>
      </c>
      <c r="T41" s="7" cm="1">
        <f t="array" ref="T41">CommonWorkdays($D41,$E41,T$10,EOMONTH(T$10,0)+1,holidays)</f>
        <v>0</v>
      </c>
      <c r="U41" s="7" cm="1">
        <f t="array" ref="U41">CommonWorkdays($D41,$E41,U$10,EOMONTH(U$10,0)+1,holidays)</f>
        <v>0</v>
      </c>
      <c r="V41" s="7" cm="1">
        <f t="array" ref="V41">CommonWorkdays($D41,$E41,V$10,EOMONTH(V$10,0)+1,holidays)</f>
        <v>0</v>
      </c>
      <c r="W41" s="7" cm="1">
        <f t="array" ref="W41">CommonWorkdays($D41,$E41,W$10,EOMONTH(W$10,0)+1,holidays)</f>
        <v>0</v>
      </c>
      <c r="X41" s="7" cm="1">
        <f t="array" ref="X41">CommonWorkdays($D41,$E41,X$10,EOMONTH(X$10,0)+1,holidays)</f>
        <v>0</v>
      </c>
      <c r="Y41" s="7" cm="1">
        <f t="array" ref="Y41">CommonWorkdays($D41,$E41,Y$10,EOMONTH(Y$10,0)+1,holidays)</f>
        <v>0</v>
      </c>
      <c r="Z41" s="7" cm="1">
        <f t="array" ref="Z41">CommonWorkdays($D41,$E41,Z$10,EOMONTH(Z$10,0)+1,holidays)</f>
        <v>0</v>
      </c>
      <c r="AA41" s="7" cm="1">
        <f t="array" ref="AA41">CommonWorkdays($D41,$E41,AA$10,EOMONTH(AA$10,0)+1,holidays)</f>
        <v>0</v>
      </c>
      <c r="AB41" s="7" cm="1">
        <f t="array" ref="AB41">CommonWorkdays($D41,$E41,AB$10,EOMONTH(AB$10,0)+1,holidays)</f>
        <v>0</v>
      </c>
      <c r="AC41" s="106" cm="1">
        <f t="array" ref="AC41">CommonWorkdays($D41,$E41,AC$10,EOMONTH(AC$10,0)+1,holidays)</f>
        <v>0</v>
      </c>
    </row>
    <row r="42" spans="2:29" hidden="1" outlineLevel="1" x14ac:dyDescent="0.3">
      <c r="B42" s="2">
        <f t="shared" si="6"/>
        <v>31</v>
      </c>
      <c r="C42" s="35" t="s">
        <v>54</v>
      </c>
      <c r="D42" s="6">
        <v>45824</v>
      </c>
      <c r="E42" s="6">
        <v>45836</v>
      </c>
      <c r="F42" s="129">
        <f>NETWORKDAYS(D42,E42-1,holidays)</f>
        <v>10</v>
      </c>
      <c r="G42" s="7" cm="1">
        <f t="array" ref="G42">CommonWorkdays($D42,$E42,G$10,EOMONTH(G$10,0)+1,holidays)</f>
        <v>0</v>
      </c>
      <c r="H42" s="7" cm="1">
        <f t="array" ref="H42">CommonWorkdays($D42,$E42,H$10,EOMONTH(H$10,0)+1,holidays)</f>
        <v>0</v>
      </c>
      <c r="I42" s="7" cm="1">
        <f t="array" ref="I42">CommonWorkdays($D42,$E42,I$10,EOMONTH(I$10,0)+1,holidays)</f>
        <v>0</v>
      </c>
      <c r="J42" s="7" cm="1">
        <f t="array" ref="J42">CommonWorkdays($D42,$E42,J$10,EOMONTH(J$10,0)+1,holidays)</f>
        <v>0</v>
      </c>
      <c r="K42" s="7" cm="1">
        <f t="array" ref="K42">CommonWorkdays($D42,$E42,K$10,EOMONTH(K$10,0)+1,holidays)</f>
        <v>0</v>
      </c>
      <c r="L42" s="7" cm="1">
        <f t="array" ref="L42">CommonWorkdays($D42,$E42,L$10,EOMONTH(L$10,0)+1,holidays)</f>
        <v>10</v>
      </c>
      <c r="M42" s="7" cm="1">
        <f t="array" ref="M42">CommonWorkdays($D42,$E42,M$10,EOMONTH(M$10,0)+1,holidays)</f>
        <v>0</v>
      </c>
      <c r="N42" s="7" cm="1">
        <f t="array" ref="N42">CommonWorkdays($D42,$E42,N$10,EOMONTH(N$10,0)+1,holidays)</f>
        <v>0</v>
      </c>
      <c r="O42" s="7" cm="1">
        <f t="array" ref="O42">CommonWorkdays($D42,$E42,O$10,EOMONTH(O$10,0)+1,holidays)</f>
        <v>0</v>
      </c>
      <c r="P42" s="7" cm="1">
        <f t="array" ref="P42">CommonWorkdays($D42,$E42,P$10,EOMONTH(P$10,0)+1,holidays)</f>
        <v>0</v>
      </c>
      <c r="Q42" s="7" cm="1">
        <f t="array" ref="Q42">CommonWorkdays($D42,$E42,Q$10,EOMONTH(Q$10,0)+1,holidays)</f>
        <v>0</v>
      </c>
      <c r="R42" s="7" cm="1">
        <f t="array" ref="R42">CommonWorkdays($D42,$E42,R$10,EOMONTH(R$10,0)+1,holidays)</f>
        <v>0</v>
      </c>
      <c r="S42" s="7" cm="1">
        <f t="array" ref="S42">CommonWorkdays($D42,$E42,S$10,EOMONTH(S$10,0)+1,holidays)</f>
        <v>0</v>
      </c>
      <c r="T42" s="7" cm="1">
        <f t="array" ref="T42">CommonWorkdays($D42,$E42,T$10,EOMONTH(T$10,0)+1,holidays)</f>
        <v>0</v>
      </c>
      <c r="U42" s="7" cm="1">
        <f t="array" ref="U42">CommonWorkdays($D42,$E42,U$10,EOMONTH(U$10,0)+1,holidays)</f>
        <v>0</v>
      </c>
      <c r="V42" s="7" cm="1">
        <f t="array" ref="V42">CommonWorkdays($D42,$E42,V$10,EOMONTH(V$10,0)+1,holidays)</f>
        <v>0</v>
      </c>
      <c r="W42" s="7" cm="1">
        <f t="array" ref="W42">CommonWorkdays($D42,$E42,W$10,EOMONTH(W$10,0)+1,holidays)</f>
        <v>0</v>
      </c>
      <c r="X42" s="7" cm="1">
        <f t="array" ref="X42">CommonWorkdays($D42,$E42,X$10,EOMONTH(X$10,0)+1,holidays)</f>
        <v>0</v>
      </c>
      <c r="Y42" s="7" cm="1">
        <f t="array" ref="Y42">CommonWorkdays($D42,$E42,Y$10,EOMONTH(Y$10,0)+1,holidays)</f>
        <v>0</v>
      </c>
      <c r="Z42" s="7" cm="1">
        <f t="array" ref="Z42">CommonWorkdays($D42,$E42,Z$10,EOMONTH(Z$10,0)+1,holidays)</f>
        <v>0</v>
      </c>
      <c r="AA42" s="7" cm="1">
        <f t="array" ref="AA42">CommonWorkdays($D42,$E42,AA$10,EOMONTH(AA$10,0)+1,holidays)</f>
        <v>0</v>
      </c>
      <c r="AB42" s="7" cm="1">
        <f t="array" ref="AB42">CommonWorkdays($D42,$E42,AB$10,EOMONTH(AB$10,0)+1,holidays)</f>
        <v>0</v>
      </c>
      <c r="AC42" s="106" cm="1">
        <f t="array" ref="AC42">CommonWorkdays($D42,$E42,AC$10,EOMONTH(AC$10,0)+1,holidays)</f>
        <v>0</v>
      </c>
    </row>
    <row r="43" spans="2:29" hidden="1" outlineLevel="1" x14ac:dyDescent="0.3">
      <c r="B43" s="2">
        <f t="shared" si="6"/>
        <v>32</v>
      </c>
      <c r="C43" s="35" t="s">
        <v>86</v>
      </c>
      <c r="D43" s="6">
        <v>45824</v>
      </c>
      <c r="E43" s="6">
        <v>45825</v>
      </c>
      <c r="F43" s="129">
        <f>NETWORKDAYS(D43,E43-1,holidays)</f>
        <v>1</v>
      </c>
      <c r="G43" s="7" cm="1">
        <f t="array" ref="G43">CommonWorkdays($D43,$E43,G$10,EOMONTH(G$10,0)+1,holidays)</f>
        <v>0</v>
      </c>
      <c r="H43" s="7" cm="1">
        <f t="array" ref="H43">CommonWorkdays($D43,$E43,H$10,EOMONTH(H$10,0)+1,holidays)</f>
        <v>0</v>
      </c>
      <c r="I43" s="7" cm="1">
        <f t="array" ref="I43">CommonWorkdays($D43,$E43,I$10,EOMONTH(I$10,0)+1,holidays)</f>
        <v>0</v>
      </c>
      <c r="J43" s="7" cm="1">
        <f t="array" ref="J43">CommonWorkdays($D43,$E43,J$10,EOMONTH(J$10,0)+1,holidays)</f>
        <v>0</v>
      </c>
      <c r="K43" s="7" cm="1">
        <f t="array" ref="K43">CommonWorkdays($D43,$E43,K$10,EOMONTH(K$10,0)+1,holidays)</f>
        <v>0</v>
      </c>
      <c r="L43" s="7" cm="1">
        <f t="array" ref="L43">CommonWorkdays($D43,$E43,L$10,EOMONTH(L$10,0)+1,holidays)</f>
        <v>1</v>
      </c>
      <c r="M43" s="7" cm="1">
        <f t="array" ref="M43">CommonWorkdays($D43,$E43,M$10,EOMONTH(M$10,0)+1,holidays)</f>
        <v>0</v>
      </c>
      <c r="N43" s="7" cm="1">
        <f t="array" ref="N43">CommonWorkdays($D43,$E43,N$10,EOMONTH(N$10,0)+1,holidays)</f>
        <v>0</v>
      </c>
      <c r="O43" s="7" cm="1">
        <f t="array" ref="O43">CommonWorkdays($D43,$E43,O$10,EOMONTH(O$10,0)+1,holidays)</f>
        <v>0</v>
      </c>
      <c r="P43" s="7" cm="1">
        <f t="array" ref="P43">CommonWorkdays($D43,$E43,P$10,EOMONTH(P$10,0)+1,holidays)</f>
        <v>0</v>
      </c>
      <c r="Q43" s="7" cm="1">
        <f t="array" ref="Q43">CommonWorkdays($D43,$E43,Q$10,EOMONTH(Q$10,0)+1,holidays)</f>
        <v>0</v>
      </c>
      <c r="R43" s="7" cm="1">
        <f t="array" ref="R43">CommonWorkdays($D43,$E43,R$10,EOMONTH(R$10,0)+1,holidays)</f>
        <v>0</v>
      </c>
      <c r="S43" s="7" cm="1">
        <f t="array" ref="S43">CommonWorkdays($D43,$E43,S$10,EOMONTH(S$10,0)+1,holidays)</f>
        <v>0</v>
      </c>
      <c r="T43" s="7" cm="1">
        <f t="array" ref="T43">CommonWorkdays($D43,$E43,T$10,EOMONTH(T$10,0)+1,holidays)</f>
        <v>0</v>
      </c>
      <c r="U43" s="7" cm="1">
        <f t="array" ref="U43">CommonWorkdays($D43,$E43,U$10,EOMONTH(U$10,0)+1,holidays)</f>
        <v>0</v>
      </c>
      <c r="V43" s="7" cm="1">
        <f t="array" ref="V43">CommonWorkdays($D43,$E43,V$10,EOMONTH(V$10,0)+1,holidays)</f>
        <v>0</v>
      </c>
      <c r="W43" s="7" cm="1">
        <f t="array" ref="W43">CommonWorkdays($D43,$E43,W$10,EOMONTH(W$10,0)+1,holidays)</f>
        <v>0</v>
      </c>
      <c r="X43" s="7" cm="1">
        <f t="array" ref="X43">CommonWorkdays($D43,$E43,X$10,EOMONTH(X$10,0)+1,holidays)</f>
        <v>0</v>
      </c>
      <c r="Y43" s="7" cm="1">
        <f t="array" ref="Y43">CommonWorkdays($D43,$E43,Y$10,EOMONTH(Y$10,0)+1,holidays)</f>
        <v>0</v>
      </c>
      <c r="Z43" s="7" cm="1">
        <f t="array" ref="Z43">CommonWorkdays($D43,$E43,Z$10,EOMONTH(Z$10,0)+1,holidays)</f>
        <v>0</v>
      </c>
      <c r="AA43" s="7" cm="1">
        <f t="array" ref="AA43">CommonWorkdays($D43,$E43,AA$10,EOMONTH(AA$10,0)+1,holidays)</f>
        <v>0</v>
      </c>
      <c r="AB43" s="7" cm="1">
        <f t="array" ref="AB43">CommonWorkdays($D43,$E43,AB$10,EOMONTH(AB$10,0)+1,holidays)</f>
        <v>0</v>
      </c>
      <c r="AC43" s="106" cm="1">
        <f t="array" ref="AC43">CommonWorkdays($D43,$E43,AC$10,EOMONTH(AC$10,0)+1,holidays)</f>
        <v>0</v>
      </c>
    </row>
    <row r="44" spans="2:29" hidden="1" outlineLevel="1" x14ac:dyDescent="0.3">
      <c r="B44" s="9">
        <f t="shared" si="6"/>
        <v>33</v>
      </c>
      <c r="C44" s="36" t="s">
        <v>87</v>
      </c>
      <c r="D44" s="12">
        <v>45853</v>
      </c>
      <c r="E44" s="12">
        <v>45854</v>
      </c>
      <c r="F44" s="130">
        <f>NETWORKDAYS(D44,E44-1,holidays)</f>
        <v>1</v>
      </c>
      <c r="G44" s="13" cm="1">
        <f t="array" ref="G44">CommonWorkdays($D44,$E44,G$10,EOMONTH(G$10,0)+1,holidays)</f>
        <v>0</v>
      </c>
      <c r="H44" s="13" cm="1">
        <f t="array" ref="H44">CommonWorkdays($D44,$E44,H$10,EOMONTH(H$10,0)+1,holidays)</f>
        <v>0</v>
      </c>
      <c r="I44" s="13" cm="1">
        <f t="array" ref="I44">CommonWorkdays($D44,$E44,I$10,EOMONTH(I$10,0)+1,holidays)</f>
        <v>0</v>
      </c>
      <c r="J44" s="13" cm="1">
        <f t="array" ref="J44">CommonWorkdays($D44,$E44,J$10,EOMONTH(J$10,0)+1,holidays)</f>
        <v>0</v>
      </c>
      <c r="K44" s="13" cm="1">
        <f t="array" ref="K44">CommonWorkdays($D44,$E44,K$10,EOMONTH(K$10,0)+1,holidays)</f>
        <v>0</v>
      </c>
      <c r="L44" s="13" cm="1">
        <f t="array" ref="L44">CommonWorkdays($D44,$E44,L$10,EOMONTH(L$10,0)+1,holidays)</f>
        <v>0</v>
      </c>
      <c r="M44" s="13" cm="1">
        <f t="array" ref="M44">CommonWorkdays($D44,$E44,M$10,EOMONTH(M$10,0)+1,holidays)</f>
        <v>1</v>
      </c>
      <c r="N44" s="13" cm="1">
        <f t="array" ref="N44">CommonWorkdays($D44,$E44,N$10,EOMONTH(N$10,0)+1,holidays)</f>
        <v>0</v>
      </c>
      <c r="O44" s="13" cm="1">
        <f t="array" ref="O44">CommonWorkdays($D44,$E44,O$10,EOMONTH(O$10,0)+1,holidays)</f>
        <v>0</v>
      </c>
      <c r="P44" s="13" cm="1">
        <f t="array" ref="P44">CommonWorkdays($D44,$E44,P$10,EOMONTH(P$10,0)+1,holidays)</f>
        <v>0</v>
      </c>
      <c r="Q44" s="13" cm="1">
        <f t="array" ref="Q44">CommonWorkdays($D44,$E44,Q$10,EOMONTH(Q$10,0)+1,holidays)</f>
        <v>0</v>
      </c>
      <c r="R44" s="13" cm="1">
        <f t="array" ref="R44">CommonWorkdays($D44,$E44,R$10,EOMONTH(R$10,0)+1,holidays)</f>
        <v>0</v>
      </c>
      <c r="S44" s="13" cm="1">
        <f t="array" ref="S44">CommonWorkdays($D44,$E44,S$10,EOMONTH(S$10,0)+1,holidays)</f>
        <v>0</v>
      </c>
      <c r="T44" s="13" cm="1">
        <f t="array" ref="T44">CommonWorkdays($D44,$E44,T$10,EOMONTH(T$10,0)+1,holidays)</f>
        <v>0</v>
      </c>
      <c r="U44" s="13" cm="1">
        <f t="array" ref="U44">CommonWorkdays($D44,$E44,U$10,EOMONTH(U$10,0)+1,holidays)</f>
        <v>0</v>
      </c>
      <c r="V44" s="13" cm="1">
        <f t="array" ref="V44">CommonWorkdays($D44,$E44,V$10,EOMONTH(V$10,0)+1,holidays)</f>
        <v>0</v>
      </c>
      <c r="W44" s="13" cm="1">
        <f t="array" ref="W44">CommonWorkdays($D44,$E44,W$10,EOMONTH(W$10,0)+1,holidays)</f>
        <v>0</v>
      </c>
      <c r="X44" s="13" cm="1">
        <f t="array" ref="X44">CommonWorkdays($D44,$E44,X$10,EOMONTH(X$10,0)+1,holidays)</f>
        <v>0</v>
      </c>
      <c r="Y44" s="13" cm="1">
        <f t="array" ref="Y44">CommonWorkdays($D44,$E44,Y$10,EOMONTH(Y$10,0)+1,holidays)</f>
        <v>0</v>
      </c>
      <c r="Z44" s="13" cm="1">
        <f t="array" ref="Z44">CommonWorkdays($D44,$E44,Z$10,EOMONTH(Z$10,0)+1,holidays)</f>
        <v>0</v>
      </c>
      <c r="AA44" s="13" cm="1">
        <f t="array" ref="AA44">CommonWorkdays($D44,$E44,AA$10,EOMONTH(AA$10,0)+1,holidays)</f>
        <v>0</v>
      </c>
      <c r="AB44" s="13" cm="1">
        <f t="array" ref="AB44">CommonWorkdays($D44,$E44,AB$10,EOMONTH(AB$10,0)+1,holidays)</f>
        <v>0</v>
      </c>
      <c r="AC44" s="114" cm="1">
        <f t="array" ref="AC44">CommonWorkdays($D44,$E44,AC$10,EOMONTH(AC$10,0)+1,holidays)</f>
        <v>0</v>
      </c>
    </row>
    <row r="45" spans="2:29" collapsed="1" x14ac:dyDescent="0.3">
      <c r="B45" s="48">
        <f>B44+1</f>
        <v>34</v>
      </c>
      <c r="C45" s="49" t="s">
        <v>90</v>
      </c>
      <c r="D45" s="50">
        <v>45691</v>
      </c>
      <c r="E45" s="50">
        <v>45934</v>
      </c>
      <c r="F45" s="131">
        <f>NETWORKDAYS(D45,E45-1,holidays)</f>
        <v>162</v>
      </c>
      <c r="G45" s="116" cm="1">
        <f t="array" ref="G45">CommonWorkdays($D45,$E45,G$10,EOMONTH(G$10,0)+1,holidays)</f>
        <v>0</v>
      </c>
      <c r="H45" s="116" cm="1">
        <f t="array" ref="H45">CommonWorkdays($D45,$E45,H$10,EOMONTH(H$10,0)+1,holidays)</f>
        <v>19</v>
      </c>
      <c r="I45" s="116" cm="1">
        <f t="array" ref="I45">CommonWorkdays($D45,$E45,I$10,EOMONTH(I$10,0)+1,holidays)</f>
        <v>21</v>
      </c>
      <c r="J45" s="116" cm="1">
        <f t="array" ref="J45">CommonWorkdays($D45,$E45,J$10,EOMONTH(J$10,0)+1,holidays)</f>
        <v>19</v>
      </c>
      <c r="K45" s="116" cm="1">
        <f t="array" ref="K45">CommonWorkdays($D45,$E45,K$10,EOMONTH(K$10,0)+1,holidays)</f>
        <v>19</v>
      </c>
      <c r="L45" s="116" cm="1">
        <f t="array" ref="L45">CommonWorkdays($D45,$E45,L$10,EOMONTH(L$10,0)+1,holidays)</f>
        <v>19</v>
      </c>
      <c r="M45" s="116" cm="1">
        <f t="array" ref="M45">CommonWorkdays($D45,$E45,M$10,EOMONTH(M$10,0)+1,holidays)</f>
        <v>21</v>
      </c>
      <c r="N45" s="116" cm="1">
        <f t="array" ref="N45">CommonWorkdays($D45,$E45,N$10,EOMONTH(N$10,0)+1,holidays)</f>
        <v>19</v>
      </c>
      <c r="O45" s="116" cm="1">
        <f t="array" ref="O45">CommonWorkdays($D45,$E45,O$10,EOMONTH(O$10,0)+1,holidays)</f>
        <v>22</v>
      </c>
      <c r="P45" s="116" cm="1">
        <f t="array" ref="P45">CommonWorkdays($D45,$E45,P$10,EOMONTH(P$10,0)+1,holidays)</f>
        <v>3</v>
      </c>
      <c r="Q45" s="116" cm="1">
        <f t="array" ref="Q45">CommonWorkdays($D45,$E45,Q$10,EOMONTH(Q$10,0)+1,holidays)</f>
        <v>0</v>
      </c>
      <c r="R45" s="116" cm="1">
        <f t="array" ref="R45">CommonWorkdays($D45,$E45,R$10,EOMONTH(R$10,0)+1,holidays)</f>
        <v>0</v>
      </c>
      <c r="S45" s="116" cm="1">
        <f t="array" ref="S45">CommonWorkdays($D45,$E45,S$10,EOMONTH(S$10,0)+1,holidays)</f>
        <v>0</v>
      </c>
      <c r="T45" s="116" cm="1">
        <f t="array" ref="T45">CommonWorkdays($D45,$E45,T$10,EOMONTH(T$10,0)+1,holidays)</f>
        <v>0</v>
      </c>
      <c r="U45" s="116" cm="1">
        <f t="array" ref="U45">CommonWorkdays($D45,$E45,U$10,EOMONTH(U$10,0)+1,holidays)</f>
        <v>0</v>
      </c>
      <c r="V45" s="116" cm="1">
        <f t="array" ref="V45">CommonWorkdays($D45,$E45,V$10,EOMONTH(V$10,0)+1,holidays)</f>
        <v>0</v>
      </c>
      <c r="W45" s="116" cm="1">
        <f t="array" ref="W45">CommonWorkdays($D45,$E45,W$10,EOMONTH(W$10,0)+1,holidays)</f>
        <v>0</v>
      </c>
      <c r="X45" s="116" cm="1">
        <f t="array" ref="X45">CommonWorkdays($D45,$E45,X$10,EOMONTH(X$10,0)+1,holidays)</f>
        <v>0</v>
      </c>
      <c r="Y45" s="116" cm="1">
        <f t="array" ref="Y45">CommonWorkdays($D45,$E45,Y$10,EOMONTH(Y$10,0)+1,holidays)</f>
        <v>0</v>
      </c>
      <c r="Z45" s="116" cm="1">
        <f t="array" ref="Z45">CommonWorkdays($D45,$E45,Z$10,EOMONTH(Z$10,0)+1,holidays)</f>
        <v>0</v>
      </c>
      <c r="AA45" s="116" cm="1">
        <f t="array" ref="AA45">CommonWorkdays($D45,$E45,AA$10,EOMONTH(AA$10,0)+1,holidays)</f>
        <v>0</v>
      </c>
      <c r="AB45" s="116" cm="1">
        <f t="array" ref="AB45">CommonWorkdays($D45,$E45,AB$10,EOMONTH(AB$10,0)+1,holidays)</f>
        <v>0</v>
      </c>
      <c r="AC45" s="117" cm="1">
        <f t="array" ref="AC45">CommonWorkdays($D45,$E45,AC$10,EOMONTH(AC$10,0)+1,holidays)</f>
        <v>0</v>
      </c>
    </row>
    <row r="46" spans="2:29" hidden="1" outlineLevel="1" x14ac:dyDescent="0.3">
      <c r="B46" s="15">
        <f>B45+1</f>
        <v>35</v>
      </c>
      <c r="C46" s="37" t="s">
        <v>78</v>
      </c>
      <c r="D46" s="18">
        <v>45691</v>
      </c>
      <c r="E46" s="18">
        <v>45693</v>
      </c>
      <c r="F46" s="132">
        <f>NETWORKDAYS(D46,E46-1,holidays)</f>
        <v>2</v>
      </c>
      <c r="G46" s="7" cm="1">
        <f t="array" ref="G46">CommonWorkdays($D46,$E46,G$10,EOMONTH(G$10,0)+1,holidays)</f>
        <v>0</v>
      </c>
      <c r="H46" s="7" cm="1">
        <f t="array" ref="H46">CommonWorkdays($D46,$E46,H$10,EOMONTH(H$10,0)+1,holidays)</f>
        <v>2</v>
      </c>
      <c r="I46" s="7" cm="1">
        <f t="array" ref="I46">CommonWorkdays($D46,$E46,I$10,EOMONTH(I$10,0)+1,holidays)</f>
        <v>0</v>
      </c>
      <c r="J46" s="7" cm="1">
        <f t="array" ref="J46">CommonWorkdays($D46,$E46,J$10,EOMONTH(J$10,0)+1,holidays)</f>
        <v>0</v>
      </c>
      <c r="K46" s="7" cm="1">
        <f t="array" ref="K46">CommonWorkdays($D46,$E46,K$10,EOMONTH(K$10,0)+1,holidays)</f>
        <v>0</v>
      </c>
      <c r="L46" s="7" cm="1">
        <f t="array" ref="L46">CommonWorkdays($D46,$E46,L$10,EOMONTH(L$10,0)+1,holidays)</f>
        <v>0</v>
      </c>
      <c r="M46" s="7" cm="1">
        <f t="array" ref="M46">CommonWorkdays($D46,$E46,M$10,EOMONTH(M$10,0)+1,holidays)</f>
        <v>0</v>
      </c>
      <c r="N46" s="7" cm="1">
        <f t="array" ref="N46">CommonWorkdays($D46,$E46,N$10,EOMONTH(N$10,0)+1,holidays)</f>
        <v>0</v>
      </c>
      <c r="O46" s="7" cm="1">
        <f t="array" ref="O46">CommonWorkdays($D46,$E46,O$10,EOMONTH(O$10,0)+1,holidays)</f>
        <v>0</v>
      </c>
      <c r="P46" s="7" cm="1">
        <f t="array" ref="P46">CommonWorkdays($D46,$E46,P$10,EOMONTH(P$10,0)+1,holidays)</f>
        <v>0</v>
      </c>
      <c r="Q46" s="7" cm="1">
        <f t="array" ref="Q46">CommonWorkdays($D46,$E46,Q$10,EOMONTH(Q$10,0)+1,holidays)</f>
        <v>0</v>
      </c>
      <c r="R46" s="7" cm="1">
        <f t="array" ref="R46">CommonWorkdays($D46,$E46,R$10,EOMONTH(R$10,0)+1,holidays)</f>
        <v>0</v>
      </c>
      <c r="S46" s="7" cm="1">
        <f t="array" ref="S46">CommonWorkdays($D46,$E46,S$10,EOMONTH(S$10,0)+1,holidays)</f>
        <v>0</v>
      </c>
      <c r="T46" s="7" cm="1">
        <f t="array" ref="T46">CommonWorkdays($D46,$E46,T$10,EOMONTH(T$10,0)+1,holidays)</f>
        <v>0</v>
      </c>
      <c r="U46" s="7" cm="1">
        <f t="array" ref="U46">CommonWorkdays($D46,$E46,U$10,EOMONTH(U$10,0)+1,holidays)</f>
        <v>0</v>
      </c>
      <c r="V46" s="7" cm="1">
        <f t="array" ref="V46">CommonWorkdays($D46,$E46,V$10,EOMONTH(V$10,0)+1,holidays)</f>
        <v>0</v>
      </c>
      <c r="W46" s="7" cm="1">
        <f t="array" ref="W46">CommonWorkdays($D46,$E46,W$10,EOMONTH(W$10,0)+1,holidays)</f>
        <v>0</v>
      </c>
      <c r="X46" s="7" cm="1">
        <f t="array" ref="X46">CommonWorkdays($D46,$E46,X$10,EOMONTH(X$10,0)+1,holidays)</f>
        <v>0</v>
      </c>
      <c r="Y46" s="7" cm="1">
        <f t="array" ref="Y46">CommonWorkdays($D46,$E46,Y$10,EOMONTH(Y$10,0)+1,holidays)</f>
        <v>0</v>
      </c>
      <c r="Z46" s="7" cm="1">
        <f t="array" ref="Z46">CommonWorkdays($D46,$E46,Z$10,EOMONTH(Z$10,0)+1,holidays)</f>
        <v>0</v>
      </c>
      <c r="AA46" s="7" cm="1">
        <f t="array" ref="AA46">CommonWorkdays($D46,$E46,AA$10,EOMONTH(AA$10,0)+1,holidays)</f>
        <v>0</v>
      </c>
      <c r="AB46" s="7" cm="1">
        <f t="array" ref="AB46">CommonWorkdays($D46,$E46,AB$10,EOMONTH(AB$10,0)+1,holidays)</f>
        <v>0</v>
      </c>
      <c r="AC46" s="106" cm="1">
        <f t="array" ref="AC46">CommonWorkdays($D46,$E46,AC$10,EOMONTH(AC$10,0)+1,holidays)</f>
        <v>0</v>
      </c>
    </row>
    <row r="47" spans="2:29" ht="26" hidden="1" outlineLevel="1" x14ac:dyDescent="0.3">
      <c r="B47" s="2">
        <f t="shared" ref="B47:B50" si="7">B46+1</f>
        <v>36</v>
      </c>
      <c r="C47" s="35" t="s">
        <v>55</v>
      </c>
      <c r="D47" s="6">
        <v>45736</v>
      </c>
      <c r="E47" s="6">
        <v>45738</v>
      </c>
      <c r="F47" s="129">
        <f>NETWORKDAYS(D47,E47-1,holidays)</f>
        <v>2</v>
      </c>
      <c r="G47" s="7" cm="1">
        <f t="array" ref="G47">CommonWorkdays($D47,$E47,G$10,EOMONTH(G$10,0)+1,holidays)</f>
        <v>0</v>
      </c>
      <c r="H47" s="7" cm="1">
        <f t="array" ref="H47">CommonWorkdays($D47,$E47,H$10,EOMONTH(H$10,0)+1,holidays)</f>
        <v>0</v>
      </c>
      <c r="I47" s="7" cm="1">
        <f t="array" ref="I47">CommonWorkdays($D47,$E47,I$10,EOMONTH(I$10,0)+1,holidays)</f>
        <v>2</v>
      </c>
      <c r="J47" s="7" cm="1">
        <f t="array" ref="J47">CommonWorkdays($D47,$E47,J$10,EOMONTH(J$10,0)+1,holidays)</f>
        <v>0</v>
      </c>
      <c r="K47" s="7" cm="1">
        <f t="array" ref="K47">CommonWorkdays($D47,$E47,K$10,EOMONTH(K$10,0)+1,holidays)</f>
        <v>0</v>
      </c>
      <c r="L47" s="7" cm="1">
        <f t="array" ref="L47">CommonWorkdays($D47,$E47,L$10,EOMONTH(L$10,0)+1,holidays)</f>
        <v>0</v>
      </c>
      <c r="M47" s="7" cm="1">
        <f t="array" ref="M47">CommonWorkdays($D47,$E47,M$10,EOMONTH(M$10,0)+1,holidays)</f>
        <v>0</v>
      </c>
      <c r="N47" s="7" cm="1">
        <f t="array" ref="N47">CommonWorkdays($D47,$E47,N$10,EOMONTH(N$10,0)+1,holidays)</f>
        <v>0</v>
      </c>
      <c r="O47" s="7" cm="1">
        <f t="array" ref="O47">CommonWorkdays($D47,$E47,O$10,EOMONTH(O$10,0)+1,holidays)</f>
        <v>0</v>
      </c>
      <c r="P47" s="7" cm="1">
        <f t="array" ref="P47">CommonWorkdays($D47,$E47,P$10,EOMONTH(P$10,0)+1,holidays)</f>
        <v>0</v>
      </c>
      <c r="Q47" s="7" cm="1">
        <f t="array" ref="Q47">CommonWorkdays($D47,$E47,Q$10,EOMONTH(Q$10,0)+1,holidays)</f>
        <v>0</v>
      </c>
      <c r="R47" s="7" cm="1">
        <f t="array" ref="R47">CommonWorkdays($D47,$E47,R$10,EOMONTH(R$10,0)+1,holidays)</f>
        <v>0</v>
      </c>
      <c r="S47" s="7" cm="1">
        <f t="array" ref="S47">CommonWorkdays($D47,$E47,S$10,EOMONTH(S$10,0)+1,holidays)</f>
        <v>0</v>
      </c>
      <c r="T47" s="7" cm="1">
        <f t="array" ref="T47">CommonWorkdays($D47,$E47,T$10,EOMONTH(T$10,0)+1,holidays)</f>
        <v>0</v>
      </c>
      <c r="U47" s="7" cm="1">
        <f t="array" ref="U47">CommonWorkdays($D47,$E47,U$10,EOMONTH(U$10,0)+1,holidays)</f>
        <v>0</v>
      </c>
      <c r="V47" s="7" cm="1">
        <f t="array" ref="V47">CommonWorkdays($D47,$E47,V$10,EOMONTH(V$10,0)+1,holidays)</f>
        <v>0</v>
      </c>
      <c r="W47" s="7" cm="1">
        <f t="array" ref="W47">CommonWorkdays($D47,$E47,W$10,EOMONTH(W$10,0)+1,holidays)</f>
        <v>0</v>
      </c>
      <c r="X47" s="7" cm="1">
        <f t="array" ref="X47">CommonWorkdays($D47,$E47,X$10,EOMONTH(X$10,0)+1,holidays)</f>
        <v>0</v>
      </c>
      <c r="Y47" s="7" cm="1">
        <f t="array" ref="Y47">CommonWorkdays($D47,$E47,Y$10,EOMONTH(Y$10,0)+1,holidays)</f>
        <v>0</v>
      </c>
      <c r="Z47" s="7" cm="1">
        <f t="array" ref="Z47">CommonWorkdays($D47,$E47,Z$10,EOMONTH(Z$10,0)+1,holidays)</f>
        <v>0</v>
      </c>
      <c r="AA47" s="7" cm="1">
        <f t="array" ref="AA47">CommonWorkdays($D47,$E47,AA$10,EOMONTH(AA$10,0)+1,holidays)</f>
        <v>0</v>
      </c>
      <c r="AB47" s="7" cm="1">
        <f t="array" ref="AB47">CommonWorkdays($D47,$E47,AB$10,EOMONTH(AB$10,0)+1,holidays)</f>
        <v>0</v>
      </c>
      <c r="AC47" s="106" cm="1">
        <f t="array" ref="AC47">CommonWorkdays($D47,$E47,AC$10,EOMONTH(AC$10,0)+1,holidays)</f>
        <v>0</v>
      </c>
    </row>
    <row r="48" spans="2:29" hidden="1" outlineLevel="1" x14ac:dyDescent="0.3">
      <c r="B48" s="2">
        <f t="shared" si="7"/>
        <v>37</v>
      </c>
      <c r="C48" s="35" t="s">
        <v>97</v>
      </c>
      <c r="D48" s="6">
        <v>45798</v>
      </c>
      <c r="E48" s="6">
        <v>45799</v>
      </c>
      <c r="F48" s="129">
        <f>NETWORKDAYS(D48,E48-1,holidays)</f>
        <v>1</v>
      </c>
      <c r="G48" s="7" cm="1">
        <f t="array" ref="G48">CommonWorkdays($D48,$E48,G$10,EOMONTH(G$10,0)+1,holidays)</f>
        <v>0</v>
      </c>
      <c r="H48" s="7" cm="1">
        <f t="array" ref="H48">CommonWorkdays($D48,$E48,H$10,EOMONTH(H$10,0)+1,holidays)</f>
        <v>0</v>
      </c>
      <c r="I48" s="7" cm="1">
        <f t="array" ref="I48">CommonWorkdays($D48,$E48,I$10,EOMONTH(I$10,0)+1,holidays)</f>
        <v>0</v>
      </c>
      <c r="J48" s="7" cm="1">
        <f t="array" ref="J48">CommonWorkdays($D48,$E48,J$10,EOMONTH(J$10,0)+1,holidays)</f>
        <v>0</v>
      </c>
      <c r="K48" s="7" cm="1">
        <f t="array" ref="K48">CommonWorkdays($D48,$E48,K$10,EOMONTH(K$10,0)+1,holidays)</f>
        <v>1</v>
      </c>
      <c r="L48" s="7" cm="1">
        <f t="array" ref="L48">CommonWorkdays($D48,$E48,L$10,EOMONTH(L$10,0)+1,holidays)</f>
        <v>0</v>
      </c>
      <c r="M48" s="7" cm="1">
        <f t="array" ref="M48">CommonWorkdays($D48,$E48,M$10,EOMONTH(M$10,0)+1,holidays)</f>
        <v>0</v>
      </c>
      <c r="N48" s="7" cm="1">
        <f t="array" ref="N48">CommonWorkdays($D48,$E48,N$10,EOMONTH(N$10,0)+1,holidays)</f>
        <v>0</v>
      </c>
      <c r="O48" s="7" cm="1">
        <f t="array" ref="O48">CommonWorkdays($D48,$E48,O$10,EOMONTH(O$10,0)+1,holidays)</f>
        <v>0</v>
      </c>
      <c r="P48" s="7" cm="1">
        <f t="array" ref="P48">CommonWorkdays($D48,$E48,P$10,EOMONTH(P$10,0)+1,holidays)</f>
        <v>0</v>
      </c>
      <c r="Q48" s="7" cm="1">
        <f t="array" ref="Q48">CommonWorkdays($D48,$E48,Q$10,EOMONTH(Q$10,0)+1,holidays)</f>
        <v>0</v>
      </c>
      <c r="R48" s="7" cm="1">
        <f t="array" ref="R48">CommonWorkdays($D48,$E48,R$10,EOMONTH(R$10,0)+1,holidays)</f>
        <v>0</v>
      </c>
      <c r="S48" s="7" cm="1">
        <f t="array" ref="S48">CommonWorkdays($D48,$E48,S$10,EOMONTH(S$10,0)+1,holidays)</f>
        <v>0</v>
      </c>
      <c r="T48" s="7" cm="1">
        <f t="array" ref="T48">CommonWorkdays($D48,$E48,T$10,EOMONTH(T$10,0)+1,holidays)</f>
        <v>0</v>
      </c>
      <c r="U48" s="7" cm="1">
        <f t="array" ref="U48">CommonWorkdays($D48,$E48,U$10,EOMONTH(U$10,0)+1,holidays)</f>
        <v>0</v>
      </c>
      <c r="V48" s="7" cm="1">
        <f t="array" ref="V48">CommonWorkdays($D48,$E48,V$10,EOMONTH(V$10,0)+1,holidays)</f>
        <v>0</v>
      </c>
      <c r="W48" s="7" cm="1">
        <f t="array" ref="W48">CommonWorkdays($D48,$E48,W$10,EOMONTH(W$10,0)+1,holidays)</f>
        <v>0</v>
      </c>
      <c r="X48" s="7" cm="1">
        <f t="array" ref="X48">CommonWorkdays($D48,$E48,X$10,EOMONTH(X$10,0)+1,holidays)</f>
        <v>0</v>
      </c>
      <c r="Y48" s="7" cm="1">
        <f t="array" ref="Y48">CommonWorkdays($D48,$E48,Y$10,EOMONTH(Y$10,0)+1,holidays)</f>
        <v>0</v>
      </c>
      <c r="Z48" s="7" cm="1">
        <f t="array" ref="Z48">CommonWorkdays($D48,$E48,Z$10,EOMONTH(Z$10,0)+1,holidays)</f>
        <v>0</v>
      </c>
      <c r="AA48" s="7" cm="1">
        <f t="array" ref="AA48">CommonWorkdays($D48,$E48,AA$10,EOMONTH(AA$10,0)+1,holidays)</f>
        <v>0</v>
      </c>
      <c r="AB48" s="7" cm="1">
        <f t="array" ref="AB48">CommonWorkdays($D48,$E48,AB$10,EOMONTH(AB$10,0)+1,holidays)</f>
        <v>0</v>
      </c>
      <c r="AC48" s="106" cm="1">
        <f t="array" ref="AC48">CommonWorkdays($D48,$E48,AC$10,EOMONTH(AC$10,0)+1,holidays)</f>
        <v>0</v>
      </c>
    </row>
    <row r="49" spans="2:29" ht="26" hidden="1" outlineLevel="1" x14ac:dyDescent="0.3">
      <c r="B49" s="2">
        <f t="shared" si="7"/>
        <v>38</v>
      </c>
      <c r="C49" s="35" t="s">
        <v>96</v>
      </c>
      <c r="D49" s="6">
        <v>45853</v>
      </c>
      <c r="E49" s="6">
        <v>45856</v>
      </c>
      <c r="F49" s="129">
        <f>NETWORKDAYS(D49,E49-1,holidays)</f>
        <v>3</v>
      </c>
      <c r="G49" s="7" cm="1">
        <f t="array" ref="G49">CommonWorkdays($D49,$E49,G$10,EOMONTH(G$10,0)+1,holidays)</f>
        <v>0</v>
      </c>
      <c r="H49" s="7" cm="1">
        <f t="array" ref="H49">CommonWorkdays($D49,$E49,H$10,EOMONTH(H$10,0)+1,holidays)</f>
        <v>0</v>
      </c>
      <c r="I49" s="7" cm="1">
        <f t="array" ref="I49">CommonWorkdays($D49,$E49,I$10,EOMONTH(I$10,0)+1,holidays)</f>
        <v>0</v>
      </c>
      <c r="J49" s="7" cm="1">
        <f t="array" ref="J49">CommonWorkdays($D49,$E49,J$10,EOMONTH(J$10,0)+1,holidays)</f>
        <v>0</v>
      </c>
      <c r="K49" s="7" cm="1">
        <f t="array" ref="K49">CommonWorkdays($D49,$E49,K$10,EOMONTH(K$10,0)+1,holidays)</f>
        <v>0</v>
      </c>
      <c r="L49" s="7" cm="1">
        <f t="array" ref="L49">CommonWorkdays($D49,$E49,L$10,EOMONTH(L$10,0)+1,holidays)</f>
        <v>0</v>
      </c>
      <c r="M49" s="7" cm="1">
        <f t="array" ref="M49">CommonWorkdays($D49,$E49,M$10,EOMONTH(M$10,0)+1,holidays)</f>
        <v>3</v>
      </c>
      <c r="N49" s="7" cm="1">
        <f t="array" ref="N49">CommonWorkdays($D49,$E49,N$10,EOMONTH(N$10,0)+1,holidays)</f>
        <v>0</v>
      </c>
      <c r="O49" s="7" cm="1">
        <f t="array" ref="O49">CommonWorkdays($D49,$E49,O$10,EOMONTH(O$10,0)+1,holidays)</f>
        <v>0</v>
      </c>
      <c r="P49" s="7" cm="1">
        <f t="array" ref="P49">CommonWorkdays($D49,$E49,P$10,EOMONTH(P$10,0)+1,holidays)</f>
        <v>0</v>
      </c>
      <c r="Q49" s="7" cm="1">
        <f t="array" ref="Q49">CommonWorkdays($D49,$E49,Q$10,EOMONTH(Q$10,0)+1,holidays)</f>
        <v>0</v>
      </c>
      <c r="R49" s="7" cm="1">
        <f t="array" ref="R49">CommonWorkdays($D49,$E49,R$10,EOMONTH(R$10,0)+1,holidays)</f>
        <v>0</v>
      </c>
      <c r="S49" s="7" cm="1">
        <f t="array" ref="S49">CommonWorkdays($D49,$E49,S$10,EOMONTH(S$10,0)+1,holidays)</f>
        <v>0</v>
      </c>
      <c r="T49" s="7" cm="1">
        <f t="array" ref="T49">CommonWorkdays($D49,$E49,T$10,EOMONTH(T$10,0)+1,holidays)</f>
        <v>0</v>
      </c>
      <c r="U49" s="7" cm="1">
        <f t="array" ref="U49">CommonWorkdays($D49,$E49,U$10,EOMONTH(U$10,0)+1,holidays)</f>
        <v>0</v>
      </c>
      <c r="V49" s="7" cm="1">
        <f t="array" ref="V49">CommonWorkdays($D49,$E49,V$10,EOMONTH(V$10,0)+1,holidays)</f>
        <v>0</v>
      </c>
      <c r="W49" s="7" cm="1">
        <f t="array" ref="W49">CommonWorkdays($D49,$E49,W$10,EOMONTH(W$10,0)+1,holidays)</f>
        <v>0</v>
      </c>
      <c r="X49" s="7" cm="1">
        <f t="array" ref="X49">CommonWorkdays($D49,$E49,X$10,EOMONTH(X$10,0)+1,holidays)</f>
        <v>0</v>
      </c>
      <c r="Y49" s="7" cm="1">
        <f t="array" ref="Y49">CommonWorkdays($D49,$E49,Y$10,EOMONTH(Y$10,0)+1,holidays)</f>
        <v>0</v>
      </c>
      <c r="Z49" s="7" cm="1">
        <f t="array" ref="Z49">CommonWorkdays($D49,$E49,Z$10,EOMONTH(Z$10,0)+1,holidays)</f>
        <v>0</v>
      </c>
      <c r="AA49" s="7" cm="1">
        <f t="array" ref="AA49">CommonWorkdays($D49,$E49,AA$10,EOMONTH(AA$10,0)+1,holidays)</f>
        <v>0</v>
      </c>
      <c r="AB49" s="7" cm="1">
        <f t="array" ref="AB49">CommonWorkdays($D49,$E49,AB$10,EOMONTH(AB$10,0)+1,holidays)</f>
        <v>0</v>
      </c>
      <c r="AC49" s="106" cm="1">
        <f t="array" ref="AC49">CommonWorkdays($D49,$E49,AC$10,EOMONTH(AC$10,0)+1,holidays)</f>
        <v>0</v>
      </c>
    </row>
    <row r="50" spans="2:29" hidden="1" outlineLevel="1" x14ac:dyDescent="0.3">
      <c r="B50" s="9">
        <f t="shared" si="7"/>
        <v>39</v>
      </c>
      <c r="C50" s="36" t="s">
        <v>56</v>
      </c>
      <c r="D50" s="12">
        <v>45931</v>
      </c>
      <c r="E50" s="12">
        <v>45934</v>
      </c>
      <c r="F50" s="130">
        <f>NETWORKDAYS(D50,E50-1,holidays)</f>
        <v>3</v>
      </c>
      <c r="G50" s="13" cm="1">
        <f t="array" ref="G50">CommonWorkdays($D50,$E50,G$10,EOMONTH(G$10,0)+1,holidays)</f>
        <v>0</v>
      </c>
      <c r="H50" s="13" cm="1">
        <f t="array" ref="H50">CommonWorkdays($D50,$E50,H$10,EOMONTH(H$10,0)+1,holidays)</f>
        <v>0</v>
      </c>
      <c r="I50" s="13" cm="1">
        <f t="array" ref="I50">CommonWorkdays($D50,$E50,I$10,EOMONTH(I$10,0)+1,holidays)</f>
        <v>0</v>
      </c>
      <c r="J50" s="13" cm="1">
        <f t="array" ref="J50">CommonWorkdays($D50,$E50,J$10,EOMONTH(J$10,0)+1,holidays)</f>
        <v>0</v>
      </c>
      <c r="K50" s="13" cm="1">
        <f t="array" ref="K50">CommonWorkdays($D50,$E50,K$10,EOMONTH(K$10,0)+1,holidays)</f>
        <v>0</v>
      </c>
      <c r="L50" s="13" cm="1">
        <f t="array" ref="L50">CommonWorkdays($D50,$E50,L$10,EOMONTH(L$10,0)+1,holidays)</f>
        <v>0</v>
      </c>
      <c r="M50" s="13" cm="1">
        <f t="array" ref="M50">CommonWorkdays($D50,$E50,M$10,EOMONTH(M$10,0)+1,holidays)</f>
        <v>0</v>
      </c>
      <c r="N50" s="13" cm="1">
        <f t="array" ref="N50">CommonWorkdays($D50,$E50,N$10,EOMONTH(N$10,0)+1,holidays)</f>
        <v>0</v>
      </c>
      <c r="O50" s="13" cm="1">
        <f t="array" ref="O50">CommonWorkdays($D50,$E50,O$10,EOMONTH(O$10,0)+1,holidays)</f>
        <v>0</v>
      </c>
      <c r="P50" s="13" cm="1">
        <f t="array" ref="P50">CommonWorkdays($D50,$E50,P$10,EOMONTH(P$10,0)+1,holidays)</f>
        <v>3</v>
      </c>
      <c r="Q50" s="13" cm="1">
        <f t="array" ref="Q50">CommonWorkdays($D50,$E50,Q$10,EOMONTH(Q$10,0)+1,holidays)</f>
        <v>0</v>
      </c>
      <c r="R50" s="13" cm="1">
        <f t="array" ref="R50">CommonWorkdays($D50,$E50,R$10,EOMONTH(R$10,0)+1,holidays)</f>
        <v>0</v>
      </c>
      <c r="S50" s="13" cm="1">
        <f t="array" ref="S50">CommonWorkdays($D50,$E50,S$10,EOMONTH(S$10,0)+1,holidays)</f>
        <v>0</v>
      </c>
      <c r="T50" s="13" cm="1">
        <f t="array" ref="T50">CommonWorkdays($D50,$E50,T$10,EOMONTH(T$10,0)+1,holidays)</f>
        <v>0</v>
      </c>
      <c r="U50" s="13" cm="1">
        <f t="array" ref="U50">CommonWorkdays($D50,$E50,U$10,EOMONTH(U$10,0)+1,holidays)</f>
        <v>0</v>
      </c>
      <c r="V50" s="13" cm="1">
        <f t="array" ref="V50">CommonWorkdays($D50,$E50,V$10,EOMONTH(V$10,0)+1,holidays)</f>
        <v>0</v>
      </c>
      <c r="W50" s="13" cm="1">
        <f t="array" ref="W50">CommonWorkdays($D50,$E50,W$10,EOMONTH(W$10,0)+1,holidays)</f>
        <v>0</v>
      </c>
      <c r="X50" s="13" cm="1">
        <f t="array" ref="X50">CommonWorkdays($D50,$E50,X$10,EOMONTH(X$10,0)+1,holidays)</f>
        <v>0</v>
      </c>
      <c r="Y50" s="13" cm="1">
        <f t="array" ref="Y50">CommonWorkdays($D50,$E50,Y$10,EOMONTH(Y$10,0)+1,holidays)</f>
        <v>0</v>
      </c>
      <c r="Z50" s="13" cm="1">
        <f t="array" ref="Z50">CommonWorkdays($D50,$E50,Z$10,EOMONTH(Z$10,0)+1,holidays)</f>
        <v>0</v>
      </c>
      <c r="AA50" s="13" cm="1">
        <f t="array" ref="AA50">CommonWorkdays($D50,$E50,AA$10,EOMONTH(AA$10,0)+1,holidays)</f>
        <v>0</v>
      </c>
      <c r="AB50" s="13" cm="1">
        <f t="array" ref="AB50">CommonWorkdays($D50,$E50,AB$10,EOMONTH(AB$10,0)+1,holidays)</f>
        <v>0</v>
      </c>
      <c r="AC50" s="114" cm="1">
        <f t="array" ref="AC50">CommonWorkdays($D50,$E50,AC$10,EOMONTH(AC$10,0)+1,holidays)</f>
        <v>0</v>
      </c>
    </row>
    <row r="51" spans="2:29" collapsed="1" x14ac:dyDescent="0.3">
      <c r="B51" s="48">
        <f>B50+1</f>
        <v>40</v>
      </c>
      <c r="C51" s="49" t="s">
        <v>103</v>
      </c>
      <c r="D51" s="50">
        <v>45719</v>
      </c>
      <c r="E51" s="50">
        <v>45829</v>
      </c>
      <c r="F51" s="131">
        <f>NETWORKDAYS(D51,E51-1,holidays)</f>
        <v>72</v>
      </c>
      <c r="G51" s="116" cm="1">
        <f t="array" ref="G51">CommonWorkdays($D51,$E51,G$10,EOMONTH(G$10,0)+1,holidays)</f>
        <v>0</v>
      </c>
      <c r="H51" s="116" cm="1">
        <f t="array" ref="H51">CommonWorkdays($D51,$E51,H$10,EOMONTH(H$10,0)+1,holidays)</f>
        <v>0</v>
      </c>
      <c r="I51" s="116" cm="1">
        <f t="array" ref="I51">CommonWorkdays($D51,$E51,I$10,EOMONTH(I$10,0)+1,holidays)</f>
        <v>21</v>
      </c>
      <c r="J51" s="116" cm="1">
        <f t="array" ref="J51">CommonWorkdays($D51,$E51,J$10,EOMONTH(J$10,0)+1,holidays)</f>
        <v>19</v>
      </c>
      <c r="K51" s="116" cm="1">
        <f t="array" ref="K51">CommonWorkdays($D51,$E51,K$10,EOMONTH(K$10,0)+1,holidays)</f>
        <v>19</v>
      </c>
      <c r="L51" s="116" cm="1">
        <f t="array" ref="L51">CommonWorkdays($D51,$E51,L$10,EOMONTH(L$10,0)+1,holidays)</f>
        <v>13</v>
      </c>
      <c r="M51" s="116" cm="1">
        <f t="array" ref="M51">CommonWorkdays($D51,$E51,M$10,EOMONTH(M$10,0)+1,holidays)</f>
        <v>0</v>
      </c>
      <c r="N51" s="116" cm="1">
        <f t="array" ref="N51">CommonWorkdays($D51,$E51,N$10,EOMONTH(N$10,0)+1,holidays)</f>
        <v>0</v>
      </c>
      <c r="O51" s="116" cm="1">
        <f t="array" ref="O51">CommonWorkdays($D51,$E51,O$10,EOMONTH(O$10,0)+1,holidays)</f>
        <v>0</v>
      </c>
      <c r="P51" s="116" cm="1">
        <f t="array" ref="P51">CommonWorkdays($D51,$E51,P$10,EOMONTH(P$10,0)+1,holidays)</f>
        <v>0</v>
      </c>
      <c r="Q51" s="116" cm="1">
        <f t="array" ref="Q51">CommonWorkdays($D51,$E51,Q$10,EOMONTH(Q$10,0)+1,holidays)</f>
        <v>0</v>
      </c>
      <c r="R51" s="116" cm="1">
        <f t="array" ref="R51">CommonWorkdays($D51,$E51,R$10,EOMONTH(R$10,0)+1,holidays)</f>
        <v>0</v>
      </c>
      <c r="S51" s="116" cm="1">
        <f t="array" ref="S51">CommonWorkdays($D51,$E51,S$10,EOMONTH(S$10,0)+1,holidays)</f>
        <v>0</v>
      </c>
      <c r="T51" s="116" cm="1">
        <f t="array" ref="T51">CommonWorkdays($D51,$E51,T$10,EOMONTH(T$10,0)+1,holidays)</f>
        <v>0</v>
      </c>
      <c r="U51" s="116" cm="1">
        <f t="array" ref="U51">CommonWorkdays($D51,$E51,U$10,EOMONTH(U$10,0)+1,holidays)</f>
        <v>0</v>
      </c>
      <c r="V51" s="116" cm="1">
        <f t="array" ref="V51">CommonWorkdays($D51,$E51,V$10,EOMONTH(V$10,0)+1,holidays)</f>
        <v>0</v>
      </c>
      <c r="W51" s="116" cm="1">
        <f t="array" ref="W51">CommonWorkdays($D51,$E51,W$10,EOMONTH(W$10,0)+1,holidays)</f>
        <v>0</v>
      </c>
      <c r="X51" s="116" cm="1">
        <f t="array" ref="X51">CommonWorkdays($D51,$E51,X$10,EOMONTH(X$10,0)+1,holidays)</f>
        <v>0</v>
      </c>
      <c r="Y51" s="116" cm="1">
        <f t="array" ref="Y51">CommonWorkdays($D51,$E51,Y$10,EOMONTH(Y$10,0)+1,holidays)</f>
        <v>0</v>
      </c>
      <c r="Z51" s="116" cm="1">
        <f t="array" ref="Z51">CommonWorkdays($D51,$E51,Z$10,EOMONTH(Z$10,0)+1,holidays)</f>
        <v>0</v>
      </c>
      <c r="AA51" s="116" cm="1">
        <f t="array" ref="AA51">CommonWorkdays($D51,$E51,AA$10,EOMONTH(AA$10,0)+1,holidays)</f>
        <v>0</v>
      </c>
      <c r="AB51" s="116" cm="1">
        <f t="array" ref="AB51">CommonWorkdays($D51,$E51,AB$10,EOMONTH(AB$10,0)+1,holidays)</f>
        <v>0</v>
      </c>
      <c r="AC51" s="117" cm="1">
        <f t="array" ref="AC51">CommonWorkdays($D51,$E51,AC$10,EOMONTH(AC$10,0)+1,holidays)</f>
        <v>0</v>
      </c>
    </row>
    <row r="52" spans="2:29" ht="26" hidden="1" outlineLevel="1" x14ac:dyDescent="0.3">
      <c r="B52" s="2">
        <f>B51+1</f>
        <v>41</v>
      </c>
      <c r="C52" s="35" t="s">
        <v>106</v>
      </c>
      <c r="D52" s="6">
        <v>45719</v>
      </c>
      <c r="E52" s="6">
        <v>45731</v>
      </c>
      <c r="F52" s="129">
        <f>NETWORKDAYS(D52,E52-1,holidays)</f>
        <v>10</v>
      </c>
      <c r="G52" s="7" cm="1">
        <f t="array" ref="G52">CommonWorkdays($D52,$E52,G$10,EOMONTH(G$10,0)+1,holidays)</f>
        <v>0</v>
      </c>
      <c r="H52" s="7" cm="1">
        <f t="array" ref="H52">CommonWorkdays($D52,$E52,H$10,EOMONTH(H$10,0)+1,holidays)</f>
        <v>0</v>
      </c>
      <c r="I52" s="7" cm="1">
        <f t="array" ref="I52">CommonWorkdays($D52,$E52,I$10,EOMONTH(I$10,0)+1,holidays)</f>
        <v>10</v>
      </c>
      <c r="J52" s="7" cm="1">
        <f t="array" ref="J52">CommonWorkdays($D52,$E52,J$10,EOMONTH(J$10,0)+1,holidays)</f>
        <v>0</v>
      </c>
      <c r="K52" s="7" cm="1">
        <f t="array" ref="K52">CommonWorkdays($D52,$E52,K$10,EOMONTH(K$10,0)+1,holidays)</f>
        <v>0</v>
      </c>
      <c r="L52" s="7" cm="1">
        <f t="array" ref="L52">CommonWorkdays($D52,$E52,L$10,EOMONTH(L$10,0)+1,holidays)</f>
        <v>0</v>
      </c>
      <c r="M52" s="7" cm="1">
        <f t="array" ref="M52">CommonWorkdays($D52,$E52,M$10,EOMONTH(M$10,0)+1,holidays)</f>
        <v>0</v>
      </c>
      <c r="N52" s="7" cm="1">
        <f t="array" ref="N52">CommonWorkdays($D52,$E52,N$10,EOMONTH(N$10,0)+1,holidays)</f>
        <v>0</v>
      </c>
      <c r="O52" s="7" cm="1">
        <f t="array" ref="O52">CommonWorkdays($D52,$E52,O$10,EOMONTH(O$10,0)+1,holidays)</f>
        <v>0</v>
      </c>
      <c r="P52" s="7" cm="1">
        <f t="array" ref="P52">CommonWorkdays($D52,$E52,P$10,EOMONTH(P$10,0)+1,holidays)</f>
        <v>0</v>
      </c>
      <c r="Q52" s="7" cm="1">
        <f t="array" ref="Q52">CommonWorkdays($D52,$E52,Q$10,EOMONTH(Q$10,0)+1,holidays)</f>
        <v>0</v>
      </c>
      <c r="R52" s="7" cm="1">
        <f t="array" ref="R52">CommonWorkdays($D52,$E52,R$10,EOMONTH(R$10,0)+1,holidays)</f>
        <v>0</v>
      </c>
      <c r="S52" s="7" cm="1">
        <f t="array" ref="S52">CommonWorkdays($D52,$E52,S$10,EOMONTH(S$10,0)+1,holidays)</f>
        <v>0</v>
      </c>
      <c r="T52" s="7" cm="1">
        <f t="array" ref="T52">CommonWorkdays($D52,$E52,T$10,EOMONTH(T$10,0)+1,holidays)</f>
        <v>0</v>
      </c>
      <c r="U52" s="7" cm="1">
        <f t="array" ref="U52">CommonWorkdays($D52,$E52,U$10,EOMONTH(U$10,0)+1,holidays)</f>
        <v>0</v>
      </c>
      <c r="V52" s="7" cm="1">
        <f t="array" ref="V52">CommonWorkdays($D52,$E52,V$10,EOMONTH(V$10,0)+1,holidays)</f>
        <v>0</v>
      </c>
      <c r="W52" s="7" cm="1">
        <f t="array" ref="W52">CommonWorkdays($D52,$E52,W$10,EOMONTH(W$10,0)+1,holidays)</f>
        <v>0</v>
      </c>
      <c r="X52" s="7" cm="1">
        <f t="array" ref="X52">CommonWorkdays($D52,$E52,X$10,EOMONTH(X$10,0)+1,holidays)</f>
        <v>0</v>
      </c>
      <c r="Y52" s="7" cm="1">
        <f t="array" ref="Y52">CommonWorkdays($D52,$E52,Y$10,EOMONTH(Y$10,0)+1,holidays)</f>
        <v>0</v>
      </c>
      <c r="Z52" s="7" cm="1">
        <f t="array" ref="Z52">CommonWorkdays($D52,$E52,Z$10,EOMONTH(Z$10,0)+1,holidays)</f>
        <v>0</v>
      </c>
      <c r="AA52" s="7" cm="1">
        <f t="array" ref="AA52">CommonWorkdays($D52,$E52,AA$10,EOMONTH(AA$10,0)+1,holidays)</f>
        <v>0</v>
      </c>
      <c r="AB52" s="7" cm="1">
        <f t="array" ref="AB52">CommonWorkdays($D52,$E52,AB$10,EOMONTH(AB$10,0)+1,holidays)</f>
        <v>0</v>
      </c>
      <c r="AC52" s="106" cm="1">
        <f t="array" ref="AC52">CommonWorkdays($D52,$E52,AC$10,EOMONTH(AC$10,0)+1,holidays)</f>
        <v>0</v>
      </c>
    </row>
    <row r="53" spans="2:29" ht="26" hidden="1" outlineLevel="1" x14ac:dyDescent="0.3">
      <c r="B53" s="2">
        <f t="shared" ref="B53:B56" si="8">B52+1</f>
        <v>42</v>
      </c>
      <c r="C53" s="35" t="s">
        <v>107</v>
      </c>
      <c r="D53" s="6">
        <v>45796</v>
      </c>
      <c r="E53" s="6">
        <v>45801</v>
      </c>
      <c r="F53" s="129">
        <f>NETWORKDAYS(D53,E53-1,holidays)</f>
        <v>5</v>
      </c>
      <c r="G53" s="7" cm="1">
        <f t="array" ref="G53">CommonWorkdays($D53,$E53,G$10,EOMONTH(G$10,0)+1,holidays)</f>
        <v>0</v>
      </c>
      <c r="H53" s="7" cm="1">
        <f t="array" ref="H53">CommonWorkdays($D53,$E53,H$10,EOMONTH(H$10,0)+1,holidays)</f>
        <v>0</v>
      </c>
      <c r="I53" s="7" cm="1">
        <f t="array" ref="I53">CommonWorkdays($D53,$E53,I$10,EOMONTH(I$10,0)+1,holidays)</f>
        <v>0</v>
      </c>
      <c r="J53" s="7" cm="1">
        <f t="array" ref="J53">CommonWorkdays($D53,$E53,J$10,EOMONTH(J$10,0)+1,holidays)</f>
        <v>0</v>
      </c>
      <c r="K53" s="7" cm="1">
        <f t="array" ref="K53">CommonWorkdays($D53,$E53,K$10,EOMONTH(K$10,0)+1,holidays)</f>
        <v>5</v>
      </c>
      <c r="L53" s="7" cm="1">
        <f t="array" ref="L53">CommonWorkdays($D53,$E53,L$10,EOMONTH(L$10,0)+1,holidays)</f>
        <v>0</v>
      </c>
      <c r="M53" s="7" cm="1">
        <f t="array" ref="M53">CommonWorkdays($D53,$E53,M$10,EOMONTH(M$10,0)+1,holidays)</f>
        <v>0</v>
      </c>
      <c r="N53" s="7" cm="1">
        <f t="array" ref="N53">CommonWorkdays($D53,$E53,N$10,EOMONTH(N$10,0)+1,holidays)</f>
        <v>0</v>
      </c>
      <c r="O53" s="7" cm="1">
        <f t="array" ref="O53">CommonWorkdays($D53,$E53,O$10,EOMONTH(O$10,0)+1,holidays)</f>
        <v>0</v>
      </c>
      <c r="P53" s="7" cm="1">
        <f t="array" ref="P53">CommonWorkdays($D53,$E53,P$10,EOMONTH(P$10,0)+1,holidays)</f>
        <v>0</v>
      </c>
      <c r="Q53" s="7" cm="1">
        <f t="array" ref="Q53">CommonWorkdays($D53,$E53,Q$10,EOMONTH(Q$10,0)+1,holidays)</f>
        <v>0</v>
      </c>
      <c r="R53" s="7" cm="1">
        <f t="array" ref="R53">CommonWorkdays($D53,$E53,R$10,EOMONTH(R$10,0)+1,holidays)</f>
        <v>0</v>
      </c>
      <c r="S53" s="7" cm="1">
        <f t="array" ref="S53">CommonWorkdays($D53,$E53,S$10,EOMONTH(S$10,0)+1,holidays)</f>
        <v>0</v>
      </c>
      <c r="T53" s="7" cm="1">
        <f t="array" ref="T53">CommonWorkdays($D53,$E53,T$10,EOMONTH(T$10,0)+1,holidays)</f>
        <v>0</v>
      </c>
      <c r="U53" s="7" cm="1">
        <f t="array" ref="U53">CommonWorkdays($D53,$E53,U$10,EOMONTH(U$10,0)+1,holidays)</f>
        <v>0</v>
      </c>
      <c r="V53" s="7" cm="1">
        <f t="array" ref="V53">CommonWorkdays($D53,$E53,V$10,EOMONTH(V$10,0)+1,holidays)</f>
        <v>0</v>
      </c>
      <c r="W53" s="7" cm="1">
        <f t="array" ref="W53">CommonWorkdays($D53,$E53,W$10,EOMONTH(W$10,0)+1,holidays)</f>
        <v>0</v>
      </c>
      <c r="X53" s="7" cm="1">
        <f t="array" ref="X53">CommonWorkdays($D53,$E53,X$10,EOMONTH(X$10,0)+1,holidays)</f>
        <v>0</v>
      </c>
      <c r="Y53" s="7" cm="1">
        <f t="array" ref="Y53">CommonWorkdays($D53,$E53,Y$10,EOMONTH(Y$10,0)+1,holidays)</f>
        <v>0</v>
      </c>
      <c r="Z53" s="7" cm="1">
        <f t="array" ref="Z53">CommonWorkdays($D53,$E53,Z$10,EOMONTH(Z$10,0)+1,holidays)</f>
        <v>0</v>
      </c>
      <c r="AA53" s="7" cm="1">
        <f t="array" ref="AA53">CommonWorkdays($D53,$E53,AA$10,EOMONTH(AA$10,0)+1,holidays)</f>
        <v>0</v>
      </c>
      <c r="AB53" s="7" cm="1">
        <f t="array" ref="AB53">CommonWorkdays($D53,$E53,AB$10,EOMONTH(AB$10,0)+1,holidays)</f>
        <v>0</v>
      </c>
      <c r="AC53" s="106" cm="1">
        <f t="array" ref="AC53">CommonWorkdays($D53,$E53,AC$10,EOMONTH(AC$10,0)+1,holidays)</f>
        <v>0</v>
      </c>
    </row>
    <row r="54" spans="2:29" hidden="1" outlineLevel="1" x14ac:dyDescent="0.3">
      <c r="B54" s="2">
        <f t="shared" si="8"/>
        <v>43</v>
      </c>
      <c r="C54" s="35" t="s">
        <v>128</v>
      </c>
      <c r="D54" s="6">
        <v>45817</v>
      </c>
      <c r="E54" s="6">
        <v>45819</v>
      </c>
      <c r="F54" s="129">
        <f>NETWORKDAYS(D54,E54-1,holidays)</f>
        <v>2</v>
      </c>
      <c r="G54" s="7" cm="1">
        <f t="array" ref="G54">CommonWorkdays($D54,$E54,G$10,EOMONTH(G$10,0)+1,holidays)</f>
        <v>0</v>
      </c>
      <c r="H54" s="7" cm="1">
        <f t="array" ref="H54">CommonWorkdays($D54,$E54,H$10,EOMONTH(H$10,0)+1,holidays)</f>
        <v>0</v>
      </c>
      <c r="I54" s="7" cm="1">
        <f t="array" ref="I54">CommonWorkdays($D54,$E54,I$10,EOMONTH(I$10,0)+1,holidays)</f>
        <v>0</v>
      </c>
      <c r="J54" s="7" cm="1">
        <f t="array" ref="J54">CommonWorkdays($D54,$E54,J$10,EOMONTH(J$10,0)+1,holidays)</f>
        <v>0</v>
      </c>
      <c r="K54" s="7" cm="1">
        <f t="array" ref="K54">CommonWorkdays($D54,$E54,K$10,EOMONTH(K$10,0)+1,holidays)</f>
        <v>0</v>
      </c>
      <c r="L54" s="7" cm="1">
        <f t="array" ref="L54">CommonWorkdays($D54,$E54,L$10,EOMONTH(L$10,0)+1,holidays)</f>
        <v>2</v>
      </c>
      <c r="M54" s="7" cm="1">
        <f t="array" ref="M54">CommonWorkdays($D54,$E54,M$10,EOMONTH(M$10,0)+1,holidays)</f>
        <v>0</v>
      </c>
      <c r="N54" s="7" cm="1">
        <f t="array" ref="N54">CommonWorkdays($D54,$E54,N$10,EOMONTH(N$10,0)+1,holidays)</f>
        <v>0</v>
      </c>
      <c r="O54" s="7" cm="1">
        <f t="array" ref="O54">CommonWorkdays($D54,$E54,O$10,EOMONTH(O$10,0)+1,holidays)</f>
        <v>0</v>
      </c>
      <c r="P54" s="7" cm="1">
        <f t="array" ref="P54">CommonWorkdays($D54,$E54,P$10,EOMONTH(P$10,0)+1,holidays)</f>
        <v>0</v>
      </c>
      <c r="Q54" s="7" cm="1">
        <f t="array" ref="Q54">CommonWorkdays($D54,$E54,Q$10,EOMONTH(Q$10,0)+1,holidays)</f>
        <v>0</v>
      </c>
      <c r="R54" s="7" cm="1">
        <f t="array" ref="R54">CommonWorkdays($D54,$E54,R$10,EOMONTH(R$10,0)+1,holidays)</f>
        <v>0</v>
      </c>
      <c r="S54" s="7" cm="1">
        <f t="array" ref="S54">CommonWorkdays($D54,$E54,S$10,EOMONTH(S$10,0)+1,holidays)</f>
        <v>0</v>
      </c>
      <c r="T54" s="7" cm="1">
        <f t="array" ref="T54">CommonWorkdays($D54,$E54,T$10,EOMONTH(T$10,0)+1,holidays)</f>
        <v>0</v>
      </c>
      <c r="U54" s="7" cm="1">
        <f t="array" ref="U54">CommonWorkdays($D54,$E54,U$10,EOMONTH(U$10,0)+1,holidays)</f>
        <v>0</v>
      </c>
      <c r="V54" s="7" cm="1">
        <f t="array" ref="V54">CommonWorkdays($D54,$E54,V$10,EOMONTH(V$10,0)+1,holidays)</f>
        <v>0</v>
      </c>
      <c r="W54" s="7" cm="1">
        <f t="array" ref="W54">CommonWorkdays($D54,$E54,W$10,EOMONTH(W$10,0)+1,holidays)</f>
        <v>0</v>
      </c>
      <c r="X54" s="7" cm="1">
        <f t="array" ref="X54">CommonWorkdays($D54,$E54,X$10,EOMONTH(X$10,0)+1,holidays)</f>
        <v>0</v>
      </c>
      <c r="Y54" s="7" cm="1">
        <f t="array" ref="Y54">CommonWorkdays($D54,$E54,Y$10,EOMONTH(Y$10,0)+1,holidays)</f>
        <v>0</v>
      </c>
      <c r="Z54" s="7" cm="1">
        <f t="array" ref="Z54">CommonWorkdays($D54,$E54,Z$10,EOMONTH(Z$10,0)+1,holidays)</f>
        <v>0</v>
      </c>
      <c r="AA54" s="7" cm="1">
        <f t="array" ref="AA54">CommonWorkdays($D54,$E54,AA$10,EOMONTH(AA$10,0)+1,holidays)</f>
        <v>0</v>
      </c>
      <c r="AB54" s="7" cm="1">
        <f t="array" ref="AB54">CommonWorkdays($D54,$E54,AB$10,EOMONTH(AB$10,0)+1,holidays)</f>
        <v>0</v>
      </c>
      <c r="AC54" s="106" cm="1">
        <f t="array" ref="AC54">CommonWorkdays($D54,$E54,AC$10,EOMONTH(AC$10,0)+1,holidays)</f>
        <v>0</v>
      </c>
    </row>
    <row r="55" spans="2:29" hidden="1" outlineLevel="1" x14ac:dyDescent="0.3">
      <c r="B55" s="2">
        <f t="shared" si="8"/>
        <v>44</v>
      </c>
      <c r="C55" s="35" t="s">
        <v>108</v>
      </c>
      <c r="D55" s="6">
        <v>45819</v>
      </c>
      <c r="E55" s="6">
        <v>45822</v>
      </c>
      <c r="F55" s="129">
        <f>NETWORKDAYS(D55,E55-1,holidays)</f>
        <v>3</v>
      </c>
      <c r="G55" s="7" cm="1">
        <f t="array" ref="G55">CommonWorkdays($D55,$E55,G$10,EOMONTH(G$10,0)+1,holidays)</f>
        <v>0</v>
      </c>
      <c r="H55" s="7" cm="1">
        <f t="array" ref="H55">CommonWorkdays($D55,$E55,H$10,EOMONTH(H$10,0)+1,holidays)</f>
        <v>0</v>
      </c>
      <c r="I55" s="7" cm="1">
        <f t="array" ref="I55">CommonWorkdays($D55,$E55,I$10,EOMONTH(I$10,0)+1,holidays)</f>
        <v>0</v>
      </c>
      <c r="J55" s="7" cm="1">
        <f t="array" ref="J55">CommonWorkdays($D55,$E55,J$10,EOMONTH(J$10,0)+1,holidays)</f>
        <v>0</v>
      </c>
      <c r="K55" s="7" cm="1">
        <f t="array" ref="K55">CommonWorkdays($D55,$E55,K$10,EOMONTH(K$10,0)+1,holidays)</f>
        <v>0</v>
      </c>
      <c r="L55" s="7" cm="1">
        <f t="array" ref="L55">CommonWorkdays($D55,$E55,L$10,EOMONTH(L$10,0)+1,holidays)</f>
        <v>3</v>
      </c>
      <c r="M55" s="7" cm="1">
        <f t="array" ref="M55">CommonWorkdays($D55,$E55,M$10,EOMONTH(M$10,0)+1,holidays)</f>
        <v>0</v>
      </c>
      <c r="N55" s="7" cm="1">
        <f t="array" ref="N55">CommonWorkdays($D55,$E55,N$10,EOMONTH(N$10,0)+1,holidays)</f>
        <v>0</v>
      </c>
      <c r="O55" s="7" cm="1">
        <f t="array" ref="O55">CommonWorkdays($D55,$E55,O$10,EOMONTH(O$10,0)+1,holidays)</f>
        <v>0</v>
      </c>
      <c r="P55" s="7" cm="1">
        <f t="array" ref="P55">CommonWorkdays($D55,$E55,P$10,EOMONTH(P$10,0)+1,holidays)</f>
        <v>0</v>
      </c>
      <c r="Q55" s="7" cm="1">
        <f t="array" ref="Q55">CommonWorkdays($D55,$E55,Q$10,EOMONTH(Q$10,0)+1,holidays)</f>
        <v>0</v>
      </c>
      <c r="R55" s="7" cm="1">
        <f t="array" ref="R55">CommonWorkdays($D55,$E55,R$10,EOMONTH(R$10,0)+1,holidays)</f>
        <v>0</v>
      </c>
      <c r="S55" s="7" cm="1">
        <f t="array" ref="S55">CommonWorkdays($D55,$E55,S$10,EOMONTH(S$10,0)+1,holidays)</f>
        <v>0</v>
      </c>
      <c r="T55" s="7" cm="1">
        <f t="array" ref="T55">CommonWorkdays($D55,$E55,T$10,EOMONTH(T$10,0)+1,holidays)</f>
        <v>0</v>
      </c>
      <c r="U55" s="7" cm="1">
        <f t="array" ref="U55">CommonWorkdays($D55,$E55,U$10,EOMONTH(U$10,0)+1,holidays)</f>
        <v>0</v>
      </c>
      <c r="V55" s="7" cm="1">
        <f t="array" ref="V55">CommonWorkdays($D55,$E55,V$10,EOMONTH(V$10,0)+1,holidays)</f>
        <v>0</v>
      </c>
      <c r="W55" s="7" cm="1">
        <f t="array" ref="W55">CommonWorkdays($D55,$E55,W$10,EOMONTH(W$10,0)+1,holidays)</f>
        <v>0</v>
      </c>
      <c r="X55" s="7" cm="1">
        <f t="array" ref="X55">CommonWorkdays($D55,$E55,X$10,EOMONTH(X$10,0)+1,holidays)</f>
        <v>0</v>
      </c>
      <c r="Y55" s="7" cm="1">
        <f t="array" ref="Y55">CommonWorkdays($D55,$E55,Y$10,EOMONTH(Y$10,0)+1,holidays)</f>
        <v>0</v>
      </c>
      <c r="Z55" s="7" cm="1">
        <f t="array" ref="Z55">CommonWorkdays($D55,$E55,Z$10,EOMONTH(Z$10,0)+1,holidays)</f>
        <v>0</v>
      </c>
      <c r="AA55" s="7" cm="1">
        <f t="array" ref="AA55">CommonWorkdays($D55,$E55,AA$10,EOMONTH(AA$10,0)+1,holidays)</f>
        <v>0</v>
      </c>
      <c r="AB55" s="7" cm="1">
        <f t="array" ref="AB55">CommonWorkdays($D55,$E55,AB$10,EOMONTH(AB$10,0)+1,holidays)</f>
        <v>0</v>
      </c>
      <c r="AC55" s="106" cm="1">
        <f t="array" ref="AC55">CommonWorkdays($D55,$E55,AC$10,EOMONTH(AC$10,0)+1,holidays)</f>
        <v>0</v>
      </c>
    </row>
    <row r="56" spans="2:29" hidden="1" outlineLevel="1" x14ac:dyDescent="0.3">
      <c r="B56" s="21">
        <f t="shared" si="8"/>
        <v>45</v>
      </c>
      <c r="C56" s="38" t="s">
        <v>109</v>
      </c>
      <c r="D56" s="24">
        <v>45824</v>
      </c>
      <c r="E56" s="24">
        <v>45829</v>
      </c>
      <c r="F56" s="133">
        <f>NETWORKDAYS(D56,E56-1,holidays)</f>
        <v>5</v>
      </c>
      <c r="G56" s="25" cm="1">
        <f t="array" ref="G56">CommonWorkdays($D56,$E56,G$10,EOMONTH(G$10,0)+1,holidays)</f>
        <v>0</v>
      </c>
      <c r="H56" s="25" cm="1">
        <f t="array" ref="H56">CommonWorkdays($D56,$E56,H$10,EOMONTH(H$10,0)+1,holidays)</f>
        <v>0</v>
      </c>
      <c r="I56" s="25" cm="1">
        <f t="array" ref="I56">CommonWorkdays($D56,$E56,I$10,EOMONTH(I$10,0)+1,holidays)</f>
        <v>0</v>
      </c>
      <c r="J56" s="25" cm="1">
        <f t="array" ref="J56">CommonWorkdays($D56,$E56,J$10,EOMONTH(J$10,0)+1,holidays)</f>
        <v>0</v>
      </c>
      <c r="K56" s="25" cm="1">
        <f t="array" ref="K56">CommonWorkdays($D56,$E56,K$10,EOMONTH(K$10,0)+1,holidays)</f>
        <v>0</v>
      </c>
      <c r="L56" s="25" cm="1">
        <f t="array" ref="L56">CommonWorkdays($D56,$E56,L$10,EOMONTH(L$10,0)+1,holidays)</f>
        <v>5</v>
      </c>
      <c r="M56" s="25" cm="1">
        <f t="array" ref="M56">CommonWorkdays($D56,$E56,M$10,EOMONTH(M$10,0)+1,holidays)</f>
        <v>0</v>
      </c>
      <c r="N56" s="25" cm="1">
        <f t="array" ref="N56">CommonWorkdays($D56,$E56,N$10,EOMONTH(N$10,0)+1,holidays)</f>
        <v>0</v>
      </c>
      <c r="O56" s="25" cm="1">
        <f t="array" ref="O56">CommonWorkdays($D56,$E56,O$10,EOMONTH(O$10,0)+1,holidays)</f>
        <v>0</v>
      </c>
      <c r="P56" s="25" cm="1">
        <f t="array" ref="P56">CommonWorkdays($D56,$E56,P$10,EOMONTH(P$10,0)+1,holidays)</f>
        <v>0</v>
      </c>
      <c r="Q56" s="25" cm="1">
        <f t="array" ref="Q56">CommonWorkdays($D56,$E56,Q$10,EOMONTH(Q$10,0)+1,holidays)</f>
        <v>0</v>
      </c>
      <c r="R56" s="25" cm="1">
        <f t="array" ref="R56">CommonWorkdays($D56,$E56,R$10,EOMONTH(R$10,0)+1,holidays)</f>
        <v>0</v>
      </c>
      <c r="S56" s="25" cm="1">
        <f t="array" ref="S56">CommonWorkdays($D56,$E56,S$10,EOMONTH(S$10,0)+1,holidays)</f>
        <v>0</v>
      </c>
      <c r="T56" s="25" cm="1">
        <f t="array" ref="T56">CommonWorkdays($D56,$E56,T$10,EOMONTH(T$10,0)+1,holidays)</f>
        <v>0</v>
      </c>
      <c r="U56" s="25" cm="1">
        <f t="array" ref="U56">CommonWorkdays($D56,$E56,U$10,EOMONTH(U$10,0)+1,holidays)</f>
        <v>0</v>
      </c>
      <c r="V56" s="25" cm="1">
        <f t="array" ref="V56">CommonWorkdays($D56,$E56,V$10,EOMONTH(V$10,0)+1,holidays)</f>
        <v>0</v>
      </c>
      <c r="W56" s="25" cm="1">
        <f t="array" ref="W56">CommonWorkdays($D56,$E56,W$10,EOMONTH(W$10,0)+1,holidays)</f>
        <v>0</v>
      </c>
      <c r="X56" s="25" cm="1">
        <f t="array" ref="X56">CommonWorkdays($D56,$E56,X$10,EOMONTH(X$10,0)+1,holidays)</f>
        <v>0</v>
      </c>
      <c r="Y56" s="25" cm="1">
        <f t="array" ref="Y56">CommonWorkdays($D56,$E56,Y$10,EOMONTH(Y$10,0)+1,holidays)</f>
        <v>0</v>
      </c>
      <c r="Z56" s="25" cm="1">
        <f t="array" ref="Z56">CommonWorkdays($D56,$E56,Z$10,EOMONTH(Z$10,0)+1,holidays)</f>
        <v>0</v>
      </c>
      <c r="AA56" s="25" cm="1">
        <f t="array" ref="AA56">CommonWorkdays($D56,$E56,AA$10,EOMONTH(AA$10,0)+1,holidays)</f>
        <v>0</v>
      </c>
      <c r="AB56" s="25" cm="1">
        <f t="array" ref="AB56">CommonWorkdays($D56,$E56,AB$10,EOMONTH(AB$10,0)+1,holidays)</f>
        <v>0</v>
      </c>
      <c r="AC56" s="107" cm="1">
        <f t="array" ref="AC56">CommonWorkdays($D56,$E56,AC$10,EOMONTH(AC$10,0)+1,holidays)</f>
        <v>0</v>
      </c>
    </row>
    <row r="57" spans="2:29" collapsed="1" x14ac:dyDescent="0.3">
      <c r="B57" s="65"/>
      <c r="C57" s="65"/>
      <c r="D57" s="65"/>
      <c r="E57" s="65"/>
      <c r="F57" s="65"/>
      <c r="G57" s="159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</row>
    <row r="58" spans="2:29" ht="15" customHeight="1" x14ac:dyDescent="0.3">
      <c r="B58" s="142" t="s">
        <v>145</v>
      </c>
      <c r="C58" s="143" t="s">
        <v>145</v>
      </c>
      <c r="D58" s="147" t="s">
        <v>146</v>
      </c>
      <c r="E58" s="148"/>
      <c r="F58" s="144" t="s">
        <v>143</v>
      </c>
      <c r="G58" s="145">
        <f>DATE(YEAR($C$6),MONTH($C$6),1)</f>
        <v>45658</v>
      </c>
      <c r="H58" s="145">
        <f>EOMONTH(G58,0)+1</f>
        <v>45689</v>
      </c>
      <c r="I58" s="145">
        <f t="shared" ref="I58:AC58" si="9">EOMONTH(H58,0)+1</f>
        <v>45717</v>
      </c>
      <c r="J58" s="145">
        <f t="shared" si="9"/>
        <v>45748</v>
      </c>
      <c r="K58" s="145">
        <f t="shared" si="9"/>
        <v>45778</v>
      </c>
      <c r="L58" s="145">
        <f t="shared" si="9"/>
        <v>45809</v>
      </c>
      <c r="M58" s="145">
        <f t="shared" si="9"/>
        <v>45839</v>
      </c>
      <c r="N58" s="145">
        <f t="shared" si="9"/>
        <v>45870</v>
      </c>
      <c r="O58" s="145">
        <f t="shared" si="9"/>
        <v>45901</v>
      </c>
      <c r="P58" s="145">
        <f t="shared" si="9"/>
        <v>45931</v>
      </c>
      <c r="Q58" s="145">
        <f t="shared" si="9"/>
        <v>45962</v>
      </c>
      <c r="R58" s="145">
        <f t="shared" si="9"/>
        <v>45992</v>
      </c>
      <c r="S58" s="145">
        <f t="shared" si="9"/>
        <v>46023</v>
      </c>
      <c r="T58" s="145">
        <f t="shared" si="9"/>
        <v>46054</v>
      </c>
      <c r="U58" s="145">
        <f t="shared" si="9"/>
        <v>46082</v>
      </c>
      <c r="V58" s="145">
        <f t="shared" si="9"/>
        <v>46113</v>
      </c>
      <c r="W58" s="145">
        <f t="shared" si="9"/>
        <v>46143</v>
      </c>
      <c r="X58" s="145">
        <f t="shared" si="9"/>
        <v>46174</v>
      </c>
      <c r="Y58" s="145">
        <f t="shared" si="9"/>
        <v>46204</v>
      </c>
      <c r="Z58" s="145">
        <f t="shared" si="9"/>
        <v>46235</v>
      </c>
      <c r="AA58" s="145">
        <f t="shared" si="9"/>
        <v>46266</v>
      </c>
      <c r="AB58" s="145">
        <f t="shared" si="9"/>
        <v>46296</v>
      </c>
      <c r="AC58" s="146">
        <f t="shared" si="9"/>
        <v>46327</v>
      </c>
    </row>
    <row r="59" spans="2:29" ht="14" customHeight="1" x14ac:dyDescent="0.3">
      <c r="B59" s="139">
        <v>1</v>
      </c>
      <c r="C59" s="140" t="s">
        <v>147</v>
      </c>
      <c r="D59" s="149" t="s">
        <v>157</v>
      </c>
      <c r="E59" s="150"/>
      <c r="F59" s="141">
        <f>SUM(G59:AC59)</f>
        <v>69</v>
      </c>
      <c r="G59" s="155">
        <f>SUMPRODUCT(_xlfn.CHOOSECOLS(contribution,$B59),_xlfn.CHOOSECOLS(workingdays,COUNTA($G58:G58)))</f>
        <v>1.5</v>
      </c>
      <c r="H59" s="155">
        <f>SUMPRODUCT(_xlfn.CHOOSECOLS(contribution,$B59),_xlfn.CHOOSECOLS(workingdays,COUNTA($G58:H58)))</f>
        <v>3</v>
      </c>
      <c r="I59" s="155">
        <f>SUMPRODUCT(_xlfn.CHOOSECOLS(contribution,$B59),_xlfn.CHOOSECOLS(workingdays,COUNTA($G58:I58)))</f>
        <v>15.25</v>
      </c>
      <c r="J59" s="155">
        <f>SUMPRODUCT(_xlfn.CHOOSECOLS(contribution,$B59),_xlfn.CHOOSECOLS(workingdays,COUNTA($G58:J58)))</f>
        <v>6</v>
      </c>
      <c r="K59" s="155">
        <f>SUMPRODUCT(_xlfn.CHOOSECOLS(contribution,$B59),_xlfn.CHOOSECOLS(workingdays,COUNTA($G58:K58)))</f>
        <v>13.375</v>
      </c>
      <c r="L59" s="155">
        <f>SUMPRODUCT(_xlfn.CHOOSECOLS(contribution,$B59),_xlfn.CHOOSECOLS(workingdays,COUNTA($G58:L58)))</f>
        <v>14.625</v>
      </c>
      <c r="M59" s="155">
        <f>SUMPRODUCT(_xlfn.CHOOSECOLS(contribution,$B59),_xlfn.CHOOSECOLS(workingdays,COUNTA($G58:M58)))</f>
        <v>4.75</v>
      </c>
      <c r="N59" s="155">
        <f>SUMPRODUCT(_xlfn.CHOOSECOLS(contribution,$B59),_xlfn.CHOOSECOLS(workingdays,COUNTA($G58:N58)))</f>
        <v>1.5</v>
      </c>
      <c r="O59" s="155">
        <f>SUMPRODUCT(_xlfn.CHOOSECOLS(contribution,$B59),_xlfn.CHOOSECOLS(workingdays,COUNTA($G58:O58)))</f>
        <v>1.5</v>
      </c>
      <c r="P59" s="155">
        <f>SUMPRODUCT(_xlfn.CHOOSECOLS(contribution,$B59),_xlfn.CHOOSECOLS(workingdays,COUNTA($G58:P58)))</f>
        <v>4.5</v>
      </c>
      <c r="Q59" s="155">
        <f>SUMPRODUCT(_xlfn.CHOOSECOLS(contribution,$B59),_xlfn.CHOOSECOLS(workingdays,COUNTA($G58:Q58)))</f>
        <v>1.5</v>
      </c>
      <c r="R59" s="155">
        <f>SUMPRODUCT(_xlfn.CHOOSECOLS(contribution,$B59),_xlfn.CHOOSECOLS(workingdays,COUNTA($G58:R58)))</f>
        <v>1.5</v>
      </c>
      <c r="S59" s="155">
        <f>SUMPRODUCT(_xlfn.CHOOSECOLS(contribution,$B59),_xlfn.CHOOSECOLS(workingdays,COUNTA($G58:S58)))</f>
        <v>0</v>
      </c>
      <c r="T59" s="155">
        <f>SUMPRODUCT(_xlfn.CHOOSECOLS(contribution,$B59),_xlfn.CHOOSECOLS(workingdays,COUNTA($G58:T58)))</f>
        <v>0</v>
      </c>
      <c r="U59" s="155">
        <f>SUMPRODUCT(_xlfn.CHOOSECOLS(contribution,$B59),_xlfn.CHOOSECOLS(workingdays,COUNTA($G58:U58)))</f>
        <v>0</v>
      </c>
      <c r="V59" s="155">
        <f>SUMPRODUCT(_xlfn.CHOOSECOLS(contribution,$B59),_xlfn.CHOOSECOLS(workingdays,COUNTA($G58:V58)))</f>
        <v>0</v>
      </c>
      <c r="W59" s="155">
        <f>SUMPRODUCT(_xlfn.CHOOSECOLS(contribution,$B59),_xlfn.CHOOSECOLS(workingdays,COUNTA($G58:W58)))</f>
        <v>0</v>
      </c>
      <c r="X59" s="155">
        <f>SUMPRODUCT(_xlfn.CHOOSECOLS(contribution,$B59),_xlfn.CHOOSECOLS(workingdays,COUNTA($G58:X58)))</f>
        <v>0</v>
      </c>
      <c r="Y59" s="155">
        <f>SUMPRODUCT(_xlfn.CHOOSECOLS(contribution,$B59),_xlfn.CHOOSECOLS(workingdays,COUNTA($G58:Y58)))</f>
        <v>0</v>
      </c>
      <c r="Z59" s="155">
        <f>SUMPRODUCT(_xlfn.CHOOSECOLS(contribution,$B59),_xlfn.CHOOSECOLS(workingdays,COUNTA($G58:Z58)))</f>
        <v>0</v>
      </c>
      <c r="AA59" s="155">
        <f>SUMPRODUCT(_xlfn.CHOOSECOLS(contribution,$B59),_xlfn.CHOOSECOLS(workingdays,COUNTA($G58:AA58)))</f>
        <v>0</v>
      </c>
      <c r="AB59" s="155">
        <f>SUMPRODUCT(_xlfn.CHOOSECOLS(contribution,$B59),_xlfn.CHOOSECOLS(workingdays,COUNTA($G58:AB58)))</f>
        <v>0</v>
      </c>
      <c r="AC59" s="156">
        <f>SUMPRODUCT(_xlfn.CHOOSECOLS(contribution,$B59),_xlfn.CHOOSECOLS(workingdays,COUNTA($G58:AC58)))</f>
        <v>0</v>
      </c>
    </row>
    <row r="60" spans="2:29" x14ac:dyDescent="0.3">
      <c r="B60" s="2">
        <v>2</v>
      </c>
      <c r="C60" s="35"/>
      <c r="D60" s="151"/>
      <c r="E60" s="152"/>
      <c r="F60" s="129">
        <f t="shared" ref="F60:F68" si="10">SUM(G60:AC60)</f>
        <v>0</v>
      </c>
      <c r="G60" s="155">
        <f>SUMPRODUCT(_xlfn.CHOOSECOLS(contribution,$B60),_xlfn.CHOOSECOLS(workingdays,COUNTA($G59:G59)))</f>
        <v>0</v>
      </c>
      <c r="H60" s="155">
        <f>SUMPRODUCT(_xlfn.CHOOSECOLS(contribution,$B60),_xlfn.CHOOSECOLS(workingdays,COUNTA($G59:H59)))</f>
        <v>0</v>
      </c>
      <c r="I60" s="155">
        <f>SUMPRODUCT(_xlfn.CHOOSECOLS(contribution,$B60),_xlfn.CHOOSECOLS(workingdays,COUNTA($G59:I59)))</f>
        <v>0</v>
      </c>
      <c r="J60" s="155">
        <f>SUMPRODUCT(_xlfn.CHOOSECOLS(contribution,$B60),_xlfn.CHOOSECOLS(workingdays,COUNTA($G59:J59)))</f>
        <v>0</v>
      </c>
      <c r="K60" s="155">
        <f>SUMPRODUCT(_xlfn.CHOOSECOLS(contribution,$B60),_xlfn.CHOOSECOLS(workingdays,COUNTA($G59:K59)))</f>
        <v>0</v>
      </c>
      <c r="L60" s="155">
        <f>SUMPRODUCT(_xlfn.CHOOSECOLS(contribution,$B60),_xlfn.CHOOSECOLS(workingdays,COUNTA($G59:L59)))</f>
        <v>0</v>
      </c>
      <c r="M60" s="155">
        <f>SUMPRODUCT(_xlfn.CHOOSECOLS(contribution,$B60),_xlfn.CHOOSECOLS(workingdays,COUNTA($G59:M59)))</f>
        <v>0</v>
      </c>
      <c r="N60" s="155">
        <f>SUMPRODUCT(_xlfn.CHOOSECOLS(contribution,$B60),_xlfn.CHOOSECOLS(workingdays,COUNTA($G59:N59)))</f>
        <v>0</v>
      </c>
      <c r="O60" s="155">
        <f>SUMPRODUCT(_xlfn.CHOOSECOLS(contribution,$B60),_xlfn.CHOOSECOLS(workingdays,COUNTA($G59:O59)))</f>
        <v>0</v>
      </c>
      <c r="P60" s="155">
        <f>SUMPRODUCT(_xlfn.CHOOSECOLS(contribution,$B60),_xlfn.CHOOSECOLS(workingdays,COUNTA($G59:P59)))</f>
        <v>0</v>
      </c>
      <c r="Q60" s="155">
        <f>SUMPRODUCT(_xlfn.CHOOSECOLS(contribution,$B60),_xlfn.CHOOSECOLS(workingdays,COUNTA($G59:Q59)))</f>
        <v>0</v>
      </c>
      <c r="R60" s="155">
        <f>SUMPRODUCT(_xlfn.CHOOSECOLS(contribution,$B60),_xlfn.CHOOSECOLS(workingdays,COUNTA($G59:R59)))</f>
        <v>0</v>
      </c>
      <c r="S60" s="155">
        <f>SUMPRODUCT(_xlfn.CHOOSECOLS(contribution,$B60),_xlfn.CHOOSECOLS(workingdays,COUNTA($G59:S59)))</f>
        <v>0</v>
      </c>
      <c r="T60" s="155">
        <f>SUMPRODUCT(_xlfn.CHOOSECOLS(contribution,$B60),_xlfn.CHOOSECOLS(workingdays,COUNTA($G59:T59)))</f>
        <v>0</v>
      </c>
      <c r="U60" s="155">
        <f>SUMPRODUCT(_xlfn.CHOOSECOLS(contribution,$B60),_xlfn.CHOOSECOLS(workingdays,COUNTA($G59:U59)))</f>
        <v>0</v>
      </c>
      <c r="V60" s="155">
        <f>SUMPRODUCT(_xlfn.CHOOSECOLS(contribution,$B60),_xlfn.CHOOSECOLS(workingdays,COUNTA($G59:V59)))</f>
        <v>0</v>
      </c>
      <c r="W60" s="155">
        <f>SUMPRODUCT(_xlfn.CHOOSECOLS(contribution,$B60),_xlfn.CHOOSECOLS(workingdays,COUNTA($G59:W59)))</f>
        <v>0</v>
      </c>
      <c r="X60" s="155">
        <f>SUMPRODUCT(_xlfn.CHOOSECOLS(contribution,$B60),_xlfn.CHOOSECOLS(workingdays,COUNTA($G59:X59)))</f>
        <v>0</v>
      </c>
      <c r="Y60" s="155">
        <f>SUMPRODUCT(_xlfn.CHOOSECOLS(contribution,$B60),_xlfn.CHOOSECOLS(workingdays,COUNTA($G59:Y59)))</f>
        <v>0</v>
      </c>
      <c r="Z60" s="155">
        <f>SUMPRODUCT(_xlfn.CHOOSECOLS(contribution,$B60),_xlfn.CHOOSECOLS(workingdays,COUNTA($G59:Z59)))</f>
        <v>0</v>
      </c>
      <c r="AA60" s="155">
        <f>SUMPRODUCT(_xlfn.CHOOSECOLS(contribution,$B60),_xlfn.CHOOSECOLS(workingdays,COUNTA($G59:AA59)))</f>
        <v>0</v>
      </c>
      <c r="AB60" s="155">
        <f>SUMPRODUCT(_xlfn.CHOOSECOLS(contribution,$B60),_xlfn.CHOOSECOLS(workingdays,COUNTA($G59:AB59)))</f>
        <v>0</v>
      </c>
      <c r="AC60" s="156">
        <f>SUMPRODUCT(_xlfn.CHOOSECOLS(contribution,$B60),_xlfn.CHOOSECOLS(workingdays,COUNTA($G59:AC59)))</f>
        <v>0</v>
      </c>
    </row>
    <row r="61" spans="2:29" x14ac:dyDescent="0.3">
      <c r="B61" s="2">
        <v>3</v>
      </c>
      <c r="C61" s="35"/>
      <c r="D61" s="151"/>
      <c r="E61" s="152"/>
      <c r="F61" s="129">
        <f t="shared" si="10"/>
        <v>0</v>
      </c>
      <c r="G61" s="155">
        <f>SUMPRODUCT(_xlfn.CHOOSECOLS(contribution,$B61),_xlfn.CHOOSECOLS(workingdays,COUNTA($G60:G60)))</f>
        <v>0</v>
      </c>
      <c r="H61" s="155">
        <f>SUMPRODUCT(_xlfn.CHOOSECOLS(contribution,$B61),_xlfn.CHOOSECOLS(workingdays,COUNTA($G60:H60)))</f>
        <v>0</v>
      </c>
      <c r="I61" s="155">
        <f>SUMPRODUCT(_xlfn.CHOOSECOLS(contribution,$B61),_xlfn.CHOOSECOLS(workingdays,COUNTA($G60:I60)))</f>
        <v>0</v>
      </c>
      <c r="J61" s="155">
        <f>SUMPRODUCT(_xlfn.CHOOSECOLS(contribution,$B61),_xlfn.CHOOSECOLS(workingdays,COUNTA($G60:J60)))</f>
        <v>0</v>
      </c>
      <c r="K61" s="155">
        <f>SUMPRODUCT(_xlfn.CHOOSECOLS(contribution,$B61),_xlfn.CHOOSECOLS(workingdays,COUNTA($G60:K60)))</f>
        <v>0</v>
      </c>
      <c r="L61" s="155">
        <f>SUMPRODUCT(_xlfn.CHOOSECOLS(contribution,$B61),_xlfn.CHOOSECOLS(workingdays,COUNTA($G60:L60)))</f>
        <v>0</v>
      </c>
      <c r="M61" s="155">
        <f>SUMPRODUCT(_xlfn.CHOOSECOLS(contribution,$B61),_xlfn.CHOOSECOLS(workingdays,COUNTA($G60:M60)))</f>
        <v>0</v>
      </c>
      <c r="N61" s="155">
        <f>SUMPRODUCT(_xlfn.CHOOSECOLS(contribution,$B61),_xlfn.CHOOSECOLS(workingdays,COUNTA($G60:N60)))</f>
        <v>0</v>
      </c>
      <c r="O61" s="155">
        <f>SUMPRODUCT(_xlfn.CHOOSECOLS(contribution,$B61),_xlfn.CHOOSECOLS(workingdays,COUNTA($G60:O60)))</f>
        <v>0</v>
      </c>
      <c r="P61" s="155">
        <f>SUMPRODUCT(_xlfn.CHOOSECOLS(contribution,$B61),_xlfn.CHOOSECOLS(workingdays,COUNTA($G60:P60)))</f>
        <v>0</v>
      </c>
      <c r="Q61" s="155">
        <f>SUMPRODUCT(_xlfn.CHOOSECOLS(contribution,$B61),_xlfn.CHOOSECOLS(workingdays,COUNTA($G60:Q60)))</f>
        <v>0</v>
      </c>
      <c r="R61" s="155">
        <f>SUMPRODUCT(_xlfn.CHOOSECOLS(contribution,$B61),_xlfn.CHOOSECOLS(workingdays,COUNTA($G60:R60)))</f>
        <v>0</v>
      </c>
      <c r="S61" s="155">
        <f>SUMPRODUCT(_xlfn.CHOOSECOLS(contribution,$B61),_xlfn.CHOOSECOLS(workingdays,COUNTA($G60:S60)))</f>
        <v>0</v>
      </c>
      <c r="T61" s="155">
        <f>SUMPRODUCT(_xlfn.CHOOSECOLS(contribution,$B61),_xlfn.CHOOSECOLS(workingdays,COUNTA($G60:T60)))</f>
        <v>0</v>
      </c>
      <c r="U61" s="155">
        <f>SUMPRODUCT(_xlfn.CHOOSECOLS(contribution,$B61),_xlfn.CHOOSECOLS(workingdays,COUNTA($G60:U60)))</f>
        <v>0</v>
      </c>
      <c r="V61" s="155">
        <f>SUMPRODUCT(_xlfn.CHOOSECOLS(contribution,$B61),_xlfn.CHOOSECOLS(workingdays,COUNTA($G60:V60)))</f>
        <v>0</v>
      </c>
      <c r="W61" s="155">
        <f>SUMPRODUCT(_xlfn.CHOOSECOLS(contribution,$B61),_xlfn.CHOOSECOLS(workingdays,COUNTA($G60:W60)))</f>
        <v>0</v>
      </c>
      <c r="X61" s="155">
        <f>SUMPRODUCT(_xlfn.CHOOSECOLS(contribution,$B61),_xlfn.CHOOSECOLS(workingdays,COUNTA($G60:X60)))</f>
        <v>0</v>
      </c>
      <c r="Y61" s="155">
        <f>SUMPRODUCT(_xlfn.CHOOSECOLS(contribution,$B61),_xlfn.CHOOSECOLS(workingdays,COUNTA($G60:Y60)))</f>
        <v>0</v>
      </c>
      <c r="Z61" s="155">
        <f>SUMPRODUCT(_xlfn.CHOOSECOLS(contribution,$B61),_xlfn.CHOOSECOLS(workingdays,COUNTA($G60:Z60)))</f>
        <v>0</v>
      </c>
      <c r="AA61" s="155">
        <f>SUMPRODUCT(_xlfn.CHOOSECOLS(contribution,$B61),_xlfn.CHOOSECOLS(workingdays,COUNTA($G60:AA60)))</f>
        <v>0</v>
      </c>
      <c r="AB61" s="155">
        <f>SUMPRODUCT(_xlfn.CHOOSECOLS(contribution,$B61),_xlfn.CHOOSECOLS(workingdays,COUNTA($G60:AB60)))</f>
        <v>0</v>
      </c>
      <c r="AC61" s="156">
        <f>SUMPRODUCT(_xlfn.CHOOSECOLS(contribution,$B61),_xlfn.CHOOSECOLS(workingdays,COUNTA($G60:AC60)))</f>
        <v>0</v>
      </c>
    </row>
    <row r="62" spans="2:29" x14ac:dyDescent="0.3">
      <c r="B62" s="2">
        <f t="shared" ref="B62:B64" si="11">B61+1</f>
        <v>4</v>
      </c>
      <c r="C62" s="35"/>
      <c r="D62" s="151"/>
      <c r="E62" s="152"/>
      <c r="F62" s="129">
        <f t="shared" si="10"/>
        <v>0</v>
      </c>
      <c r="G62" s="155">
        <f>SUMPRODUCT(_xlfn.CHOOSECOLS(contribution,$B62),_xlfn.CHOOSECOLS(workingdays,COUNTA($G61:G61)))</f>
        <v>0</v>
      </c>
      <c r="H62" s="155">
        <f>SUMPRODUCT(_xlfn.CHOOSECOLS(contribution,$B62),_xlfn.CHOOSECOLS(workingdays,COUNTA($G61:H61)))</f>
        <v>0</v>
      </c>
      <c r="I62" s="155">
        <f>SUMPRODUCT(_xlfn.CHOOSECOLS(contribution,$B62),_xlfn.CHOOSECOLS(workingdays,COUNTA($G61:I61)))</f>
        <v>0</v>
      </c>
      <c r="J62" s="155">
        <f>SUMPRODUCT(_xlfn.CHOOSECOLS(contribution,$B62),_xlfn.CHOOSECOLS(workingdays,COUNTA($G61:J61)))</f>
        <v>0</v>
      </c>
      <c r="K62" s="155">
        <f>SUMPRODUCT(_xlfn.CHOOSECOLS(contribution,$B62),_xlfn.CHOOSECOLS(workingdays,COUNTA($G61:K61)))</f>
        <v>0</v>
      </c>
      <c r="L62" s="155">
        <f>SUMPRODUCT(_xlfn.CHOOSECOLS(contribution,$B62),_xlfn.CHOOSECOLS(workingdays,COUNTA($G61:L61)))</f>
        <v>0</v>
      </c>
      <c r="M62" s="155">
        <f>SUMPRODUCT(_xlfn.CHOOSECOLS(contribution,$B62),_xlfn.CHOOSECOLS(workingdays,COUNTA($G61:M61)))</f>
        <v>0</v>
      </c>
      <c r="N62" s="155">
        <f>SUMPRODUCT(_xlfn.CHOOSECOLS(contribution,$B62),_xlfn.CHOOSECOLS(workingdays,COUNTA($G61:N61)))</f>
        <v>0</v>
      </c>
      <c r="O62" s="155">
        <f>SUMPRODUCT(_xlfn.CHOOSECOLS(contribution,$B62),_xlfn.CHOOSECOLS(workingdays,COUNTA($G61:O61)))</f>
        <v>0</v>
      </c>
      <c r="P62" s="155">
        <f>SUMPRODUCT(_xlfn.CHOOSECOLS(contribution,$B62),_xlfn.CHOOSECOLS(workingdays,COUNTA($G61:P61)))</f>
        <v>0</v>
      </c>
      <c r="Q62" s="155">
        <f>SUMPRODUCT(_xlfn.CHOOSECOLS(contribution,$B62),_xlfn.CHOOSECOLS(workingdays,COUNTA($G61:Q61)))</f>
        <v>0</v>
      </c>
      <c r="R62" s="155">
        <f>SUMPRODUCT(_xlfn.CHOOSECOLS(contribution,$B62),_xlfn.CHOOSECOLS(workingdays,COUNTA($G61:R61)))</f>
        <v>0</v>
      </c>
      <c r="S62" s="155">
        <f>SUMPRODUCT(_xlfn.CHOOSECOLS(contribution,$B62),_xlfn.CHOOSECOLS(workingdays,COUNTA($G61:S61)))</f>
        <v>0</v>
      </c>
      <c r="T62" s="155">
        <f>SUMPRODUCT(_xlfn.CHOOSECOLS(contribution,$B62),_xlfn.CHOOSECOLS(workingdays,COUNTA($G61:T61)))</f>
        <v>0</v>
      </c>
      <c r="U62" s="155">
        <f>SUMPRODUCT(_xlfn.CHOOSECOLS(contribution,$B62),_xlfn.CHOOSECOLS(workingdays,COUNTA($G61:U61)))</f>
        <v>0</v>
      </c>
      <c r="V62" s="155">
        <f>SUMPRODUCT(_xlfn.CHOOSECOLS(contribution,$B62),_xlfn.CHOOSECOLS(workingdays,COUNTA($G61:V61)))</f>
        <v>0</v>
      </c>
      <c r="W62" s="155">
        <f>SUMPRODUCT(_xlfn.CHOOSECOLS(contribution,$B62),_xlfn.CHOOSECOLS(workingdays,COUNTA($G61:W61)))</f>
        <v>0</v>
      </c>
      <c r="X62" s="155">
        <f>SUMPRODUCT(_xlfn.CHOOSECOLS(contribution,$B62),_xlfn.CHOOSECOLS(workingdays,COUNTA($G61:X61)))</f>
        <v>0</v>
      </c>
      <c r="Y62" s="155">
        <f>SUMPRODUCT(_xlfn.CHOOSECOLS(contribution,$B62),_xlfn.CHOOSECOLS(workingdays,COUNTA($G61:Y61)))</f>
        <v>0</v>
      </c>
      <c r="Z62" s="155">
        <f>SUMPRODUCT(_xlfn.CHOOSECOLS(contribution,$B62),_xlfn.CHOOSECOLS(workingdays,COUNTA($G61:Z61)))</f>
        <v>0</v>
      </c>
      <c r="AA62" s="155">
        <f>SUMPRODUCT(_xlfn.CHOOSECOLS(contribution,$B62),_xlfn.CHOOSECOLS(workingdays,COUNTA($G61:AA61)))</f>
        <v>0</v>
      </c>
      <c r="AB62" s="155">
        <f>SUMPRODUCT(_xlfn.CHOOSECOLS(contribution,$B62),_xlfn.CHOOSECOLS(workingdays,COUNTA($G61:AB61)))</f>
        <v>0</v>
      </c>
      <c r="AC62" s="156">
        <f>SUMPRODUCT(_xlfn.CHOOSECOLS(contribution,$B62),_xlfn.CHOOSECOLS(workingdays,COUNTA($G61:AC61)))</f>
        <v>0</v>
      </c>
    </row>
    <row r="63" spans="2:29" x14ac:dyDescent="0.3">
      <c r="B63" s="2">
        <f t="shared" si="11"/>
        <v>5</v>
      </c>
      <c r="C63" s="35"/>
      <c r="D63" s="151"/>
      <c r="E63" s="152"/>
      <c r="F63" s="129">
        <f t="shared" si="10"/>
        <v>0</v>
      </c>
      <c r="G63" s="155">
        <f>SUMPRODUCT(_xlfn.CHOOSECOLS(contribution,$B63),_xlfn.CHOOSECOLS(workingdays,COUNTA($G62:G62)))</f>
        <v>0</v>
      </c>
      <c r="H63" s="155">
        <f>SUMPRODUCT(_xlfn.CHOOSECOLS(contribution,$B63),_xlfn.CHOOSECOLS(workingdays,COUNTA($G62:H62)))</f>
        <v>0</v>
      </c>
      <c r="I63" s="155">
        <f>SUMPRODUCT(_xlfn.CHOOSECOLS(contribution,$B63),_xlfn.CHOOSECOLS(workingdays,COUNTA($G62:I62)))</f>
        <v>0</v>
      </c>
      <c r="J63" s="155">
        <f>SUMPRODUCT(_xlfn.CHOOSECOLS(contribution,$B63),_xlfn.CHOOSECOLS(workingdays,COUNTA($G62:J62)))</f>
        <v>0</v>
      </c>
      <c r="K63" s="155">
        <f>SUMPRODUCT(_xlfn.CHOOSECOLS(contribution,$B63),_xlfn.CHOOSECOLS(workingdays,COUNTA($G62:K62)))</f>
        <v>0</v>
      </c>
      <c r="L63" s="155">
        <f>SUMPRODUCT(_xlfn.CHOOSECOLS(contribution,$B63),_xlfn.CHOOSECOLS(workingdays,COUNTA($G62:L62)))</f>
        <v>0</v>
      </c>
      <c r="M63" s="155">
        <f>SUMPRODUCT(_xlfn.CHOOSECOLS(contribution,$B63),_xlfn.CHOOSECOLS(workingdays,COUNTA($G62:M62)))</f>
        <v>0</v>
      </c>
      <c r="N63" s="155">
        <f>SUMPRODUCT(_xlfn.CHOOSECOLS(contribution,$B63),_xlfn.CHOOSECOLS(workingdays,COUNTA($G62:N62)))</f>
        <v>0</v>
      </c>
      <c r="O63" s="155">
        <f>SUMPRODUCT(_xlfn.CHOOSECOLS(contribution,$B63),_xlfn.CHOOSECOLS(workingdays,COUNTA($G62:O62)))</f>
        <v>0</v>
      </c>
      <c r="P63" s="155">
        <f>SUMPRODUCT(_xlfn.CHOOSECOLS(contribution,$B63),_xlfn.CHOOSECOLS(workingdays,COUNTA($G62:P62)))</f>
        <v>0</v>
      </c>
      <c r="Q63" s="155">
        <f>SUMPRODUCT(_xlfn.CHOOSECOLS(contribution,$B63),_xlfn.CHOOSECOLS(workingdays,COUNTA($G62:Q62)))</f>
        <v>0</v>
      </c>
      <c r="R63" s="155">
        <f>SUMPRODUCT(_xlfn.CHOOSECOLS(contribution,$B63),_xlfn.CHOOSECOLS(workingdays,COUNTA($G62:R62)))</f>
        <v>0</v>
      </c>
      <c r="S63" s="155">
        <f>SUMPRODUCT(_xlfn.CHOOSECOLS(contribution,$B63),_xlfn.CHOOSECOLS(workingdays,COUNTA($G62:S62)))</f>
        <v>0</v>
      </c>
      <c r="T63" s="155">
        <f>SUMPRODUCT(_xlfn.CHOOSECOLS(contribution,$B63),_xlfn.CHOOSECOLS(workingdays,COUNTA($G62:T62)))</f>
        <v>0</v>
      </c>
      <c r="U63" s="155">
        <f>SUMPRODUCT(_xlfn.CHOOSECOLS(contribution,$B63),_xlfn.CHOOSECOLS(workingdays,COUNTA($G62:U62)))</f>
        <v>0</v>
      </c>
      <c r="V63" s="155">
        <f>SUMPRODUCT(_xlfn.CHOOSECOLS(contribution,$B63),_xlfn.CHOOSECOLS(workingdays,COUNTA($G62:V62)))</f>
        <v>0</v>
      </c>
      <c r="W63" s="155">
        <f>SUMPRODUCT(_xlfn.CHOOSECOLS(contribution,$B63),_xlfn.CHOOSECOLS(workingdays,COUNTA($G62:W62)))</f>
        <v>0</v>
      </c>
      <c r="X63" s="155">
        <f>SUMPRODUCT(_xlfn.CHOOSECOLS(contribution,$B63),_xlfn.CHOOSECOLS(workingdays,COUNTA($G62:X62)))</f>
        <v>0</v>
      </c>
      <c r="Y63" s="155">
        <f>SUMPRODUCT(_xlfn.CHOOSECOLS(contribution,$B63),_xlfn.CHOOSECOLS(workingdays,COUNTA($G62:Y62)))</f>
        <v>0</v>
      </c>
      <c r="Z63" s="155">
        <f>SUMPRODUCT(_xlfn.CHOOSECOLS(contribution,$B63),_xlfn.CHOOSECOLS(workingdays,COUNTA($G62:Z62)))</f>
        <v>0</v>
      </c>
      <c r="AA63" s="155">
        <f>SUMPRODUCT(_xlfn.CHOOSECOLS(contribution,$B63),_xlfn.CHOOSECOLS(workingdays,COUNTA($G62:AA62)))</f>
        <v>0</v>
      </c>
      <c r="AB63" s="155">
        <f>SUMPRODUCT(_xlfn.CHOOSECOLS(contribution,$B63),_xlfn.CHOOSECOLS(workingdays,COUNTA($G62:AB62)))</f>
        <v>0</v>
      </c>
      <c r="AC63" s="156">
        <f>SUMPRODUCT(_xlfn.CHOOSECOLS(contribution,$B63),_xlfn.CHOOSECOLS(workingdays,COUNTA($G62:AC62)))</f>
        <v>0</v>
      </c>
    </row>
    <row r="64" spans="2:29" x14ac:dyDescent="0.3">
      <c r="B64" s="2">
        <f t="shared" si="11"/>
        <v>6</v>
      </c>
      <c r="C64" s="35"/>
      <c r="D64" s="151"/>
      <c r="E64" s="152"/>
      <c r="F64" s="129">
        <f t="shared" si="10"/>
        <v>0</v>
      </c>
      <c r="G64" s="155">
        <f>SUMPRODUCT(_xlfn.CHOOSECOLS(contribution,$B64),_xlfn.CHOOSECOLS(workingdays,COUNTA($G63:G63)))</f>
        <v>0</v>
      </c>
      <c r="H64" s="155">
        <f>SUMPRODUCT(_xlfn.CHOOSECOLS(contribution,$B64),_xlfn.CHOOSECOLS(workingdays,COUNTA($G63:H63)))</f>
        <v>0</v>
      </c>
      <c r="I64" s="155">
        <f>SUMPRODUCT(_xlfn.CHOOSECOLS(contribution,$B64),_xlfn.CHOOSECOLS(workingdays,COUNTA($G63:I63)))</f>
        <v>0</v>
      </c>
      <c r="J64" s="155">
        <f>SUMPRODUCT(_xlfn.CHOOSECOLS(contribution,$B64),_xlfn.CHOOSECOLS(workingdays,COUNTA($G63:J63)))</f>
        <v>0</v>
      </c>
      <c r="K64" s="155">
        <f>SUMPRODUCT(_xlfn.CHOOSECOLS(contribution,$B64),_xlfn.CHOOSECOLS(workingdays,COUNTA($G63:K63)))</f>
        <v>0</v>
      </c>
      <c r="L64" s="155">
        <f>SUMPRODUCT(_xlfn.CHOOSECOLS(contribution,$B64),_xlfn.CHOOSECOLS(workingdays,COUNTA($G63:L63)))</f>
        <v>0</v>
      </c>
      <c r="M64" s="155">
        <f>SUMPRODUCT(_xlfn.CHOOSECOLS(contribution,$B64),_xlfn.CHOOSECOLS(workingdays,COUNTA($G63:M63)))</f>
        <v>0</v>
      </c>
      <c r="N64" s="155">
        <f>SUMPRODUCT(_xlfn.CHOOSECOLS(contribution,$B64),_xlfn.CHOOSECOLS(workingdays,COUNTA($G63:N63)))</f>
        <v>0</v>
      </c>
      <c r="O64" s="155">
        <f>SUMPRODUCT(_xlfn.CHOOSECOLS(contribution,$B64),_xlfn.CHOOSECOLS(workingdays,COUNTA($G63:O63)))</f>
        <v>0</v>
      </c>
      <c r="P64" s="155">
        <f>SUMPRODUCT(_xlfn.CHOOSECOLS(contribution,$B64),_xlfn.CHOOSECOLS(workingdays,COUNTA($G63:P63)))</f>
        <v>0</v>
      </c>
      <c r="Q64" s="155">
        <f>SUMPRODUCT(_xlfn.CHOOSECOLS(contribution,$B64),_xlfn.CHOOSECOLS(workingdays,COUNTA($G63:Q63)))</f>
        <v>0</v>
      </c>
      <c r="R64" s="155">
        <f>SUMPRODUCT(_xlfn.CHOOSECOLS(contribution,$B64),_xlfn.CHOOSECOLS(workingdays,COUNTA($G63:R63)))</f>
        <v>0</v>
      </c>
      <c r="S64" s="155">
        <f>SUMPRODUCT(_xlfn.CHOOSECOLS(contribution,$B64),_xlfn.CHOOSECOLS(workingdays,COUNTA($G63:S63)))</f>
        <v>0</v>
      </c>
      <c r="T64" s="155">
        <f>SUMPRODUCT(_xlfn.CHOOSECOLS(contribution,$B64),_xlfn.CHOOSECOLS(workingdays,COUNTA($G63:T63)))</f>
        <v>0</v>
      </c>
      <c r="U64" s="155">
        <f>SUMPRODUCT(_xlfn.CHOOSECOLS(contribution,$B64),_xlfn.CHOOSECOLS(workingdays,COUNTA($G63:U63)))</f>
        <v>0</v>
      </c>
      <c r="V64" s="155">
        <f>SUMPRODUCT(_xlfn.CHOOSECOLS(contribution,$B64),_xlfn.CHOOSECOLS(workingdays,COUNTA($G63:V63)))</f>
        <v>0</v>
      </c>
      <c r="W64" s="155">
        <f>SUMPRODUCT(_xlfn.CHOOSECOLS(contribution,$B64),_xlfn.CHOOSECOLS(workingdays,COUNTA($G63:W63)))</f>
        <v>0</v>
      </c>
      <c r="X64" s="155">
        <f>SUMPRODUCT(_xlfn.CHOOSECOLS(contribution,$B64),_xlfn.CHOOSECOLS(workingdays,COUNTA($G63:X63)))</f>
        <v>0</v>
      </c>
      <c r="Y64" s="155">
        <f>SUMPRODUCT(_xlfn.CHOOSECOLS(contribution,$B64),_xlfn.CHOOSECOLS(workingdays,COUNTA($G63:Y63)))</f>
        <v>0</v>
      </c>
      <c r="Z64" s="155">
        <f>SUMPRODUCT(_xlfn.CHOOSECOLS(contribution,$B64),_xlfn.CHOOSECOLS(workingdays,COUNTA($G63:Z63)))</f>
        <v>0</v>
      </c>
      <c r="AA64" s="155">
        <f>SUMPRODUCT(_xlfn.CHOOSECOLS(contribution,$B64),_xlfn.CHOOSECOLS(workingdays,COUNTA($G63:AA63)))</f>
        <v>0</v>
      </c>
      <c r="AB64" s="155">
        <f>SUMPRODUCT(_xlfn.CHOOSECOLS(contribution,$B64),_xlfn.CHOOSECOLS(workingdays,COUNTA($G63:AB63)))</f>
        <v>0</v>
      </c>
      <c r="AC64" s="156">
        <f>SUMPRODUCT(_xlfn.CHOOSECOLS(contribution,$B64),_xlfn.CHOOSECOLS(workingdays,COUNTA($G63:AC63)))</f>
        <v>0</v>
      </c>
    </row>
    <row r="65" spans="2:29" x14ac:dyDescent="0.3">
      <c r="B65" s="2">
        <f>B64+1</f>
        <v>7</v>
      </c>
      <c r="C65" s="35"/>
      <c r="D65" s="151"/>
      <c r="E65" s="152"/>
      <c r="F65" s="129">
        <f t="shared" si="10"/>
        <v>0</v>
      </c>
      <c r="G65" s="155">
        <f>SUMPRODUCT(_xlfn.CHOOSECOLS(contribution,$B65),_xlfn.CHOOSECOLS(workingdays,COUNTA($G64:G64)))</f>
        <v>0</v>
      </c>
      <c r="H65" s="155">
        <f>SUMPRODUCT(_xlfn.CHOOSECOLS(contribution,$B65),_xlfn.CHOOSECOLS(workingdays,COUNTA($G64:H64)))</f>
        <v>0</v>
      </c>
      <c r="I65" s="155">
        <f>SUMPRODUCT(_xlfn.CHOOSECOLS(contribution,$B65),_xlfn.CHOOSECOLS(workingdays,COUNTA($G64:I64)))</f>
        <v>0</v>
      </c>
      <c r="J65" s="155">
        <f>SUMPRODUCT(_xlfn.CHOOSECOLS(contribution,$B65),_xlfn.CHOOSECOLS(workingdays,COUNTA($G64:J64)))</f>
        <v>0</v>
      </c>
      <c r="K65" s="155">
        <f>SUMPRODUCT(_xlfn.CHOOSECOLS(contribution,$B65),_xlfn.CHOOSECOLS(workingdays,COUNTA($G64:K64)))</f>
        <v>0</v>
      </c>
      <c r="L65" s="155">
        <f>SUMPRODUCT(_xlfn.CHOOSECOLS(contribution,$B65),_xlfn.CHOOSECOLS(workingdays,COUNTA($G64:L64)))</f>
        <v>0</v>
      </c>
      <c r="M65" s="155">
        <f>SUMPRODUCT(_xlfn.CHOOSECOLS(contribution,$B65),_xlfn.CHOOSECOLS(workingdays,COUNTA($G64:M64)))</f>
        <v>0</v>
      </c>
      <c r="N65" s="155">
        <f>SUMPRODUCT(_xlfn.CHOOSECOLS(contribution,$B65),_xlfn.CHOOSECOLS(workingdays,COUNTA($G64:N64)))</f>
        <v>0</v>
      </c>
      <c r="O65" s="155">
        <f>SUMPRODUCT(_xlfn.CHOOSECOLS(contribution,$B65),_xlfn.CHOOSECOLS(workingdays,COUNTA($G64:O64)))</f>
        <v>0</v>
      </c>
      <c r="P65" s="155">
        <f>SUMPRODUCT(_xlfn.CHOOSECOLS(contribution,$B65),_xlfn.CHOOSECOLS(workingdays,COUNTA($G64:P64)))</f>
        <v>0</v>
      </c>
      <c r="Q65" s="155">
        <f>SUMPRODUCT(_xlfn.CHOOSECOLS(contribution,$B65),_xlfn.CHOOSECOLS(workingdays,COUNTA($G64:Q64)))</f>
        <v>0</v>
      </c>
      <c r="R65" s="155">
        <f>SUMPRODUCT(_xlfn.CHOOSECOLS(contribution,$B65),_xlfn.CHOOSECOLS(workingdays,COUNTA($G64:R64)))</f>
        <v>0</v>
      </c>
      <c r="S65" s="155">
        <f>SUMPRODUCT(_xlfn.CHOOSECOLS(contribution,$B65),_xlfn.CHOOSECOLS(workingdays,COUNTA($G64:S64)))</f>
        <v>0</v>
      </c>
      <c r="T65" s="155">
        <f>SUMPRODUCT(_xlfn.CHOOSECOLS(contribution,$B65),_xlfn.CHOOSECOLS(workingdays,COUNTA($G64:T64)))</f>
        <v>0</v>
      </c>
      <c r="U65" s="155">
        <f>SUMPRODUCT(_xlfn.CHOOSECOLS(contribution,$B65),_xlfn.CHOOSECOLS(workingdays,COUNTA($G64:U64)))</f>
        <v>0</v>
      </c>
      <c r="V65" s="155">
        <f>SUMPRODUCT(_xlfn.CHOOSECOLS(contribution,$B65),_xlfn.CHOOSECOLS(workingdays,COUNTA($G64:V64)))</f>
        <v>0</v>
      </c>
      <c r="W65" s="155">
        <f>SUMPRODUCT(_xlfn.CHOOSECOLS(contribution,$B65),_xlfn.CHOOSECOLS(workingdays,COUNTA($G64:W64)))</f>
        <v>0</v>
      </c>
      <c r="X65" s="155">
        <f>SUMPRODUCT(_xlfn.CHOOSECOLS(contribution,$B65),_xlfn.CHOOSECOLS(workingdays,COUNTA($G64:X64)))</f>
        <v>0</v>
      </c>
      <c r="Y65" s="155">
        <f>SUMPRODUCT(_xlfn.CHOOSECOLS(contribution,$B65),_xlfn.CHOOSECOLS(workingdays,COUNTA($G64:Y64)))</f>
        <v>0</v>
      </c>
      <c r="Z65" s="155">
        <f>SUMPRODUCT(_xlfn.CHOOSECOLS(contribution,$B65),_xlfn.CHOOSECOLS(workingdays,COUNTA($G64:Z64)))</f>
        <v>0</v>
      </c>
      <c r="AA65" s="155">
        <f>SUMPRODUCT(_xlfn.CHOOSECOLS(contribution,$B65),_xlfn.CHOOSECOLS(workingdays,COUNTA($G64:AA64)))</f>
        <v>0</v>
      </c>
      <c r="AB65" s="155">
        <f>SUMPRODUCT(_xlfn.CHOOSECOLS(contribution,$B65),_xlfn.CHOOSECOLS(workingdays,COUNTA($G64:AB64)))</f>
        <v>0</v>
      </c>
      <c r="AC65" s="156">
        <f>SUMPRODUCT(_xlfn.CHOOSECOLS(contribution,$B65),_xlfn.CHOOSECOLS(workingdays,COUNTA($G64:AC64)))</f>
        <v>0</v>
      </c>
    </row>
    <row r="66" spans="2:29" x14ac:dyDescent="0.3">
      <c r="B66" s="2">
        <f t="shared" ref="B66:B68" si="12">B65+1</f>
        <v>8</v>
      </c>
      <c r="C66" s="35"/>
      <c r="D66" s="151"/>
      <c r="E66" s="152"/>
      <c r="F66" s="129">
        <f t="shared" si="10"/>
        <v>0</v>
      </c>
      <c r="G66" s="155">
        <f>SUMPRODUCT(_xlfn.CHOOSECOLS(contribution,$B66),_xlfn.CHOOSECOLS(workingdays,COUNTA($G65:G65)))</f>
        <v>0</v>
      </c>
      <c r="H66" s="155">
        <f>SUMPRODUCT(_xlfn.CHOOSECOLS(contribution,$B66),_xlfn.CHOOSECOLS(workingdays,COUNTA($G65:H65)))</f>
        <v>0</v>
      </c>
      <c r="I66" s="155">
        <f>SUMPRODUCT(_xlfn.CHOOSECOLS(contribution,$B66),_xlfn.CHOOSECOLS(workingdays,COUNTA($G65:I65)))</f>
        <v>0</v>
      </c>
      <c r="J66" s="155">
        <f>SUMPRODUCT(_xlfn.CHOOSECOLS(contribution,$B66),_xlfn.CHOOSECOLS(workingdays,COUNTA($G65:J65)))</f>
        <v>0</v>
      </c>
      <c r="K66" s="155">
        <f>SUMPRODUCT(_xlfn.CHOOSECOLS(contribution,$B66),_xlfn.CHOOSECOLS(workingdays,COUNTA($G65:K65)))</f>
        <v>0</v>
      </c>
      <c r="L66" s="155">
        <f>SUMPRODUCT(_xlfn.CHOOSECOLS(contribution,$B66),_xlfn.CHOOSECOLS(workingdays,COUNTA($G65:L65)))</f>
        <v>0</v>
      </c>
      <c r="M66" s="155">
        <f>SUMPRODUCT(_xlfn.CHOOSECOLS(contribution,$B66),_xlfn.CHOOSECOLS(workingdays,COUNTA($G65:M65)))</f>
        <v>0</v>
      </c>
      <c r="N66" s="155">
        <f>SUMPRODUCT(_xlfn.CHOOSECOLS(contribution,$B66),_xlfn.CHOOSECOLS(workingdays,COUNTA($G65:N65)))</f>
        <v>0</v>
      </c>
      <c r="O66" s="155">
        <f>SUMPRODUCT(_xlfn.CHOOSECOLS(contribution,$B66),_xlfn.CHOOSECOLS(workingdays,COUNTA($G65:O65)))</f>
        <v>0</v>
      </c>
      <c r="P66" s="155">
        <f>SUMPRODUCT(_xlfn.CHOOSECOLS(contribution,$B66),_xlfn.CHOOSECOLS(workingdays,COUNTA($G65:P65)))</f>
        <v>0</v>
      </c>
      <c r="Q66" s="155">
        <f>SUMPRODUCT(_xlfn.CHOOSECOLS(contribution,$B66),_xlfn.CHOOSECOLS(workingdays,COUNTA($G65:Q65)))</f>
        <v>0</v>
      </c>
      <c r="R66" s="155">
        <f>SUMPRODUCT(_xlfn.CHOOSECOLS(contribution,$B66),_xlfn.CHOOSECOLS(workingdays,COUNTA($G65:R65)))</f>
        <v>0</v>
      </c>
      <c r="S66" s="155">
        <f>SUMPRODUCT(_xlfn.CHOOSECOLS(contribution,$B66),_xlfn.CHOOSECOLS(workingdays,COUNTA($G65:S65)))</f>
        <v>0</v>
      </c>
      <c r="T66" s="155">
        <f>SUMPRODUCT(_xlfn.CHOOSECOLS(contribution,$B66),_xlfn.CHOOSECOLS(workingdays,COUNTA($G65:T65)))</f>
        <v>0</v>
      </c>
      <c r="U66" s="155">
        <f>SUMPRODUCT(_xlfn.CHOOSECOLS(contribution,$B66),_xlfn.CHOOSECOLS(workingdays,COUNTA($G65:U65)))</f>
        <v>0</v>
      </c>
      <c r="V66" s="155">
        <f>SUMPRODUCT(_xlfn.CHOOSECOLS(contribution,$B66),_xlfn.CHOOSECOLS(workingdays,COUNTA($G65:V65)))</f>
        <v>0</v>
      </c>
      <c r="W66" s="155">
        <f>SUMPRODUCT(_xlfn.CHOOSECOLS(contribution,$B66),_xlfn.CHOOSECOLS(workingdays,COUNTA($G65:W65)))</f>
        <v>0</v>
      </c>
      <c r="X66" s="155">
        <f>SUMPRODUCT(_xlfn.CHOOSECOLS(contribution,$B66),_xlfn.CHOOSECOLS(workingdays,COUNTA($G65:X65)))</f>
        <v>0</v>
      </c>
      <c r="Y66" s="155">
        <f>SUMPRODUCT(_xlfn.CHOOSECOLS(contribution,$B66),_xlfn.CHOOSECOLS(workingdays,COUNTA($G65:Y65)))</f>
        <v>0</v>
      </c>
      <c r="Z66" s="155">
        <f>SUMPRODUCT(_xlfn.CHOOSECOLS(contribution,$B66),_xlfn.CHOOSECOLS(workingdays,COUNTA($G65:Z65)))</f>
        <v>0</v>
      </c>
      <c r="AA66" s="155">
        <f>SUMPRODUCT(_xlfn.CHOOSECOLS(contribution,$B66),_xlfn.CHOOSECOLS(workingdays,COUNTA($G65:AA65)))</f>
        <v>0</v>
      </c>
      <c r="AB66" s="155">
        <f>SUMPRODUCT(_xlfn.CHOOSECOLS(contribution,$B66),_xlfn.CHOOSECOLS(workingdays,COUNTA($G65:AB65)))</f>
        <v>0</v>
      </c>
      <c r="AC66" s="156">
        <f>SUMPRODUCT(_xlfn.CHOOSECOLS(contribution,$B66),_xlfn.CHOOSECOLS(workingdays,COUNTA($G65:AC65)))</f>
        <v>0</v>
      </c>
    </row>
    <row r="67" spans="2:29" x14ac:dyDescent="0.3">
      <c r="B67" s="2">
        <f t="shared" si="12"/>
        <v>9</v>
      </c>
      <c r="C67" s="35"/>
      <c r="D67" s="151"/>
      <c r="E67" s="152"/>
      <c r="F67" s="129">
        <f t="shared" si="10"/>
        <v>0</v>
      </c>
      <c r="G67" s="155">
        <f>SUMPRODUCT(_xlfn.CHOOSECOLS(contribution,$B67),_xlfn.CHOOSECOLS(workingdays,COUNTA($G66:G66)))</f>
        <v>0</v>
      </c>
      <c r="H67" s="155">
        <f>SUMPRODUCT(_xlfn.CHOOSECOLS(contribution,$B67),_xlfn.CHOOSECOLS(workingdays,COUNTA($G66:H66)))</f>
        <v>0</v>
      </c>
      <c r="I67" s="155">
        <f>SUMPRODUCT(_xlfn.CHOOSECOLS(contribution,$B67),_xlfn.CHOOSECOLS(workingdays,COUNTA($G66:I66)))</f>
        <v>0</v>
      </c>
      <c r="J67" s="155">
        <f>SUMPRODUCT(_xlfn.CHOOSECOLS(contribution,$B67),_xlfn.CHOOSECOLS(workingdays,COUNTA($G66:J66)))</f>
        <v>0</v>
      </c>
      <c r="K67" s="155">
        <f>SUMPRODUCT(_xlfn.CHOOSECOLS(contribution,$B67),_xlfn.CHOOSECOLS(workingdays,COUNTA($G66:K66)))</f>
        <v>0</v>
      </c>
      <c r="L67" s="155">
        <f>SUMPRODUCT(_xlfn.CHOOSECOLS(contribution,$B67),_xlfn.CHOOSECOLS(workingdays,COUNTA($G66:L66)))</f>
        <v>0</v>
      </c>
      <c r="M67" s="155">
        <f>SUMPRODUCT(_xlfn.CHOOSECOLS(contribution,$B67),_xlfn.CHOOSECOLS(workingdays,COUNTA($G66:M66)))</f>
        <v>0</v>
      </c>
      <c r="N67" s="155">
        <f>SUMPRODUCT(_xlfn.CHOOSECOLS(contribution,$B67),_xlfn.CHOOSECOLS(workingdays,COUNTA($G66:N66)))</f>
        <v>0</v>
      </c>
      <c r="O67" s="155">
        <f>SUMPRODUCT(_xlfn.CHOOSECOLS(contribution,$B67),_xlfn.CHOOSECOLS(workingdays,COUNTA($G66:O66)))</f>
        <v>0</v>
      </c>
      <c r="P67" s="155">
        <f>SUMPRODUCT(_xlfn.CHOOSECOLS(contribution,$B67),_xlfn.CHOOSECOLS(workingdays,COUNTA($G66:P66)))</f>
        <v>0</v>
      </c>
      <c r="Q67" s="155">
        <f>SUMPRODUCT(_xlfn.CHOOSECOLS(contribution,$B67),_xlfn.CHOOSECOLS(workingdays,COUNTA($G66:Q66)))</f>
        <v>0</v>
      </c>
      <c r="R67" s="155">
        <f>SUMPRODUCT(_xlfn.CHOOSECOLS(contribution,$B67),_xlfn.CHOOSECOLS(workingdays,COUNTA($G66:R66)))</f>
        <v>0</v>
      </c>
      <c r="S67" s="155">
        <f>SUMPRODUCT(_xlfn.CHOOSECOLS(contribution,$B67),_xlfn.CHOOSECOLS(workingdays,COUNTA($G66:S66)))</f>
        <v>0</v>
      </c>
      <c r="T67" s="155">
        <f>SUMPRODUCT(_xlfn.CHOOSECOLS(contribution,$B67),_xlfn.CHOOSECOLS(workingdays,COUNTA($G66:T66)))</f>
        <v>0</v>
      </c>
      <c r="U67" s="155">
        <f>SUMPRODUCT(_xlfn.CHOOSECOLS(contribution,$B67),_xlfn.CHOOSECOLS(workingdays,COUNTA($G66:U66)))</f>
        <v>0</v>
      </c>
      <c r="V67" s="155">
        <f>SUMPRODUCT(_xlfn.CHOOSECOLS(contribution,$B67),_xlfn.CHOOSECOLS(workingdays,COUNTA($G66:V66)))</f>
        <v>0</v>
      </c>
      <c r="W67" s="155">
        <f>SUMPRODUCT(_xlfn.CHOOSECOLS(contribution,$B67),_xlfn.CHOOSECOLS(workingdays,COUNTA($G66:W66)))</f>
        <v>0</v>
      </c>
      <c r="X67" s="155">
        <f>SUMPRODUCT(_xlfn.CHOOSECOLS(contribution,$B67),_xlfn.CHOOSECOLS(workingdays,COUNTA($G66:X66)))</f>
        <v>0</v>
      </c>
      <c r="Y67" s="155">
        <f>SUMPRODUCT(_xlfn.CHOOSECOLS(contribution,$B67),_xlfn.CHOOSECOLS(workingdays,COUNTA($G66:Y66)))</f>
        <v>0</v>
      </c>
      <c r="Z67" s="155">
        <f>SUMPRODUCT(_xlfn.CHOOSECOLS(contribution,$B67),_xlfn.CHOOSECOLS(workingdays,COUNTA($G66:Z66)))</f>
        <v>0</v>
      </c>
      <c r="AA67" s="155">
        <f>SUMPRODUCT(_xlfn.CHOOSECOLS(contribution,$B67),_xlfn.CHOOSECOLS(workingdays,COUNTA($G66:AA66)))</f>
        <v>0</v>
      </c>
      <c r="AB67" s="155">
        <f>SUMPRODUCT(_xlfn.CHOOSECOLS(contribution,$B67),_xlfn.CHOOSECOLS(workingdays,COUNTA($G66:AB66)))</f>
        <v>0</v>
      </c>
      <c r="AC67" s="156">
        <f>SUMPRODUCT(_xlfn.CHOOSECOLS(contribution,$B67),_xlfn.CHOOSECOLS(workingdays,COUNTA($G66:AC66)))</f>
        <v>0</v>
      </c>
    </row>
    <row r="68" spans="2:29" x14ac:dyDescent="0.3">
      <c r="B68" s="21">
        <f t="shared" si="12"/>
        <v>10</v>
      </c>
      <c r="C68" s="38"/>
      <c r="D68" s="153"/>
      <c r="E68" s="154"/>
      <c r="F68" s="133">
        <f t="shared" si="10"/>
        <v>0</v>
      </c>
      <c r="G68" s="157">
        <f>SUMPRODUCT(_xlfn.CHOOSECOLS(contribution,$B68),_xlfn.CHOOSECOLS(workingdays,COUNTA($G67:G67)))</f>
        <v>0</v>
      </c>
      <c r="H68" s="157">
        <f>SUMPRODUCT(_xlfn.CHOOSECOLS(contribution,$B68),_xlfn.CHOOSECOLS(workingdays,COUNTA($G67:H67)))</f>
        <v>0</v>
      </c>
      <c r="I68" s="157">
        <f>SUMPRODUCT(_xlfn.CHOOSECOLS(contribution,$B68),_xlfn.CHOOSECOLS(workingdays,COUNTA($G67:I67)))</f>
        <v>0</v>
      </c>
      <c r="J68" s="157">
        <f>SUMPRODUCT(_xlfn.CHOOSECOLS(contribution,$B68),_xlfn.CHOOSECOLS(workingdays,COUNTA($G67:J67)))</f>
        <v>0</v>
      </c>
      <c r="K68" s="157">
        <f>SUMPRODUCT(_xlfn.CHOOSECOLS(contribution,$B68),_xlfn.CHOOSECOLS(workingdays,COUNTA($G67:K67)))</f>
        <v>0</v>
      </c>
      <c r="L68" s="157">
        <f>SUMPRODUCT(_xlfn.CHOOSECOLS(contribution,$B68),_xlfn.CHOOSECOLS(workingdays,COUNTA($G67:L67)))</f>
        <v>0</v>
      </c>
      <c r="M68" s="157">
        <f>SUMPRODUCT(_xlfn.CHOOSECOLS(contribution,$B68),_xlfn.CHOOSECOLS(workingdays,COUNTA($G67:M67)))</f>
        <v>0</v>
      </c>
      <c r="N68" s="157">
        <f>SUMPRODUCT(_xlfn.CHOOSECOLS(contribution,$B68),_xlfn.CHOOSECOLS(workingdays,COUNTA($G67:N67)))</f>
        <v>0</v>
      </c>
      <c r="O68" s="157">
        <f>SUMPRODUCT(_xlfn.CHOOSECOLS(contribution,$B68),_xlfn.CHOOSECOLS(workingdays,COUNTA($G67:O67)))</f>
        <v>0</v>
      </c>
      <c r="P68" s="157">
        <f>SUMPRODUCT(_xlfn.CHOOSECOLS(contribution,$B68),_xlfn.CHOOSECOLS(workingdays,COUNTA($G67:P67)))</f>
        <v>0</v>
      </c>
      <c r="Q68" s="157">
        <f>SUMPRODUCT(_xlfn.CHOOSECOLS(contribution,$B68),_xlfn.CHOOSECOLS(workingdays,COUNTA($G67:Q67)))</f>
        <v>0</v>
      </c>
      <c r="R68" s="157">
        <f>SUMPRODUCT(_xlfn.CHOOSECOLS(contribution,$B68),_xlfn.CHOOSECOLS(workingdays,COUNTA($G67:R67)))</f>
        <v>0</v>
      </c>
      <c r="S68" s="157">
        <f>SUMPRODUCT(_xlfn.CHOOSECOLS(contribution,$B68),_xlfn.CHOOSECOLS(workingdays,COUNTA($G67:S67)))</f>
        <v>0</v>
      </c>
      <c r="T68" s="157">
        <f>SUMPRODUCT(_xlfn.CHOOSECOLS(contribution,$B68),_xlfn.CHOOSECOLS(workingdays,COUNTA($G67:T67)))</f>
        <v>0</v>
      </c>
      <c r="U68" s="157">
        <f>SUMPRODUCT(_xlfn.CHOOSECOLS(contribution,$B68),_xlfn.CHOOSECOLS(workingdays,COUNTA($G67:U67)))</f>
        <v>0</v>
      </c>
      <c r="V68" s="157">
        <f>SUMPRODUCT(_xlfn.CHOOSECOLS(contribution,$B68),_xlfn.CHOOSECOLS(workingdays,COUNTA($G67:V67)))</f>
        <v>0</v>
      </c>
      <c r="W68" s="157">
        <f>SUMPRODUCT(_xlfn.CHOOSECOLS(contribution,$B68),_xlfn.CHOOSECOLS(workingdays,COUNTA($G67:W67)))</f>
        <v>0</v>
      </c>
      <c r="X68" s="157">
        <f>SUMPRODUCT(_xlfn.CHOOSECOLS(contribution,$B68),_xlfn.CHOOSECOLS(workingdays,COUNTA($G67:X67)))</f>
        <v>0</v>
      </c>
      <c r="Y68" s="157">
        <f>SUMPRODUCT(_xlfn.CHOOSECOLS(contribution,$B68),_xlfn.CHOOSECOLS(workingdays,COUNTA($G67:Y67)))</f>
        <v>0</v>
      </c>
      <c r="Z68" s="157">
        <f>SUMPRODUCT(_xlfn.CHOOSECOLS(contribution,$B68),_xlfn.CHOOSECOLS(workingdays,COUNTA($G67:Z67)))</f>
        <v>0</v>
      </c>
      <c r="AA68" s="157">
        <f>SUMPRODUCT(_xlfn.CHOOSECOLS(contribution,$B68),_xlfn.CHOOSECOLS(workingdays,COUNTA($G67:AA67)))</f>
        <v>0</v>
      </c>
      <c r="AB68" s="157">
        <f>SUMPRODUCT(_xlfn.CHOOSECOLS(contribution,$B68),_xlfn.CHOOSECOLS(workingdays,COUNTA($G67:AB67)))</f>
        <v>0</v>
      </c>
      <c r="AC68" s="158">
        <f>SUMPRODUCT(_xlfn.CHOOSECOLS(contribution,$B68),_xlfn.CHOOSECOLS(workingdays,COUNTA($G67:AC67)))</f>
        <v>0</v>
      </c>
    </row>
  </sheetData>
  <mergeCells count="16">
    <mergeCell ref="D64:E64"/>
    <mergeCell ref="D65:E65"/>
    <mergeCell ref="D66:E66"/>
    <mergeCell ref="D67:E67"/>
    <mergeCell ref="D68:E68"/>
    <mergeCell ref="D58:E58"/>
    <mergeCell ref="D59:E59"/>
    <mergeCell ref="D60:E60"/>
    <mergeCell ref="D61:E61"/>
    <mergeCell ref="D62:E62"/>
    <mergeCell ref="D63:E63"/>
    <mergeCell ref="D10:D11"/>
    <mergeCell ref="E10:E11"/>
    <mergeCell ref="F10:F11"/>
    <mergeCell ref="B10:B11"/>
    <mergeCell ref="C10:C11"/>
  </mergeCells>
  <conditionalFormatting sqref="F12:F56">
    <cfRule type="containsBlanks" dxfId="0" priority="3">
      <formula>LEN(TRIM(F12))=0</formula>
    </cfRule>
  </conditionalFormatting>
  <dataValidations count="3">
    <dataValidation allowBlank="1" showErrorMessage="1" sqref="C5:C8 D12:E56 D59:D68" xr:uid="{71F3C950-C98C-46FB-83F5-185EEF9B0894}"/>
    <dataValidation type="date" allowBlank="1" showErrorMessage="1" sqref="E12:E56 D59" xr:uid="{B94F1D8F-A3B9-4E7F-B28C-215FD9CBE917}">
      <formula1>45292</formula1>
      <formula2>54789</formula2>
    </dataValidation>
    <dataValidation type="whole" allowBlank="1" showErrorMessage="1" sqref="F12:F56 F59:F68" xr:uid="{6CC4F4C2-A48A-444E-A657-15CDBD0859F0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PublicHolidays</vt:lpstr>
      <vt:lpstr>WorkSchedule</vt:lpstr>
      <vt:lpstr>MandaySchedule</vt:lpstr>
      <vt:lpstr>contribution</vt:lpstr>
      <vt:lpstr>holidays</vt:lpstr>
      <vt:lpstr>workingdays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2025-05-06T05:02:15Z</dcterms:created>
  <dcterms:modified xsi:type="dcterms:W3CDTF">2025-06-04T17:07:12Z</dcterms:modified>
</cp:coreProperties>
</file>