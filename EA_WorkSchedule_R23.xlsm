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kasikornbankgroup-my.sharepoint.com/personal/danusorn_s_kasikornbank_com/Documents/Desktop/"/>
    </mc:Choice>
  </mc:AlternateContent>
  <xr:revisionPtr revIDLastSave="2243" documentId="13_ncr:1_{7A903167-F083-48F0-97E2-5E9123C979B6}" xr6:coauthVersionLast="47" xr6:coauthVersionMax="47" xr10:uidLastSave="{FCD32361-2987-45CA-BE5E-078CBBDB233A}"/>
  <bookViews>
    <workbookView xWindow="-38510" yWindow="500" windowWidth="38620" windowHeight="21100" firstSheet="1" activeTab="2" xr2:uid="{3AAFA5A8-BE87-48E4-8D01-8808AB85EB7F}"/>
  </bookViews>
  <sheets>
    <sheet name="PublicHolidays" sheetId="1" state="hidden" r:id="rId1"/>
    <sheet name="Summary" sheetId="40" r:id="rId2"/>
    <sheet name="WorkSchedule" sheetId="20" r:id="rId3"/>
    <sheet name="MandaySchedule" sheetId="24" r:id="rId4"/>
  </sheets>
  <functionGroups builtInGroupCount="19"/>
  <definedNames>
    <definedName name="_xleta.AND" hidden="1" xlm="1">#NAME?</definedName>
    <definedName name="_xleta.COLUMN" hidden="1" xlm="1">#NAME?</definedName>
    <definedName name="_xleta.FIND" hidden="1" xlm="1">#NAME?</definedName>
    <definedName name="_xleta.MIN" hidden="1" xlm="1">#NAME?</definedName>
    <definedName name="_xleta.ROW" hidden="1" xlm="1">#NAME?</definedName>
    <definedName name="_xleta.WORKDAY" hidden="1" xlm="1">#NAME?</definedName>
    <definedName name="contribution">{0,0,0,0,0,0,0,0,0,0;0,0,0,0,0,0,0,0,0,0;0.5,0,0,0,0,0,0,0,0,0;0.5,0,0,0,0,0,0,0,0,0;0.5,0,0,0,0,0,0,0,0,0;0.5,0,0,0,0,0,0,0,0,0;0.5,0,0,0,0,0,0,0,0,0;0.5,0,0,0,0,0,0,0,0,0;0.5,0,0,0,0,0,0,0,0,0;0.5,0,0,0,0,0,0,0,0,0;0.5,0,0,0,0,0,0,0,0,0;0.5,0,0,0,0,0,0,0,0,0;0.5,0,0,0,0,0,0,0,0,0;0.5,0,0,0,0,0,0,0,0,0;0,0,0,0,0,0,0,0,0,0;0.25,0,0,0,0,0,0,0,0,0;1,0,0,0,0,0,0,0,0,0;1,0,0,0,0,0,0,0,0,0;1,0,0,0,0,0,0,0,0,0;0,0,0,0,0,0,0,0,0,0;0.25,0,0,0,0,0,0,0,0,0;0.25,0,0,0,0,0,0,0,0,0;0,0,0,0,0,0,0,0,0,0;0.25,0,0,0,0,0,0,0,0,0;1,0,0,0,0,0,0,0,0,0;1,0,0,0,0,0,0,0,0,0;0.25,0,0,0,0,0,0,0,0,0;0,0,0,0,0,0,0,0,0,0;0.25,0,0,0,0,0,0,0,0,0;0.125,0,0,0,0,0,0,0,0,0;0.125,0,0,0,0,0,0,0,0,0;0.25,0,0,0,0,0,0,0,0,0;0.25,0,0,0,0,0,0,0,0,0;0,0,0,0,0,0,0,0,0,0;0.25,0,0,0,0,0,0,0,0,0;1,0,0,0,0,0,0,0,0,0;1,0,0,0,0,0,0,0,0,0;1,0,0,0,0,0,0,0,0,0;1,0,0,0,0,0,0,0,0,0;0,0,0,0,0,0,0,0,0,0;0.875,0,0,0,0,0,0,0,0,0;0.25,0,0,0,0,0,0,0,0,0;0.25,0,0,0,0,0,0,0,0,0;1,0,0,0,0,0,0,0,0,0;1,0,0,0,0,0,0,0,0,0}</definedName>
    <definedName name="duration">WorkSchedule!$G$12:$G$56</definedName>
    <definedName name="effort">WorkSchedule!$U$12:$U$56</definedName>
    <definedName name="EffortType">MandaySchedule!$E$12:$E$21</definedName>
    <definedName name="holidays">PublicHolidays!$B$2:$B$74</definedName>
    <definedName name="manday">WorkSchedule!$V$12:$AE$56</definedName>
    <definedName name="members">MandaySchedule!$B$12:$B$21</definedName>
    <definedName name="workingdays">{16,19,21,19,19,19,21,19,22,21,20,9;16,19,21,19,19,19,21,19,22,21,20,9;3,0,0,0,0,0,0,0,0,0,0,0;0,3,0,0,0,0,0,0,0,0,0,0;0,0,3,0,0,0,0,0,0,0,0,0;0,0,0,3,0,0,0,0,0,0,0,0;0,0,0,0,3,0,0,0,0,0,0,0;0,0,0,0,0,3,0,0,0,0,0,0;0,0,0,0,0,0,3,0,0,0,0,0;0,0,0,0,0,0,0,3,0,0,0,0;0,0,0,0,0,0,0,0,3,0,0,0;0,0,0,0,0,0,0,0,0,3,0,0;0,0,0,0,0,0,0,0,0,0,3,0;0,0,0,0,0,0,0,0,0,0,0,3;0,19,21,19,19,10,0,0,0,0,0,0;0,2,0,0,0,0,0,0,0,0,0,0;0,0,2,0,0,0,0,0,0,0,0,0;0,0,0,0,4,0,0,0,0,0,0,0;0,0,0,0,0,2,0,0,0,0,0,0;0,0,11,18,0,0,0,0,0,0,0,0;0,0,2,0,0,0,0,0,0,0,0,0;0,0,0,2,0,0,0,0,0,0,0,0;0,19,21,19,19,18,0,0,0,0,0,0;0,2,0,0,0,0,0,0,0,0,0,0;0,0,0,4,0,0,0,0,0,0,0,0;0,0,0,0,5,0,0,0,0,0,0,0;0,0,0,0,0,2,0,0,0,0,0,0;0,0,11,19,19,19,10,0,0,0,0,0;0,0,2,0,0,0,0,0,0,0,0,0;0,0,0,0,5,5,0,0,0,0,0,0;0,0,0,0,0,10,0,0,0,0,0,0;0,0,0,0,0,1,0,0,0,0,0,0;0,0,0,0,0,0,1,0,0,0,0,0;0,19,21,19,19,19,21,19,22,3,0,0;0,2,0,0,0,0,0,0,0,0,0,0;0,0,2,0,0,0,0,0,0,0,0,0;0,0,0,0,1,0,0,0,0,0,0,0;0,0,0,0,0,0,3,0,0,0,0,0;0,0,0,0,0,0,0,0,0,3,0,0;0,0,21,19,19,13,0,0,0,0,0,0;0,0,10,0,0,0,0,0,0,0,0,0;0,0,0,0,5,0,0,0,0,0,0,0;0,0,0,0,0,2,0,0,0,0,0,0;0,0,0,0,0,3,0,0,0,0,0,0;0,0,0,0,0,5,0,0,0,0,0,0}</definedName>
  </definedNames>
  <calcPr calcId="191029"/>
  <extLst>
    <ext xmlns:x14="http://schemas.microsoft.com/office/spreadsheetml/2009/9/main" uri="{8193D73E-4604-4355-AFF4-8A2333D13BE4}">
      <x14:definedNames>
        <x14:definedName name="AutoProgress">
          <x14:argumentDescriptions count="4">
            <x14:argumentDescription index="0">is a serial date number that represents the start date</x14:argumentDescription>
            <x14:argumentDescription index="1">is a serial date number that represents the end date</x14:argumentDescription>
            <x14:argumentDescription index="2">is an optional array of one or more serial date numbers to  exclude from the working calendar, such as state and  federal holidays and floating holidays</x14:argumentDescription>
            <x14:argumentDescription index="3">is an optional serial date number that represents the  reference date (default=TODAY())</x14:argumentDescription>
          </x14:argumentDescriptions>
        </x14:definedName>
        <x14:definedName name="CompoundInterest">
          <x14:argumentDescriptions count="3">
            <x14:argumentDescription index="0">Principal: the starting amount of money</x14:argumentDescription>
            <x14:argumentDescription index="1">Rate: the annual interest rate (e.g., 0.05 for 5%)</x14:argumentDescription>
            <x14:argumentDescription index="2">Periods: number of periods to compound</x14:argumentDescription>
          </x14:argumentDescriptions>
        </x14:definedName>
        <x14:definedName name="CountWorkday">
          <x14:argumentDescriptions count="3">
            <x14:argumentDescription index="0">is a serial date number that represents the start date</x14:argumentDescription>
            <x14:argumentDescription index="1">is a serial date number that represents the end date</x14:argumentDescription>
            <x14:argumentDescription index="2">is an optional array of one or more serial date numbers to  exclude from the working calendar, such as state and  federal holidays and floating holidays</x14:argumentDescription>
          </x14:argumentDescriptions>
        </x14:definedName>
        <x14:definedName name="FinishDate">
          <x14:argumentDescriptions count="3">
            <x14:argumentDescription index="0">is a serial date number that represents the start date</x14:argumentDescription>
            <x14:argumentDescription index="1">is a serial date number that represents the start date</x14:argumentDescription>
            <x14:argumentDescription index="2">is an optional array of one or more serial date numbers to  exclude from the working calendar, such as state and  federal holidays and floating holidays</x14:argumentDescription>
          </x14:argumentDescriptions>
        </x14:definedName>
        <x14:definedName name="GetUsedRangeDown">
          <x14:argumentDescriptions count="2">
            <x14:argumentDescription index="0">is a row index</x14:argumentDescription>
            <x14:argumentDescription index="1">is a column index</x14:argumentDescription>
          </x14:argumentDescriptions>
        </x14:definedName>
        <x14:definedName name="startdate">
          <x14:argumentDescriptions count="3">
            <x14:argumentDescription index="0">is a serial date number that represents the start date</x14:argumentDescription>
            <x14:argumentDescription index="1">is an optional array of one or more serial date numbers to  exclude from the working calendar, such as state and  federal holidays and floating holidays</x14:argumentDescription>
            <x14:argumentDescription index="2">is an optional maximum number of calendar days or search  limit (default=365)</x14:argumentDescription>
          </x14:argumentDescriptions>
        </x14:definedName>
        <x14:definedName name="WeightedProgress">
          <x14:argumentDescriptions count="2">
            <x14:argumentDescription index="0">is a range containing percent progress of respective tasks</x14:argumentDescription>
            <x14:argumentDescription index="1">is a range containing number of working days of respective tasks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" i="20" l="1"/>
  <c r="D30" i="24" l="1" a="1"/>
  <c r="D30" i="24" s="1"/>
  <c r="D29" i="24" a="1"/>
  <c r="D29" i="24" s="1"/>
  <c r="D28" i="24" a="1"/>
  <c r="D28" i="24" s="1"/>
  <c r="D27" i="24" a="1"/>
  <c r="D27" i="24" s="1"/>
  <c r="D26" i="24" a="1"/>
  <c r="D26" i="24" s="1"/>
  <c r="H15" i="24"/>
  <c r="G15" i="24"/>
  <c r="B15" i="24"/>
  <c r="H14" i="24"/>
  <c r="G14" i="24"/>
  <c r="G13" i="24"/>
  <c r="H12" i="24"/>
  <c r="G12" i="24"/>
  <c r="I10" i="24"/>
  <c r="I12" i="24" s="1"/>
  <c r="H10" i="24"/>
  <c r="H13" i="24" s="1"/>
  <c r="R51" i="20"/>
  <c r="R45" i="20"/>
  <c r="R39" i="20"/>
  <c r="R34" i="20"/>
  <c r="R31" i="20"/>
  <c r="R26" i="20"/>
  <c r="D32" i="24" l="1"/>
  <c r="D31" i="24"/>
  <c r="I15" i="24"/>
  <c r="B16" i="24"/>
  <c r="I13" i="24"/>
  <c r="I14" i="24"/>
  <c r="J10" i="24"/>
  <c r="C5" i="20"/>
  <c r="C3" i="24" s="1" a="1"/>
  <c r="H12" i="20"/>
  <c r="B13" i="20"/>
  <c r="B14" i="20" s="1"/>
  <c r="B15" i="20" s="1"/>
  <c r="B16" i="20" s="1"/>
  <c r="B17" i="20" s="1"/>
  <c r="B18" i="20" s="1"/>
  <c r="C3" i="24" l="1"/>
  <c r="C4" i="24"/>
  <c r="C5" i="24"/>
  <c r="J12" i="24"/>
  <c r="J14" i="24"/>
  <c r="K10" i="24"/>
  <c r="J13" i="24"/>
  <c r="J15" i="24"/>
  <c r="K16" i="24"/>
  <c r="J16" i="24"/>
  <c r="G16" i="24"/>
  <c r="B17" i="24"/>
  <c r="I16" i="24"/>
  <c r="H16" i="24"/>
  <c r="B19" i="20"/>
  <c r="B20" i="20" s="1"/>
  <c r="B21" i="20" s="1"/>
  <c r="B22" i="20" s="1"/>
  <c r="B23" i="20" s="1"/>
  <c r="B24" i="20" s="1"/>
  <c r="B25" i="20" s="1"/>
  <c r="I53" i="20"/>
  <c r="I52" i="20"/>
  <c r="D46" i="20"/>
  <c r="D40" i="20"/>
  <c r="D35" i="20"/>
  <c r="H13" i="20"/>
  <c r="I50" i="20"/>
  <c r="I49" i="20"/>
  <c r="I48" i="20"/>
  <c r="I47" i="20"/>
  <c r="I46" i="20"/>
  <c r="I44" i="20"/>
  <c r="I43" i="20"/>
  <c r="I42" i="20"/>
  <c r="I41" i="20"/>
  <c r="I40" i="20"/>
  <c r="I38" i="20"/>
  <c r="I37" i="20"/>
  <c r="I36" i="20"/>
  <c r="I35" i="20"/>
  <c r="I33" i="20"/>
  <c r="I32" i="20"/>
  <c r="I30" i="20"/>
  <c r="I29" i="20"/>
  <c r="I28" i="20"/>
  <c r="I27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J36" i="20" a="1"/>
  <c r="J17" i="20" a="1"/>
  <c r="J14" i="20" a="1"/>
  <c r="J18" i="20" a="1"/>
  <c r="J38" i="20" a="1"/>
  <c r="J22" i="20" a="1"/>
  <c r="J28" i="20" a="1"/>
  <c r="J43" i="20" a="1"/>
  <c r="J53" i="20" a="1"/>
  <c r="J21" i="20" a="1"/>
  <c r="J49" i="20" a="1"/>
  <c r="J32" i="20" a="1"/>
  <c r="J37" i="20" a="1"/>
  <c r="J47" i="20" a="1"/>
  <c r="J23" i="20" a="1"/>
  <c r="J40" i="20" a="1"/>
  <c r="J16" i="20" a="1"/>
  <c r="J24" i="20" a="1"/>
  <c r="J25" i="20" a="1"/>
  <c r="J19" i="20" a="1"/>
  <c r="J52" i="20" a="1"/>
  <c r="J30" i="20" a="1"/>
  <c r="J44" i="20" a="1"/>
  <c r="J20" i="20" a="1"/>
  <c r="J29" i="20" a="1"/>
  <c r="J41" i="20" a="1"/>
  <c r="J42" i="20" a="1"/>
  <c r="J27" i="20" a="1"/>
  <c r="J33" i="20" a="1"/>
  <c r="J35" i="20" a="1"/>
  <c r="J46" i="20" a="1"/>
  <c r="J48" i="20" a="1"/>
  <c r="J50" i="20" a="1"/>
  <c r="J15" i="20" a="1"/>
  <c r="K14" i="24" l="1"/>
  <c r="K15" i="24"/>
  <c r="K13" i="24"/>
  <c r="L10" i="24"/>
  <c r="L17" i="24" s="1"/>
  <c r="K12" i="24"/>
  <c r="G17" i="24"/>
  <c r="J17" i="24"/>
  <c r="K17" i="24"/>
  <c r="B18" i="24"/>
  <c r="I17" i="24"/>
  <c r="H17" i="24"/>
  <c r="H14" i="20"/>
  <c r="R13" i="20"/>
  <c r="I45" i="20"/>
  <c r="F45" i="20" s="1"/>
  <c r="J53" i="20"/>
  <c r="J52" i="20"/>
  <c r="R52" i="20" s="1"/>
  <c r="I39" i="20"/>
  <c r="F39" i="20" s="1"/>
  <c r="I31" i="20"/>
  <c r="F31" i="20" s="1"/>
  <c r="I26" i="20"/>
  <c r="F26" i="20" s="1"/>
  <c r="I13" i="20"/>
  <c r="I34" i="20"/>
  <c r="F34" i="20" s="1"/>
  <c r="B26" i="20"/>
  <c r="J35" i="20"/>
  <c r="R35" i="20" s="1"/>
  <c r="J36" i="20"/>
  <c r="R36" i="20" s="1"/>
  <c r="J37" i="20"/>
  <c r="R37" i="20" s="1"/>
  <c r="J38" i="20"/>
  <c r="R38" i="20" s="1"/>
  <c r="J40" i="20"/>
  <c r="R40" i="20" s="1"/>
  <c r="J41" i="20"/>
  <c r="R41" i="20" s="1"/>
  <c r="J42" i="20"/>
  <c r="R42" i="20" s="1"/>
  <c r="J43" i="20"/>
  <c r="R43" i="20" s="1"/>
  <c r="J44" i="20"/>
  <c r="R44" i="20" s="1"/>
  <c r="J46" i="20"/>
  <c r="R46" i="20" s="1"/>
  <c r="J47" i="20"/>
  <c r="R47" i="20" s="1"/>
  <c r="J48" i="20"/>
  <c r="R48" i="20" s="1"/>
  <c r="J49" i="20"/>
  <c r="R49" i="20" s="1"/>
  <c r="J50" i="20"/>
  <c r="R50" i="20" s="1"/>
  <c r="J14" i="20"/>
  <c r="R14" i="20" s="1"/>
  <c r="J22" i="20"/>
  <c r="R22" i="20" s="1"/>
  <c r="J23" i="20"/>
  <c r="R23" i="20" s="1"/>
  <c r="J24" i="20"/>
  <c r="R24" i="20" s="1"/>
  <c r="J25" i="20"/>
  <c r="R25" i="20" s="1"/>
  <c r="J27" i="20"/>
  <c r="R27" i="20" s="1"/>
  <c r="J28" i="20"/>
  <c r="R28" i="20" s="1"/>
  <c r="J29" i="20"/>
  <c r="R29" i="20" s="1"/>
  <c r="J30" i="20"/>
  <c r="R30" i="20" s="1"/>
  <c r="J32" i="20"/>
  <c r="R32" i="20" s="1"/>
  <c r="J33" i="20"/>
  <c r="R33" i="20" s="1"/>
  <c r="J21" i="20"/>
  <c r="R21" i="20" s="1"/>
  <c r="J18" i="20"/>
  <c r="R18" i="20" s="1"/>
  <c r="J19" i="20"/>
  <c r="R19" i="20" s="1"/>
  <c r="J20" i="20"/>
  <c r="R20" i="20" s="1"/>
  <c r="J15" i="20"/>
  <c r="R15" i="20" s="1"/>
  <c r="J16" i="20"/>
  <c r="R16" i="20" s="1"/>
  <c r="J17" i="20"/>
  <c r="R17" i="20" s="1"/>
  <c r="L16" i="20" a="1"/>
  <c r="K18" i="24" l="1"/>
  <c r="J18" i="24"/>
  <c r="G18" i="24"/>
  <c r="B19" i="24"/>
  <c r="I18" i="24"/>
  <c r="H18" i="24"/>
  <c r="L18" i="24"/>
  <c r="H15" i="20"/>
  <c r="L12" i="24"/>
  <c r="M10" i="24"/>
  <c r="L13" i="24"/>
  <c r="L15" i="24"/>
  <c r="L14" i="24"/>
  <c r="L16" i="24"/>
  <c r="I54" i="20"/>
  <c r="R53" i="20"/>
  <c r="L16" i="20"/>
  <c r="M16" i="20" s="1"/>
  <c r="K52" i="20"/>
  <c r="K53" i="20"/>
  <c r="J45" i="20"/>
  <c r="F13" i="20"/>
  <c r="J31" i="20"/>
  <c r="J39" i="20"/>
  <c r="J34" i="20"/>
  <c r="J26" i="20"/>
  <c r="G26" i="20" s="1"/>
  <c r="H26" i="20"/>
  <c r="H27" i="20" s="1"/>
  <c r="H28" i="20" s="1"/>
  <c r="H29" i="20" s="1"/>
  <c r="H30" i="20" s="1"/>
  <c r="B27" i="20"/>
  <c r="J13" i="20"/>
  <c r="G13" i="20" s="1"/>
  <c r="K15" i="20"/>
  <c r="K20" i="20"/>
  <c r="K18" i="20"/>
  <c r="K25" i="20"/>
  <c r="K48" i="20"/>
  <c r="K38" i="20"/>
  <c r="K30" i="20"/>
  <c r="K43" i="20"/>
  <c r="K29" i="20"/>
  <c r="K42" i="20"/>
  <c r="K21" i="20"/>
  <c r="K24" i="20"/>
  <c r="K47" i="20"/>
  <c r="K37" i="20"/>
  <c r="K49" i="20"/>
  <c r="K33" i="20"/>
  <c r="K23" i="20"/>
  <c r="K46" i="20"/>
  <c r="K36" i="20"/>
  <c r="K16" i="20"/>
  <c r="K14" i="20"/>
  <c r="K28" i="20"/>
  <c r="K50" i="20"/>
  <c r="K41" i="20"/>
  <c r="K19" i="20"/>
  <c r="K27" i="20"/>
  <c r="K40" i="20"/>
  <c r="K17" i="20"/>
  <c r="K32" i="20"/>
  <c r="K22" i="20"/>
  <c r="K44" i="20"/>
  <c r="K35" i="20"/>
  <c r="J54" i="20" a="1"/>
  <c r="S16" i="20" a="1"/>
  <c r="S16" i="20" l="1"/>
  <c r="J54" i="20"/>
  <c r="R54" i="20" s="1"/>
  <c r="N10" i="24"/>
  <c r="M12" i="24"/>
  <c r="M13" i="24"/>
  <c r="M14" i="24"/>
  <c r="M15" i="24"/>
  <c r="M16" i="24"/>
  <c r="M17" i="24"/>
  <c r="M18" i="24"/>
  <c r="G19" i="24"/>
  <c r="J19" i="24"/>
  <c r="N19" i="24"/>
  <c r="K19" i="24"/>
  <c r="M19" i="24"/>
  <c r="L19" i="24"/>
  <c r="B20" i="24"/>
  <c r="I19" i="24"/>
  <c r="H19" i="24"/>
  <c r="H16" i="20"/>
  <c r="K31" i="20"/>
  <c r="G31" i="20"/>
  <c r="K45" i="20"/>
  <c r="G45" i="20"/>
  <c r="K34" i="20"/>
  <c r="G34" i="20"/>
  <c r="K39" i="20"/>
  <c r="G39" i="20"/>
  <c r="B28" i="20"/>
  <c r="K26" i="20"/>
  <c r="F55" i="20" l="1"/>
  <c r="I55" i="20" s="1"/>
  <c r="K54" i="20"/>
  <c r="N13" i="24"/>
  <c r="N15" i="24"/>
  <c r="N12" i="24"/>
  <c r="N14" i="24"/>
  <c r="O10" i="24"/>
  <c r="N16" i="24"/>
  <c r="N17" i="24"/>
  <c r="N18" i="24"/>
  <c r="K20" i="24"/>
  <c r="N20" i="24"/>
  <c r="J20" i="24"/>
  <c r="O20" i="24"/>
  <c r="G20" i="24"/>
  <c r="B21" i="24"/>
  <c r="I20" i="24"/>
  <c r="H20" i="24"/>
  <c r="M20" i="24"/>
  <c r="L20" i="24"/>
  <c r="H17" i="20"/>
  <c r="B29" i="20"/>
  <c r="J55" i="20" a="1"/>
  <c r="J55" i="20" l="1"/>
  <c r="F56" i="20" s="1"/>
  <c r="I56" i="20" s="1"/>
  <c r="H18" i="20"/>
  <c r="O21" i="24"/>
  <c r="G21" i="24"/>
  <c r="N21" i="24"/>
  <c r="N22" i="24" s="1"/>
  <c r="K21" i="24"/>
  <c r="K22" i="24" s="1"/>
  <c r="M21" i="24"/>
  <c r="M22" i="24" s="1"/>
  <c r="J21" i="24"/>
  <c r="J22" i="24" s="1"/>
  <c r="L21" i="24"/>
  <c r="L22" i="24" s="1"/>
  <c r="I21" i="24"/>
  <c r="I22" i="24" s="1"/>
  <c r="P21" i="24"/>
  <c r="H21" i="24"/>
  <c r="H22" i="24" s="1"/>
  <c r="O15" i="24"/>
  <c r="O12" i="24"/>
  <c r="O14" i="24"/>
  <c r="O13" i="24"/>
  <c r="P10" i="24"/>
  <c r="O16" i="24"/>
  <c r="O17" i="24"/>
  <c r="O18" i="24"/>
  <c r="O19" i="24"/>
  <c r="B30" i="20"/>
  <c r="J56" i="20" a="1"/>
  <c r="K55" i="20" l="1"/>
  <c r="R55" i="20"/>
  <c r="J56" i="20"/>
  <c r="K56" i="20" s="1"/>
  <c r="I51" i="20"/>
  <c r="G22" i="24"/>
  <c r="P12" i="24"/>
  <c r="Q10" i="24"/>
  <c r="P14" i="24"/>
  <c r="P13" i="24"/>
  <c r="P15" i="24"/>
  <c r="P16" i="24"/>
  <c r="P17" i="24"/>
  <c r="P18" i="24"/>
  <c r="P19" i="24"/>
  <c r="P20" i="24"/>
  <c r="H19" i="20"/>
  <c r="O22" i="24"/>
  <c r="B31" i="20"/>
  <c r="J51" i="20" l="1"/>
  <c r="R56" i="20"/>
  <c r="Q12" i="24"/>
  <c r="R10" i="24"/>
  <c r="Q14" i="24"/>
  <c r="Q13" i="24"/>
  <c r="Q15" i="24"/>
  <c r="Q16" i="24"/>
  <c r="Q17" i="24"/>
  <c r="Q18" i="24"/>
  <c r="Q19" i="24"/>
  <c r="Q20" i="24"/>
  <c r="Q21" i="24"/>
  <c r="P22" i="24"/>
  <c r="H20" i="20"/>
  <c r="I12" i="20"/>
  <c r="F12" i="20" s="1"/>
  <c r="F51" i="20"/>
  <c r="B32" i="20"/>
  <c r="H31" i="20"/>
  <c r="H32" i="20" s="1"/>
  <c r="H33" i="20" s="1"/>
  <c r="L52" i="20" a="1"/>
  <c r="L28" i="20" a="1"/>
  <c r="L47" i="20" a="1"/>
  <c r="L40" i="20" a="1"/>
  <c r="L38" i="20" a="1"/>
  <c r="L56" i="20" a="1"/>
  <c r="L14" i="20" a="1"/>
  <c r="L41" i="20" a="1"/>
  <c r="L48" i="20" a="1"/>
  <c r="L25" i="20" a="1"/>
  <c r="L43" i="20" a="1"/>
  <c r="L53" i="20" a="1"/>
  <c r="L24" i="20" a="1"/>
  <c r="L35" i="20" a="1"/>
  <c r="L19" i="20" a="1"/>
  <c r="L17" i="20" a="1"/>
  <c r="L55" i="20" a="1"/>
  <c r="L20" i="20" a="1"/>
  <c r="L27" i="20" a="1"/>
  <c r="L36" i="20" a="1"/>
  <c r="L21" i="20" a="1"/>
  <c r="L23" i="20" a="1"/>
  <c r="L30" i="20" a="1"/>
  <c r="L22" i="20" a="1"/>
  <c r="L42" i="20" a="1"/>
  <c r="L50" i="20" a="1"/>
  <c r="L15" i="20" a="1"/>
  <c r="L49" i="20" a="1"/>
  <c r="L32" i="20" a="1"/>
  <c r="L44" i="20" a="1"/>
  <c r="L46" i="20" a="1"/>
  <c r="L18" i="20" a="1"/>
  <c r="L54" i="20" a="1"/>
  <c r="L33" i="20" a="1"/>
  <c r="L37" i="20" a="1"/>
  <c r="L29" i="20" a="1"/>
  <c r="G51" i="20" l="1"/>
  <c r="J12" i="20"/>
  <c r="C7" i="20" s="1"/>
  <c r="K51" i="20"/>
  <c r="R13" i="24"/>
  <c r="R15" i="24"/>
  <c r="R14" i="24"/>
  <c r="S10" i="24"/>
  <c r="R12" i="24"/>
  <c r="R16" i="24"/>
  <c r="R17" i="24"/>
  <c r="R18" i="24"/>
  <c r="R19" i="24"/>
  <c r="R20" i="24"/>
  <c r="R21" i="24"/>
  <c r="H21" i="20"/>
  <c r="Q22" i="24"/>
  <c r="L27" i="20"/>
  <c r="M27" i="20" s="1"/>
  <c r="L38" i="20"/>
  <c r="M38" i="20" s="1"/>
  <c r="L37" i="20"/>
  <c r="L22" i="20"/>
  <c r="L43" i="20"/>
  <c r="L14" i="20"/>
  <c r="L15" i="20"/>
  <c r="M15" i="20" s="1"/>
  <c r="L23" i="20"/>
  <c r="L30" i="20"/>
  <c r="M30" i="20" s="1"/>
  <c r="L35" i="20"/>
  <c r="L25" i="20"/>
  <c r="M25" i="20" s="1"/>
  <c r="L17" i="20"/>
  <c r="M17" i="20" s="1"/>
  <c r="L47" i="20"/>
  <c r="M47" i="20" s="1"/>
  <c r="L21" i="20"/>
  <c r="M21" i="20" s="1"/>
  <c r="L41" i="20"/>
  <c r="L20" i="20"/>
  <c r="M20" i="20" s="1"/>
  <c r="L42" i="20"/>
  <c r="M42" i="20" s="1"/>
  <c r="L36" i="20"/>
  <c r="M36" i="20" s="1"/>
  <c r="L46" i="20"/>
  <c r="L53" i="20"/>
  <c r="M53" i="20" s="1"/>
  <c r="L50" i="20"/>
  <c r="M50" i="20" s="1"/>
  <c r="L18" i="20"/>
  <c r="L54" i="20"/>
  <c r="M54" i="20" s="1"/>
  <c r="L48" i="20"/>
  <c r="M48" i="20" s="1"/>
  <c r="L40" i="20"/>
  <c r="L52" i="20"/>
  <c r="M52" i="20" s="1"/>
  <c r="L56" i="20"/>
  <c r="M56" i="20" s="1"/>
  <c r="L44" i="20"/>
  <c r="M44" i="20" s="1"/>
  <c r="L49" i="20"/>
  <c r="M49" i="20" s="1"/>
  <c r="L24" i="20"/>
  <c r="L28" i="20"/>
  <c r="L55" i="20"/>
  <c r="M55" i="20" s="1"/>
  <c r="L33" i="20"/>
  <c r="M33" i="20" s="1"/>
  <c r="L32" i="20"/>
  <c r="M32" i="20" s="1"/>
  <c r="L19" i="20"/>
  <c r="M19" i="20" s="1"/>
  <c r="L29" i="20"/>
  <c r="B33" i="20"/>
  <c r="S42" i="20" a="1"/>
  <c r="S52" i="20" a="1"/>
  <c r="S50" i="20" a="1"/>
  <c r="L26" i="20" a="1"/>
  <c r="S32" i="20" a="1"/>
  <c r="S49" i="20" a="1"/>
  <c r="M31" i="20" a="1"/>
  <c r="S25" i="20" a="1"/>
  <c r="S21" i="20" a="1"/>
  <c r="S48" i="20" a="1"/>
  <c r="L51" i="20" a="1"/>
  <c r="S20" i="20" a="1"/>
  <c r="M51" i="20" a="1"/>
  <c r="S27" i="20" a="1"/>
  <c r="S47" i="20" a="1"/>
  <c r="S33" i="20" a="1"/>
  <c r="L31" i="20" a="1"/>
  <c r="S37" i="20" a="1"/>
  <c r="S17" i="20" a="1"/>
  <c r="S55" i="20" a="1"/>
  <c r="L13" i="20" a="1"/>
  <c r="S56" i="20" a="1"/>
  <c r="L39" i="20" a="1"/>
  <c r="L45" i="20" a="1"/>
  <c r="S30" i="20" a="1"/>
  <c r="S19" i="20" a="1"/>
  <c r="S53" i="20" a="1"/>
  <c r="S15" i="20" a="1"/>
  <c r="L34" i="20" a="1"/>
  <c r="S44" i="20" a="1"/>
  <c r="S54" i="20" a="1"/>
  <c r="S38" i="20" a="1"/>
  <c r="S36" i="20" a="1"/>
  <c r="S48" i="20" l="1"/>
  <c r="S15" i="20"/>
  <c r="S21" i="20"/>
  <c r="S49" i="20"/>
  <c r="S50" i="20"/>
  <c r="S47" i="20"/>
  <c r="S55" i="20"/>
  <c r="S17" i="20"/>
  <c r="S37" i="20"/>
  <c r="S53" i="20"/>
  <c r="S56" i="20"/>
  <c r="S32" i="20"/>
  <c r="S52" i="20"/>
  <c r="S36" i="20"/>
  <c r="S38" i="20"/>
  <c r="S54" i="20"/>
  <c r="S44" i="20"/>
  <c r="S19" i="20"/>
  <c r="S25" i="20"/>
  <c r="S33" i="20"/>
  <c r="S42" i="20"/>
  <c r="S30" i="20"/>
  <c r="S27" i="20"/>
  <c r="S20" i="20"/>
  <c r="C6" i="20"/>
  <c r="C6" i="24" s="1"/>
  <c r="C7" i="24"/>
  <c r="R22" i="24"/>
  <c r="G12" i="20"/>
  <c r="K12" i="20"/>
  <c r="H22" i="20"/>
  <c r="S14" i="24"/>
  <c r="S13" i="24"/>
  <c r="T10" i="24"/>
  <c r="S15" i="24"/>
  <c r="S12" i="24"/>
  <c r="S16" i="24"/>
  <c r="S17" i="24"/>
  <c r="S18" i="24"/>
  <c r="S19" i="24"/>
  <c r="S20" i="24"/>
  <c r="S21" i="24"/>
  <c r="O42" i="20"/>
  <c r="P50" i="20"/>
  <c r="O44" i="20"/>
  <c r="O37" i="20"/>
  <c r="O36" i="20"/>
  <c r="O38" i="20"/>
  <c r="O54" i="20"/>
  <c r="N32" i="20"/>
  <c r="O33" i="20"/>
  <c r="O30" i="20"/>
  <c r="N48" i="20"/>
  <c r="M14" i="20"/>
  <c r="M43" i="20"/>
  <c r="M40" i="20"/>
  <c r="M41" i="20"/>
  <c r="M35" i="20"/>
  <c r="M28" i="20"/>
  <c r="M29" i="20"/>
  <c r="M23" i="20"/>
  <c r="M24" i="20"/>
  <c r="M18" i="20"/>
  <c r="M22" i="20"/>
  <c r="N33" i="20"/>
  <c r="P33" i="20"/>
  <c r="O32" i="20"/>
  <c r="P56" i="20"/>
  <c r="N47" i="20"/>
  <c r="N56" i="20"/>
  <c r="O47" i="20"/>
  <c r="P49" i="20"/>
  <c r="L13" i="20"/>
  <c r="L45" i="20"/>
  <c r="L31" i="20"/>
  <c r="L51" i="20"/>
  <c r="L34" i="20"/>
  <c r="L39" i="20"/>
  <c r="L26" i="20"/>
  <c r="N54" i="20"/>
  <c r="N15" i="20"/>
  <c r="P15" i="20"/>
  <c r="O15" i="20"/>
  <c r="O49" i="20"/>
  <c r="N49" i="20"/>
  <c r="O56" i="20"/>
  <c r="P47" i="20"/>
  <c r="N50" i="20"/>
  <c r="P44" i="20"/>
  <c r="N44" i="20"/>
  <c r="P53" i="20"/>
  <c r="O53" i="20"/>
  <c r="N53" i="20"/>
  <c r="N19" i="20"/>
  <c r="P19" i="20"/>
  <c r="O19" i="20"/>
  <c r="N25" i="20"/>
  <c r="O25" i="20"/>
  <c r="P25" i="20"/>
  <c r="N37" i="20"/>
  <c r="P37" i="20"/>
  <c r="N55" i="20"/>
  <c r="O55" i="20"/>
  <c r="P55" i="20"/>
  <c r="O48" i="20"/>
  <c r="P48" i="20"/>
  <c r="M46" i="20"/>
  <c r="O50" i="20"/>
  <c r="P54" i="20"/>
  <c r="N36" i="20"/>
  <c r="P36" i="20"/>
  <c r="N38" i="20"/>
  <c r="P38" i="20"/>
  <c r="P42" i="20"/>
  <c r="N42" i="20"/>
  <c r="N30" i="20"/>
  <c r="P30" i="20"/>
  <c r="P16" i="20"/>
  <c r="N16" i="20"/>
  <c r="O16" i="20"/>
  <c r="P32" i="20"/>
  <c r="M51" i="20"/>
  <c r="M31" i="20"/>
  <c r="P52" i="20"/>
  <c r="N52" i="20"/>
  <c r="O52" i="20"/>
  <c r="B34" i="20"/>
  <c r="S18" i="20" a="1"/>
  <c r="S31" i="20" a="1"/>
  <c r="S22" i="20" a="1"/>
  <c r="S29" i="20" a="1"/>
  <c r="M13" i="20" a="1"/>
  <c r="S40" i="20" a="1"/>
  <c r="M34" i="20" a="1"/>
  <c r="S51" i="20" a="1"/>
  <c r="S28" i="20" a="1"/>
  <c r="M26" i="20" a="1"/>
  <c r="S46" i="20" a="1"/>
  <c r="S41" i="20" a="1"/>
  <c r="S23" i="20" a="1"/>
  <c r="M39" i="20" a="1"/>
  <c r="S35" i="20" a="1"/>
  <c r="S14" i="20" a="1"/>
  <c r="M45" i="20" a="1"/>
  <c r="S24" i="20" a="1"/>
  <c r="S43" i="20" a="1"/>
  <c r="S22" i="20" l="1"/>
  <c r="S18" i="20"/>
  <c r="S43" i="20"/>
  <c r="S24" i="20"/>
  <c r="S14" i="20"/>
  <c r="S23" i="20"/>
  <c r="S40" i="20"/>
  <c r="S29" i="20"/>
  <c r="S31" i="20"/>
  <c r="S46" i="20"/>
  <c r="S28" i="20"/>
  <c r="S51" i="20"/>
  <c r="S35" i="20"/>
  <c r="S41" i="20"/>
  <c r="M13" i="20"/>
  <c r="C8" i="20"/>
  <c r="C8" i="24" s="1"/>
  <c r="H23" i="20"/>
  <c r="S22" i="24"/>
  <c r="U10" i="24"/>
  <c r="T13" i="24"/>
  <c r="T12" i="24"/>
  <c r="T15" i="24"/>
  <c r="T14" i="24"/>
  <c r="T16" i="24"/>
  <c r="T17" i="24"/>
  <c r="T18" i="24"/>
  <c r="T19" i="24"/>
  <c r="T20" i="24"/>
  <c r="T21" i="24"/>
  <c r="O41" i="20"/>
  <c r="N40" i="20"/>
  <c r="O31" i="20"/>
  <c r="O23" i="20"/>
  <c r="O43" i="20"/>
  <c r="N18" i="20"/>
  <c r="O24" i="20"/>
  <c r="P20" i="20"/>
  <c r="O14" i="20"/>
  <c r="O29" i="20"/>
  <c r="P17" i="20"/>
  <c r="O28" i="20"/>
  <c r="O21" i="20"/>
  <c r="P35" i="20"/>
  <c r="N14" i="20"/>
  <c r="P14" i="20"/>
  <c r="P43" i="20"/>
  <c r="N43" i="20"/>
  <c r="N41" i="20"/>
  <c r="N27" i="20"/>
  <c r="P21" i="20"/>
  <c r="N21" i="20"/>
  <c r="M39" i="20"/>
  <c r="O40" i="20"/>
  <c r="N28" i="20"/>
  <c r="N17" i="20"/>
  <c r="P41" i="20"/>
  <c r="P40" i="20"/>
  <c r="M34" i="20"/>
  <c r="N24" i="20"/>
  <c r="N22" i="20"/>
  <c r="P24" i="20"/>
  <c r="O35" i="20"/>
  <c r="O22" i="20"/>
  <c r="P29" i="20"/>
  <c r="N35" i="20"/>
  <c r="M26" i="20"/>
  <c r="N23" i="20"/>
  <c r="O27" i="20"/>
  <c r="N20" i="20"/>
  <c r="P27" i="20"/>
  <c r="P23" i="20"/>
  <c r="N29" i="20"/>
  <c r="O20" i="20"/>
  <c r="P28" i="20"/>
  <c r="O18" i="20"/>
  <c r="P18" i="20"/>
  <c r="P22" i="20"/>
  <c r="O17" i="20"/>
  <c r="Q33" i="20"/>
  <c r="Q32" i="20"/>
  <c r="Q47" i="20"/>
  <c r="Q54" i="20"/>
  <c r="Q44" i="20"/>
  <c r="Q56" i="20"/>
  <c r="P51" i="20"/>
  <c r="Q53" i="20"/>
  <c r="Q30" i="20"/>
  <c r="Q38" i="20"/>
  <c r="Q37" i="20"/>
  <c r="O51" i="20"/>
  <c r="N51" i="20"/>
  <c r="Q48" i="20"/>
  <c r="Q49" i="20"/>
  <c r="M45" i="20"/>
  <c r="P31" i="20"/>
  <c r="Q16" i="20"/>
  <c r="Q36" i="20"/>
  <c r="N31" i="20"/>
  <c r="Q55" i="20"/>
  <c r="Q25" i="20"/>
  <c r="Q15" i="20"/>
  <c r="Q50" i="20"/>
  <c r="Q19" i="20"/>
  <c r="Q52" i="20"/>
  <c r="Q42" i="20"/>
  <c r="P46" i="20"/>
  <c r="O46" i="20"/>
  <c r="N46" i="20"/>
  <c r="H34" i="20"/>
  <c r="H35" i="20" s="1"/>
  <c r="H36" i="20" s="1"/>
  <c r="H37" i="20" s="1"/>
  <c r="H38" i="20" s="1"/>
  <c r="B35" i="20"/>
  <c r="S13" i="20" a="1"/>
  <c r="S26" i="20" a="1"/>
  <c r="S34" i="20" a="1"/>
  <c r="S39" i="20" a="1"/>
  <c r="S45" i="20" a="1"/>
  <c r="S45" i="20" l="1"/>
  <c r="S13" i="20"/>
  <c r="S39" i="20"/>
  <c r="S34" i="20"/>
  <c r="S26" i="20"/>
  <c r="T22" i="24"/>
  <c r="V10" i="24"/>
  <c r="U13" i="24"/>
  <c r="U12" i="24"/>
  <c r="U14" i="24"/>
  <c r="U15" i="24"/>
  <c r="U16" i="24"/>
  <c r="U17" i="24"/>
  <c r="U18" i="24"/>
  <c r="U19" i="24"/>
  <c r="U20" i="24"/>
  <c r="U21" i="24"/>
  <c r="H24" i="20"/>
  <c r="O13" i="20"/>
  <c r="O39" i="20"/>
  <c r="O26" i="20"/>
  <c r="O34" i="20"/>
  <c r="Q14" i="20"/>
  <c r="P34" i="20"/>
  <c r="Q41" i="20"/>
  <c r="Q43" i="20"/>
  <c r="Q21" i="20"/>
  <c r="Q20" i="20"/>
  <c r="Q17" i="20"/>
  <c r="Q40" i="20"/>
  <c r="Q35" i="20"/>
  <c r="Q28" i="20"/>
  <c r="N39" i="20"/>
  <c r="Q29" i="20"/>
  <c r="P39" i="20"/>
  <c r="N26" i="20"/>
  <c r="Q24" i="20"/>
  <c r="Q27" i="20"/>
  <c r="Q18" i="20"/>
  <c r="P26" i="20"/>
  <c r="Q22" i="20"/>
  <c r="N34" i="20"/>
  <c r="Q23" i="20"/>
  <c r="Q31" i="20"/>
  <c r="Q51" i="20"/>
  <c r="Q46" i="20"/>
  <c r="P45" i="20"/>
  <c r="O45" i="20"/>
  <c r="N45" i="20"/>
  <c r="B36" i="20"/>
  <c r="H25" i="20" l="1"/>
  <c r="V13" i="24"/>
  <c r="V14" i="24"/>
  <c r="V15" i="24"/>
  <c r="V12" i="24"/>
  <c r="W10" i="24"/>
  <c r="V16" i="24"/>
  <c r="V17" i="24"/>
  <c r="V18" i="24"/>
  <c r="V19" i="24"/>
  <c r="V20" i="24"/>
  <c r="V21" i="24"/>
  <c r="U22" i="24"/>
  <c r="Q34" i="20"/>
  <c r="Q39" i="20"/>
  <c r="Q26" i="20"/>
  <c r="Q45" i="20"/>
  <c r="B37" i="20"/>
  <c r="W15" i="24" l="1"/>
  <c r="W14" i="24"/>
  <c r="W12" i="24"/>
  <c r="X10" i="24"/>
  <c r="W13" i="24"/>
  <c r="W16" i="24"/>
  <c r="W17" i="24"/>
  <c r="W18" i="24"/>
  <c r="W19" i="24"/>
  <c r="W20" i="24"/>
  <c r="W21" i="24"/>
  <c r="V22" i="24"/>
  <c r="B38" i="20"/>
  <c r="X12" i="24" l="1"/>
  <c r="X14" i="24"/>
  <c r="F14" i="24" s="1"/>
  <c r="X13" i="24"/>
  <c r="F13" i="24" s="1"/>
  <c r="X15" i="24"/>
  <c r="F15" i="24" s="1"/>
  <c r="X16" i="24"/>
  <c r="F16" i="24" s="1"/>
  <c r="X17" i="24"/>
  <c r="F17" i="24" s="1"/>
  <c r="X18" i="24"/>
  <c r="F18" i="24" s="1"/>
  <c r="X19" i="24"/>
  <c r="F19" i="24" s="1"/>
  <c r="X20" i="24"/>
  <c r="F20" i="24" s="1"/>
  <c r="X21" i="24"/>
  <c r="F21" i="24" s="1"/>
  <c r="W22" i="24"/>
  <c r="B39" i="20"/>
  <c r="X22" i="24" l="1"/>
  <c r="F12" i="24"/>
  <c r="F22" i="24" s="1"/>
  <c r="H39" i="20"/>
  <c r="H40" i="20" s="1"/>
  <c r="H41" i="20" s="1"/>
  <c r="H42" i="20" s="1"/>
  <c r="H43" i="20" s="1"/>
  <c r="H44" i="20" s="1"/>
  <c r="B40" i="20"/>
  <c r="B41" i="20" l="1"/>
  <c r="B42" i="20" l="1"/>
  <c r="B43" i="20" l="1"/>
  <c r="B44" i="20" l="1"/>
  <c r="K13" i="20"/>
  <c r="B45" i="20" l="1"/>
  <c r="N13" i="20"/>
  <c r="P13" i="20"/>
  <c r="M12" i="20" a="1"/>
  <c r="L12" i="20" a="1"/>
  <c r="L12" i="20" l="1"/>
  <c r="M12" i="20"/>
  <c r="B46" i="20"/>
  <c r="H45" i="20"/>
  <c r="H46" i="20" s="1"/>
  <c r="H47" i="20" s="1"/>
  <c r="H48" i="20" s="1"/>
  <c r="H49" i="20" s="1"/>
  <c r="H50" i="20" s="1"/>
  <c r="Q13" i="20"/>
  <c r="S12" i="20" a="1"/>
  <c r="S12" i="20" l="1"/>
  <c r="N12" i="20"/>
  <c r="O12" i="20"/>
  <c r="P12" i="20"/>
  <c r="B47" i="20"/>
  <c r="Q12" i="20" l="1"/>
  <c r="B48" i="20"/>
  <c r="B49" i="20" l="1"/>
  <c r="B50" i="20" l="1"/>
  <c r="B51" i="20" l="1"/>
  <c r="B52" i="20" l="1"/>
  <c r="H51" i="20"/>
  <c r="H52" i="20" l="1"/>
  <c r="B53" i="20"/>
  <c r="B54" i="20" l="1"/>
  <c r="H53" i="20"/>
  <c r="H54" i="20" l="1"/>
  <c r="B55" i="20"/>
  <c r="B56" i="20" l="1"/>
  <c r="H55" i="20"/>
  <c r="H56" i="20" l="1"/>
  <c r="G11" i="24" l="1"/>
  <c r="H11" i="24" s="1"/>
  <c r="I11" i="24" s="1"/>
  <c r="J11" i="24" s="1"/>
  <c r="K11" i="24" s="1"/>
  <c r="L11" i="24" s="1"/>
  <c r="M11" i="24" s="1"/>
  <c r="N11" i="24" s="1"/>
  <c r="O11" i="24" s="1"/>
  <c r="P11" i="24" s="1"/>
  <c r="Q11" i="24" s="1"/>
  <c r="R11" i="24" s="1"/>
  <c r="S11" i="24" s="1"/>
  <c r="T11" i="24" s="1"/>
  <c r="U11" i="24" s="1"/>
  <c r="V11" i="24" s="1"/>
  <c r="W11" i="24" s="1"/>
  <c r="X11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Danusorn Sitdhirasdr</author>
  </authors>
  <commentList>
    <comment ref="F10" authorId="0" shapeId="0" xr:uid="{E5A0AF8F-82C7-43E8-886A-01998CF02B97}">
      <text>
        <r>
          <rPr>
            <b/>
            <sz val="10"/>
            <color indexed="81"/>
            <rFont val="Tahoma"/>
            <family val="2"/>
          </rPr>
          <t>Expected Starting Date</t>
        </r>
        <r>
          <rPr>
            <sz val="10"/>
            <color indexed="81"/>
            <rFont val="Tahoma"/>
            <family val="2"/>
          </rPr>
          <t xml:space="preserve">
"exp_start" represents the starting time, occurring in the morning of the specified date. This date will be adjusted if it falls on a weekend or holiday.</t>
        </r>
      </text>
    </comment>
    <comment ref="G10" authorId="0" shapeId="0" xr:uid="{20C6FBAD-2033-474F-B6A0-68F41F34ABF8}">
      <text>
        <r>
          <rPr>
            <sz val="10"/>
            <color indexed="81"/>
            <rFont val="Tahoma"/>
            <family val="2"/>
          </rPr>
          <t>Number of working days</t>
        </r>
      </text>
    </comment>
    <comment ref="I10" authorId="0" shapeId="0" xr:uid="{8E8362D5-6C57-485D-9BAB-AB1AC6014ECF}">
      <text>
        <r>
          <rPr>
            <b/>
            <sz val="10"/>
            <color indexed="81"/>
            <rFont val="Tahoma"/>
            <family val="2"/>
          </rPr>
          <t>Starting Date</t>
        </r>
        <r>
          <rPr>
            <sz val="10"/>
            <color indexed="81"/>
            <rFont val="Tahoma"/>
            <family val="2"/>
          </rPr>
          <t xml:space="preserve">
"start" represents the adjusted start time, taking both weekends and holidays into account.</t>
        </r>
      </text>
    </comment>
    <comment ref="J10" authorId="0" shapeId="0" xr:uid="{8B12946E-23C2-4766-B987-C033C5516594}">
      <text>
        <r>
          <rPr>
            <b/>
            <sz val="10"/>
            <color indexed="81"/>
            <rFont val="Tahoma"/>
            <family val="2"/>
          </rPr>
          <t>Finishing Date</t>
        </r>
        <r>
          <rPr>
            <sz val="10"/>
            <color indexed="81"/>
            <rFont val="Tahoma"/>
            <family val="2"/>
          </rPr>
          <t xml:space="preserve">
"Finish" represents the finishing time, which occurs in the morning of the specified date.</t>
        </r>
      </text>
    </comment>
    <comment ref="L10" authorId="0" shapeId="0" xr:uid="{638469C7-CDC9-43CA-A70D-DE723E96F71C}">
      <text>
        <r>
          <rPr>
            <sz val="10"/>
            <color indexed="81"/>
            <rFont val="Tahoma"/>
            <family val="2"/>
          </rPr>
          <t>Percent target completion (%)</t>
        </r>
      </text>
    </comment>
    <comment ref="M10" authorId="0" shapeId="0" xr:uid="{DFAF4069-95A8-431E-8A77-CBCA17EBA91C}">
      <text>
        <r>
          <rPr>
            <sz val="10"/>
            <color indexed="81"/>
            <rFont val="Tahoma"/>
            <family val="2"/>
          </rPr>
          <t>Percent actual completion (%)</t>
        </r>
      </text>
    </comment>
    <comment ref="U10" authorId="0" shapeId="0" xr:uid="{749A26B6-D0A5-4DAB-9E03-AADD3C363ACC}">
      <text>
        <r>
          <rPr>
            <b/>
            <sz val="10"/>
            <color indexed="81"/>
            <rFont val="Calibri"/>
            <family val="2"/>
          </rPr>
          <t>Break-down effort estimation</t>
        </r>
        <r>
          <rPr>
            <sz val="10"/>
            <color indexed="81"/>
            <rFont val="Calibri"/>
            <family val="2"/>
          </rPr>
          <t xml:space="preserve"> 
(A) Pre-implementation: Initial Analysis
(B) Implementation: RA to PVT
(C) Management: Project manager
(D) Other (if any)
(E) Operation / Maintenance (MA)</t>
        </r>
      </text>
    </comment>
    <comment ref="C28" authorId="0" shapeId="0" xr:uid="{34D014D9-17EA-465B-B532-79A9DC0D6F5A}">
      <text>
        <r>
          <rPr>
            <sz val="10"/>
            <color indexed="81"/>
            <rFont val="Tahoma"/>
            <family val="2"/>
          </rPr>
          <t>• Potential opportunities to synergize operational teams to deliver greater effectiveness and efficiencies
• Embed scientific methodologies for capacity planning</t>
        </r>
      </text>
    </comment>
    <comment ref="C33" authorId="0" shapeId="0" xr:uid="{E428AA79-883E-49DE-B51E-EFAC26428650}">
      <text>
        <r>
          <rPr>
            <sz val="10"/>
            <color indexed="81"/>
            <rFont val="Tahoma"/>
            <family val="2"/>
          </rPr>
          <t>• STIP Approval Rates were at 55%, recommended changes to thresholds (based on risk appetite) can improve approvals to between 67% to 73%
• Changes to certain configurations settings can further improve approvals</t>
        </r>
      </text>
    </comment>
    <comment ref="C36" authorId="0" shapeId="0" xr:uid="{747F7E00-E27F-4835-A21A-B8FA377DB0CC}">
      <text>
        <r>
          <rPr>
            <sz val="10"/>
            <color indexed="81"/>
            <rFont val="Tahoma"/>
            <family val="2"/>
          </rPr>
          <t>• Final metric suite to be finalized in mid-April (69 metrics shortlisted)
• Data mapping workshop planned for end-April/early-May
• Metric repository (definitions &amp; algorithms) under draft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<sst xmlns="http://schemas.openxmlformats.org/spreadsheetml/2006/main" count="283" uniqueCount="181">
  <si>
    <t>Holiday</t>
  </si>
  <si>
    <t>Date</t>
  </si>
  <si>
    <t>​ชดเชยวันขึ้นปีใหม่</t>
  </si>
  <si>
    <t>​วันมาฆบูชา</t>
  </si>
  <si>
    <t>วันจักรี</t>
  </si>
  <si>
    <t>​วันสงกรานต์            </t>
  </si>
  <si>
    <t>ชดเชย​วันแรงงานแห่งชาติ</t>
  </si>
  <si>
    <t>​วันฉัตรมงคล</t>
  </si>
  <si>
    <t>​ชดเชยวันวิสาขบูชา</t>
  </si>
  <si>
    <t>​วันเฉลิมฯ สมเด็จพระนางเจ้าสุทิดา พระบรมราชินี</t>
  </si>
  <si>
    <t>​วันอาสาฬหบูชา</t>
  </si>
  <si>
    <t>​วันเฉลิมฯ สมเด็จพระเจ้าอยู่หัว</t>
  </si>
  <si>
    <t>วันหยุดพิเศษ (เพิ่มเติม)</t>
  </si>
  <si>
    <t>​วันเฉลิมฯ พระบรมราชชนนีพันปีหลวง และวันแม่แห่งชาติ</t>
  </si>
  <si>
    <t>outing</t>
  </si>
  <si>
    <t>​วันคล้ายวันสวรรคต พระบาทสมเด็จ รัชกาลที่ 9</t>
  </si>
  <si>
    <t>​วันหยุดพิเศษ (เพิ่มเติม)</t>
  </si>
  <si>
    <t>​ชดเชยวันปิยมหาราช</t>
  </si>
  <si>
    <t>​วันเฉลิมฯ พระบาทสมเด็จ รัชกาลที่ 9</t>
  </si>
  <si>
    <t>​ชดเชยวันรัฐธรรมนูญ</t>
  </si>
  <si>
    <t>ชดเชยวันสิ้นปีและวันขึ้นปีใหม่</t>
  </si>
  <si>
    <t>วันมาฆบูชา</t>
  </si>
  <si>
    <t>วันแรงงานแห่งชาติ</t>
  </si>
  <si>
    <t>วันฉัตรมงคล</t>
  </si>
  <si>
    <t>วันวิสาขบูชา</t>
  </si>
  <si>
    <t>วันอาสาฬหบูชา</t>
  </si>
  <si>
    <t>ชดเชย​วันเฉลิมฯ พระบรมราชชนนีพันปีหลวง และวันแม่แห่งชาติ</t>
  </si>
  <si>
    <t>วันปิยมหาราช</t>
  </si>
  <si>
    <t>CSR + FR Outing</t>
  </si>
  <si>
    <t>วันขึ้นปีใหม่</t>
  </si>
  <si>
    <t>ชดเชยวันจักรี</t>
  </si>
  <si>
    <t>ชดเชยวันฉัตรมงคล (วันอาทิตย์ที่ 4 พฤษภาคม 2568)</t>
  </si>
  <si>
    <t>ชดเชยวันวิสาขบูชา (วันอาทิตย์ที่ 11 พฤษภาคม 2568)</t>
  </si>
  <si>
    <t>วันหยุดพิเศษ</t>
  </si>
  <si>
    <t>วันรัฐธรรมนูญ</t>
  </si>
  <si>
    <t>วันสิ้นปี</t>
  </si>
  <si>
    <t>exp_start</t>
  </si>
  <si>
    <t>PJ2502_0137</t>
  </si>
  <si>
    <t>Description</t>
  </si>
  <si>
    <t>Status</t>
  </si>
  <si>
    <t>Start</t>
  </si>
  <si>
    <t>Target</t>
  </si>
  <si>
    <t>Actual</t>
  </si>
  <si>
    <t>Duration</t>
  </si>
  <si>
    <t>Delay</t>
  </si>
  <si>
    <t>Complete</t>
  </si>
  <si>
    <t>Task ID</t>
  </si>
  <si>
    <t>Workshop 1 : Fraud Framework</t>
  </si>
  <si>
    <t>Final Delivery : Presentation &amp; Documentation (Tentative)</t>
  </si>
  <si>
    <t>Recommended configurations</t>
  </si>
  <si>
    <t>Workshop : calculation &amp; data sources</t>
  </si>
  <si>
    <t>Final Delivery : Presentation (Tentative)</t>
  </si>
  <si>
    <t>VPTL – Credit &amp; Debit Portfolio</t>
  </si>
  <si>
    <t xml:space="preserve">2-week Testing by Visa : Credit Card </t>
  </si>
  <si>
    <t>2-week Testing by Visa : Debit Card</t>
  </si>
  <si>
    <t>Workshop 1 : Authentication Overview &amp; Decision Strategy</t>
  </si>
  <si>
    <t>Workshop 4 : TBC (Tentative)</t>
  </si>
  <si>
    <t>Not Started</t>
  </si>
  <si>
    <t>In Progress</t>
  </si>
  <si>
    <t>Short Description</t>
  </si>
  <si>
    <t>Label</t>
  </si>
  <si>
    <t>Percent</t>
  </si>
  <si>
    <t>Kick-Off Meeting</t>
  </si>
  <si>
    <t>VSRM - Credit Portfolio</t>
  </si>
  <si>
    <t>VSRM - Round 1</t>
  </si>
  <si>
    <t>VSRM - Round 2</t>
  </si>
  <si>
    <t>VSRM - Round 3</t>
  </si>
  <si>
    <t>VSRM - Round 4</t>
  </si>
  <si>
    <t>VSRM - Round 5</t>
  </si>
  <si>
    <t>VSRM - Round 6</t>
  </si>
  <si>
    <t>VSRM - Round 7</t>
  </si>
  <si>
    <t>VSRM - Round 8</t>
  </si>
  <si>
    <t>VSRM - Round 9</t>
  </si>
  <si>
    <t>VSRM - Round 10</t>
  </si>
  <si>
    <t>VSRM - Round 11</t>
  </si>
  <si>
    <t>VSRM - Round 12</t>
  </si>
  <si>
    <t>Kick-Off meeting</t>
  </si>
  <si>
    <t>WS1</t>
  </si>
  <si>
    <t>WS2</t>
  </si>
  <si>
    <t>Final Delivery</t>
  </si>
  <si>
    <t>Workshop</t>
  </si>
  <si>
    <t>Kick-Off meetings</t>
  </si>
  <si>
    <t xml:space="preserve">Fraud Risk Analytics </t>
  </si>
  <si>
    <t>Credit Card Recommendations</t>
  </si>
  <si>
    <t>Debit Card Recommendations</t>
  </si>
  <si>
    <t>Workshop 2 : Org. Design &amp; Sourcing</t>
  </si>
  <si>
    <t>Metric shortlisting</t>
  </si>
  <si>
    <t>Fraud Upskilling Workshops</t>
  </si>
  <si>
    <t>Metric shortlisting process</t>
  </si>
  <si>
    <t>Credit Card STIP Optimization</t>
  </si>
  <si>
    <t>Finish</t>
  </si>
  <si>
    <t>Workshop 3 : Fraud Risk and Authorization</t>
  </si>
  <si>
    <t>Workshop 2 : Analytics and MIS Suite</t>
  </si>
  <si>
    <t>WS1 (4 mods)</t>
  </si>
  <si>
    <t>WS2 (1 mod)</t>
  </si>
  <si>
    <t>WS3 (5 mods)</t>
  </si>
  <si>
    <t>WS4 (5 mods)</t>
  </si>
  <si>
    <t>360° Enterprise Fraud Management</t>
  </si>
  <si>
    <t>VCAS Feasibility</t>
  </si>
  <si>
    <t>Business Feasibility</t>
  </si>
  <si>
    <t>Technical Feasibility</t>
  </si>
  <si>
    <t>Business Feasibility (Template &amp; Assumptions)</t>
  </si>
  <si>
    <t>Technical Feasibility (define target state architecture and development plan)</t>
  </si>
  <si>
    <t>Revise business feasibility given</t>
  </si>
  <si>
    <t>Material preparation for IT investment</t>
  </si>
  <si>
    <t>IT investment (prep)</t>
  </si>
  <si>
    <t>Project Information</t>
  </si>
  <si>
    <t>Code</t>
  </si>
  <si>
    <t>Name</t>
  </si>
  <si>
    <t>Visa Fraud Project</t>
  </si>
  <si>
    <t>Asof</t>
  </si>
  <si>
    <t>VSRM R1</t>
  </si>
  <si>
    <t>VSRM R2</t>
  </si>
  <si>
    <t>VSRM R3</t>
  </si>
  <si>
    <t>VSRM R4</t>
  </si>
  <si>
    <t>VSRM R5</t>
  </si>
  <si>
    <t>VSRM R6</t>
  </si>
  <si>
    <t>VSRM R7</t>
  </si>
  <si>
    <t>VSRM R8</t>
  </si>
  <si>
    <t>VSRM R9</t>
  </si>
  <si>
    <t>VSRM R10</t>
  </si>
  <si>
    <t>VSRM R11</t>
  </si>
  <si>
    <t>VSRM R12</t>
  </si>
  <si>
    <t>Recommendation from Visa</t>
  </si>
  <si>
    <t>Visa's assessment</t>
  </si>
  <si>
    <t>2-week testing (Debit)</t>
  </si>
  <si>
    <t>2-week testing (Credit)</t>
  </si>
  <si>
    <t>Group</t>
  </si>
  <si>
    <t>Revise Business feasibility</t>
  </si>
  <si>
    <t>(P1) VSRM - Credit Portfolio</t>
  </si>
  <si>
    <t>(P2) Enterprise Fraud Mgmt.</t>
  </si>
  <si>
    <t>(P3) STIP Optimization</t>
  </si>
  <si>
    <t xml:space="preserve">(P4) Fraud Risk Analytics </t>
  </si>
  <si>
    <t>(P5) VPTL – Credit &amp; Debit</t>
  </si>
  <si>
    <t>(P6) Upskilling Workshops</t>
  </si>
  <si>
    <t>(P7) VCAS (Authentication)</t>
  </si>
  <si>
    <t>Deliverables</t>
  </si>
  <si>
    <t>Calendar
Days</t>
  </si>
  <si>
    <t>Member</t>
  </si>
  <si>
    <t>Role</t>
  </si>
  <si>
    <t>Danusorn Sitdhirasdr</t>
  </si>
  <si>
    <t>Member1</t>
  </si>
  <si>
    <t>Member2</t>
  </si>
  <si>
    <t>Member3</t>
  </si>
  <si>
    <t>Member4</t>
  </si>
  <si>
    <t>Member5</t>
  </si>
  <si>
    <t>Member6</t>
  </si>
  <si>
    <t>Member7</t>
  </si>
  <si>
    <t>Member8</t>
  </si>
  <si>
    <t>Member9</t>
  </si>
  <si>
    <t>Squad Lead</t>
  </si>
  <si>
    <t>Visible</t>
  </si>
  <si>
    <t>Effort
Group</t>
  </si>
  <si>
    <t>Hide</t>
  </si>
  <si>
    <t>D</t>
  </si>
  <si>
    <t>B</t>
  </si>
  <si>
    <t>ID</t>
  </si>
  <si>
    <t>Effort Type</t>
  </si>
  <si>
    <t>Man-day</t>
  </si>
  <si>
    <t>Manage</t>
  </si>
  <si>
    <t>Grand Total</t>
  </si>
  <si>
    <t xml:space="preserve">Break-down effort estimation </t>
  </si>
  <si>
    <t>item</t>
  </si>
  <si>
    <t>Manday</t>
  </si>
  <si>
    <t>A</t>
  </si>
  <si>
    <t xml:space="preserve">Pre-implementation: Initial Analysis </t>
  </si>
  <si>
    <t>Implementation: RA to PVT</t>
  </si>
  <si>
    <t>C</t>
  </si>
  <si>
    <t>Management: Project manager</t>
  </si>
  <si>
    <t>Other (if any)</t>
  </si>
  <si>
    <t>E</t>
  </si>
  <si>
    <t>Operation / Maintenance (MA)</t>
  </si>
  <si>
    <t>Implementation Effort (A to D)</t>
  </si>
  <si>
    <t>Total Effort (A to E)</t>
  </si>
  <si>
    <t>Nak</t>
  </si>
  <si>
    <t>Credit Recom.</t>
  </si>
  <si>
    <t>Debit Recom.</t>
  </si>
  <si>
    <t>Config. Recom.</t>
  </si>
  <si>
    <t>Work Schedule Version 2.3</t>
  </si>
  <si>
    <t>Overall Project</t>
  </si>
  <si>
    <t>Man-days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</si>
</sst>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87" formatCode="_(* #,##0_);_(* \(#,##0\);_(* &quot;-&quot;??_);_(@_)"/>
    <numFmt numFmtId="188" formatCode="_(* #,##0.00_);_(* \(#,##0.00\);_(* &quot;-&quot;??_);_(@_)"/>
    <numFmt numFmtId="189" formatCode="_-* #,##0_-;\-* #,##0_-;_-* &quot;-&quot;??_-;_-@_-"/>
    <numFmt numFmtId="190" formatCode="_-* #,##0.0_-;\-* #,##0.0_-;_-* &quot;-&quot;??_-;_-@_-"/>
    <numFmt numFmtId="191" formatCode="[$-409]mmm\-yy;@"/>
    <numFmt numFmtId="192" formatCode="#,##0\ &quot;days&quot;"/>
    <numFmt numFmtId="193" formatCode="&quot;M&quot;00"/>
  </numFmts>
  <fonts count="25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10"/>
      <color theme="1"/>
      <name val="Calibri"/>
      <family val="2"/>
    </font>
    <font>
      <b/>
      <sz val="9"/>
      <color theme="1" tint="0.249977111117893"/>
      <name val="Calibri"/>
      <family val="2"/>
    </font>
    <font>
      <b/>
      <sz val="10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1" tint="0.499984740745262"/>
      <name val="Calibri"/>
      <family val="2"/>
    </font>
    <font>
      <sz val="10"/>
      <color theme="1" tint="4.9989318521683403E-2"/>
      <name val="Calibri"/>
      <family val="2"/>
    </font>
    <font>
      <sz val="10"/>
      <color theme="1" tint="0.499984740745262"/>
      <name val="Calibri"/>
      <family val="2"/>
    </font>
    <font>
      <b/>
      <sz val="10"/>
      <color theme="1"/>
      <name val="Calibri"/>
      <family val="2"/>
    </font>
    <font>
      <sz val="8"/>
      <name val="Tahoma"/>
      <family val="2"/>
      <scheme val="minor"/>
    </font>
    <font>
      <b/>
      <sz val="10"/>
      <color rgb="FF0000FF"/>
      <name val="Calibri"/>
      <family val="2"/>
    </font>
    <font>
      <b/>
      <sz val="10"/>
      <color rgb="FF000000"/>
      <name val="Calibri"/>
      <family val="2"/>
    </font>
    <font>
      <sz val="10"/>
      <color theme="1" tint="0.249977111117893"/>
      <name val="Calibri"/>
      <family val="2"/>
    </font>
    <font>
      <sz val="10"/>
      <color theme="0"/>
      <name val="Calibri"/>
      <family val="2"/>
    </font>
    <font>
      <b/>
      <sz val="10"/>
      <color rgb="FF444444"/>
      <name val="Calibri"/>
      <family val="2"/>
    </font>
    <font>
      <sz val="10"/>
      <color rgb="FF444444"/>
      <name val="Calibri"/>
      <family val="2"/>
    </font>
    <font>
      <b/>
      <sz val="10"/>
      <color indexed="81"/>
      <name val="Calibri"/>
      <family val="2"/>
    </font>
    <font>
      <sz val="10"/>
      <color indexed="81"/>
      <name val="Calibri"/>
      <family val="2"/>
    </font>
    <font>
      <sz val="10"/>
      <name val="Calibri"/>
      <family val="2"/>
    </font>
    <font>
      <b/>
      <sz val="10"/>
      <color theme="1" tint="4.9989318521683403E-2"/>
      <name val="Calibri"/>
      <family val="2"/>
    </font>
    <font>
      <b/>
      <sz val="10"/>
      <name val="Calibri"/>
      <family val="2"/>
    </font>
    <font>
      <b/>
      <sz val="9"/>
      <color theme="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D8FFD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B9CFC"/>
        <bgColor indexed="64"/>
      </patternFill>
    </fill>
    <fill>
      <patternFill patternType="solid">
        <fgColor rgb="FF55E6C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0.499984740745262"/>
      </left>
      <right/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0.49998474074526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499984740745262"/>
      </left>
      <right/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4.9989318521683403E-2"/>
      </bottom>
      <diagonal/>
    </border>
    <border>
      <left style="thin">
        <color theme="0" tint="-0.499984740745262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indexed="64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0.49998474074526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0.499984740745262"/>
      </right>
      <top style="thin">
        <color theme="0" tint="-4.9989318521683403E-2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/>
      <diagonal/>
    </border>
    <border>
      <left/>
      <right style="thin">
        <color theme="0" tint="-0.499984740745262"/>
      </right>
      <top style="thin">
        <color indexed="64"/>
      </top>
      <bottom/>
      <diagonal/>
    </border>
    <border>
      <left style="thin">
        <color indexed="64"/>
      </left>
      <right style="thin">
        <color theme="0" tint="-0.499984740745262"/>
      </right>
      <top/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theme="0" tint="-4.9989318521683403E-2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1" fillId="0" borderId="0" applyFont="0" applyFill="0" applyBorder="0" applyAlignment="0" applyProtection="0"/>
  </cellStyleXfs>
  <cellXfs count="191">
    <xf numFmtId="0" fontId="0" fillId="0" borderId="0" xfId="0"/>
    <xf numFmtId="0" fontId="4" fillId="0" borderId="0" xfId="0" applyFont="1" applyAlignment="1">
      <alignment vertical="center"/>
    </xf>
    <xf numFmtId="1" fontId="9" fillId="0" borderId="3" xfId="0" applyNumberFormat="1" applyFont="1" applyBorder="1" applyAlignment="1">
      <alignment horizontal="center" vertical="top" wrapText="1"/>
    </xf>
    <xf numFmtId="49" fontId="9" fillId="0" borderId="4" xfId="0" applyNumberFormat="1" applyFont="1" applyBorder="1" applyAlignment="1">
      <alignment horizontal="left" vertical="top" wrapText="1"/>
    </xf>
    <xf numFmtId="14" fontId="9" fillId="0" borderId="4" xfId="0" applyNumberFormat="1" applyFont="1" applyBorder="1" applyAlignment="1">
      <alignment horizontal="center" vertical="top"/>
    </xf>
    <xf numFmtId="187" fontId="9" fillId="0" borderId="4" xfId="3" applyNumberFormat="1" applyFont="1" applyFill="1" applyBorder="1" applyAlignment="1">
      <alignment vertical="top"/>
    </xf>
    <xf numFmtId="14" fontId="10" fillId="0" borderId="4" xfId="0" applyNumberFormat="1" applyFont="1" applyBorder="1" applyAlignment="1">
      <alignment horizontal="center" vertical="top"/>
    </xf>
    <xf numFmtId="189" fontId="10" fillId="0" borderId="4" xfId="1" applyNumberFormat="1" applyFont="1" applyBorder="1" applyAlignment="1">
      <alignment horizontal="center" vertical="top"/>
    </xf>
    <xf numFmtId="0" fontId="10" fillId="0" borderId="4" xfId="1" applyNumberFormat="1" applyFont="1" applyBorder="1" applyAlignment="1">
      <alignment horizontal="left" vertical="top" shrinkToFit="1"/>
    </xf>
    <xf numFmtId="1" fontId="9" fillId="0" borderId="9" xfId="0" applyNumberFormat="1" applyFont="1" applyBorder="1" applyAlignment="1">
      <alignment horizontal="center" vertical="top" wrapText="1"/>
    </xf>
    <xf numFmtId="14" fontId="9" fillId="0" borderId="10" xfId="0" applyNumberFormat="1" applyFont="1" applyBorder="1" applyAlignment="1">
      <alignment horizontal="center" vertical="top"/>
    </xf>
    <xf numFmtId="187" fontId="9" fillId="0" borderId="10" xfId="3" applyNumberFormat="1" applyFont="1" applyFill="1" applyBorder="1" applyAlignment="1">
      <alignment vertical="top"/>
    </xf>
    <xf numFmtId="14" fontId="10" fillId="0" borderId="10" xfId="0" applyNumberFormat="1" applyFont="1" applyBorder="1" applyAlignment="1">
      <alignment horizontal="center" vertical="top"/>
    </xf>
    <xf numFmtId="189" fontId="10" fillId="0" borderId="10" xfId="1" applyNumberFormat="1" applyFont="1" applyBorder="1" applyAlignment="1">
      <alignment horizontal="center" vertical="top"/>
    </xf>
    <xf numFmtId="0" fontId="10" fillId="0" borderId="10" xfId="1" applyNumberFormat="1" applyFont="1" applyBorder="1" applyAlignment="1">
      <alignment horizontal="left" vertical="top" shrinkToFit="1"/>
    </xf>
    <xf numFmtId="1" fontId="9" fillId="0" borderId="7" xfId="0" applyNumberFormat="1" applyFont="1" applyBorder="1" applyAlignment="1">
      <alignment horizontal="center" vertical="top" wrapText="1"/>
    </xf>
    <xf numFmtId="14" fontId="9" fillId="0" borderId="8" xfId="0" applyNumberFormat="1" applyFont="1" applyBorder="1" applyAlignment="1">
      <alignment horizontal="center" vertical="top"/>
    </xf>
    <xf numFmtId="187" fontId="9" fillId="0" borderId="8" xfId="3" applyNumberFormat="1" applyFont="1" applyFill="1" applyBorder="1" applyAlignment="1">
      <alignment vertical="top"/>
    </xf>
    <xf numFmtId="14" fontId="10" fillId="0" borderId="8" xfId="0" applyNumberFormat="1" applyFont="1" applyBorder="1" applyAlignment="1">
      <alignment horizontal="center" vertical="top"/>
    </xf>
    <xf numFmtId="189" fontId="10" fillId="0" borderId="8" xfId="1" applyNumberFormat="1" applyFont="1" applyBorder="1" applyAlignment="1">
      <alignment horizontal="center" vertical="top"/>
    </xf>
    <xf numFmtId="0" fontId="10" fillId="0" borderId="8" xfId="1" applyNumberFormat="1" applyFont="1" applyBorder="1" applyAlignment="1">
      <alignment horizontal="left" vertical="top" shrinkToFit="1"/>
    </xf>
    <xf numFmtId="1" fontId="9" fillId="0" borderId="5" xfId="0" applyNumberFormat="1" applyFont="1" applyBorder="1" applyAlignment="1">
      <alignment horizontal="center" vertical="top" wrapText="1"/>
    </xf>
    <xf numFmtId="14" fontId="9" fillId="0" borderId="6" xfId="0" applyNumberFormat="1" applyFont="1" applyBorder="1" applyAlignment="1">
      <alignment horizontal="center" vertical="top"/>
    </xf>
    <xf numFmtId="187" fontId="9" fillId="0" borderId="6" xfId="3" applyNumberFormat="1" applyFont="1" applyFill="1" applyBorder="1" applyAlignment="1">
      <alignment vertical="top"/>
    </xf>
    <xf numFmtId="14" fontId="10" fillId="0" borderId="6" xfId="0" applyNumberFormat="1" applyFont="1" applyBorder="1" applyAlignment="1">
      <alignment horizontal="center" vertical="top"/>
    </xf>
    <xf numFmtId="189" fontId="10" fillId="0" borderId="6" xfId="1" applyNumberFormat="1" applyFont="1" applyBorder="1" applyAlignment="1">
      <alignment horizontal="center" vertical="top"/>
    </xf>
    <xf numFmtId="0" fontId="10" fillId="0" borderId="6" xfId="1" applyNumberFormat="1" applyFont="1" applyBorder="1" applyAlignment="1">
      <alignment horizontal="left" vertical="top" shrinkToFit="1"/>
    </xf>
    <xf numFmtId="9" fontId="10" fillId="0" borderId="4" xfId="2" applyFont="1" applyBorder="1" applyAlignment="1">
      <alignment horizontal="center" vertical="top"/>
    </xf>
    <xf numFmtId="9" fontId="9" fillId="0" borderId="4" xfId="2" applyFont="1" applyFill="1" applyBorder="1" applyAlignment="1">
      <alignment horizontal="center" vertical="top"/>
    </xf>
    <xf numFmtId="9" fontId="10" fillId="0" borderId="10" xfId="2" applyFont="1" applyBorder="1" applyAlignment="1">
      <alignment horizontal="center" vertical="top"/>
    </xf>
    <xf numFmtId="9" fontId="9" fillId="0" borderId="10" xfId="2" applyFont="1" applyFill="1" applyBorder="1" applyAlignment="1">
      <alignment horizontal="center" vertical="top"/>
    </xf>
    <xf numFmtId="9" fontId="10" fillId="0" borderId="8" xfId="2" applyFont="1" applyBorder="1" applyAlignment="1">
      <alignment horizontal="center" vertical="top"/>
    </xf>
    <xf numFmtId="9" fontId="9" fillId="0" borderId="8" xfId="2" applyFont="1" applyFill="1" applyBorder="1" applyAlignment="1">
      <alignment horizontal="center" vertical="top"/>
    </xf>
    <xf numFmtId="9" fontId="10" fillId="0" borderId="6" xfId="2" applyFont="1" applyBorder="1" applyAlignment="1">
      <alignment horizontal="center" vertical="top"/>
    </xf>
    <xf numFmtId="9" fontId="9" fillId="0" borderId="6" xfId="2" applyFont="1" applyFill="1" applyBorder="1" applyAlignment="1">
      <alignment horizontal="center" vertical="top"/>
    </xf>
    <xf numFmtId="0" fontId="9" fillId="0" borderId="4" xfId="0" applyFont="1" applyBorder="1" applyAlignment="1">
      <alignment horizontal="left" vertical="top" wrapText="1"/>
    </xf>
    <xf numFmtId="0" fontId="9" fillId="0" borderId="10" xfId="0" applyFont="1" applyBorder="1" applyAlignment="1">
      <alignment horizontal="left" vertical="top" wrapText="1"/>
    </xf>
    <xf numFmtId="0" fontId="9" fillId="0" borderId="8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 wrapText="1"/>
    </xf>
    <xf numFmtId="0" fontId="11" fillId="0" borderId="0" xfId="0" applyFont="1" applyAlignment="1">
      <alignment vertical="center"/>
    </xf>
    <xf numFmtId="1" fontId="11" fillId="0" borderId="3" xfId="0" applyNumberFormat="1" applyFont="1" applyBorder="1" applyAlignment="1">
      <alignment horizontal="center" vertical="top" wrapText="1"/>
    </xf>
    <xf numFmtId="0" fontId="11" fillId="0" borderId="4" xfId="0" applyFont="1" applyBorder="1" applyAlignment="1">
      <alignment horizontal="left" vertical="top" wrapText="1"/>
    </xf>
    <xf numFmtId="14" fontId="11" fillId="0" borderId="4" xfId="0" applyNumberFormat="1" applyFont="1" applyBorder="1" applyAlignment="1">
      <alignment horizontal="center" vertical="top"/>
    </xf>
    <xf numFmtId="187" fontId="11" fillId="0" borderId="4" xfId="3" applyNumberFormat="1" applyFont="1" applyFill="1" applyBorder="1" applyAlignment="1">
      <alignment vertical="top"/>
    </xf>
    <xf numFmtId="189" fontId="11" fillId="0" borderId="4" xfId="1" applyNumberFormat="1" applyFont="1" applyBorder="1" applyAlignment="1">
      <alignment horizontal="center" vertical="top"/>
    </xf>
    <xf numFmtId="9" fontId="11" fillId="0" borderId="4" xfId="2" applyFont="1" applyBorder="1" applyAlignment="1">
      <alignment horizontal="center" vertical="top"/>
    </xf>
    <xf numFmtId="9" fontId="11" fillId="0" borderId="4" xfId="2" applyFont="1" applyFill="1" applyBorder="1" applyAlignment="1">
      <alignment horizontal="center" vertical="top"/>
    </xf>
    <xf numFmtId="0" fontId="11" fillId="0" borderId="4" xfId="1" applyNumberFormat="1" applyFont="1" applyBorder="1" applyAlignment="1">
      <alignment horizontal="left" vertical="top" shrinkToFit="1"/>
    </xf>
    <xf numFmtId="1" fontId="11" fillId="0" borderId="18" xfId="0" applyNumberFormat="1" applyFont="1" applyBorder="1" applyAlignment="1">
      <alignment horizontal="center" vertical="top" wrapText="1"/>
    </xf>
    <xf numFmtId="0" fontId="11" fillId="0" borderId="19" xfId="0" applyFont="1" applyBorder="1" applyAlignment="1">
      <alignment horizontal="left" vertical="top" wrapText="1"/>
    </xf>
    <xf numFmtId="14" fontId="11" fillId="0" borderId="19" xfId="0" applyNumberFormat="1" applyFont="1" applyBorder="1" applyAlignment="1">
      <alignment horizontal="center" vertical="top"/>
    </xf>
    <xf numFmtId="187" fontId="11" fillId="0" borderId="19" xfId="3" applyNumberFormat="1" applyFont="1" applyFill="1" applyBorder="1" applyAlignment="1">
      <alignment vertical="top"/>
    </xf>
    <xf numFmtId="189" fontId="11" fillId="0" borderId="19" xfId="1" applyNumberFormat="1" applyFont="1" applyBorder="1" applyAlignment="1">
      <alignment horizontal="center" vertical="top"/>
    </xf>
    <xf numFmtId="9" fontId="11" fillId="0" borderId="19" xfId="2" applyFont="1" applyBorder="1" applyAlignment="1">
      <alignment horizontal="center" vertical="top"/>
    </xf>
    <xf numFmtId="9" fontId="11" fillId="0" borderId="19" xfId="2" applyFont="1" applyFill="1" applyBorder="1" applyAlignment="1">
      <alignment horizontal="center" vertical="top"/>
    </xf>
    <xf numFmtId="0" fontId="11" fillId="0" borderId="19" xfId="1" applyNumberFormat="1" applyFont="1" applyBorder="1" applyAlignment="1">
      <alignment horizontal="left" vertical="top" shrinkToFit="1"/>
    </xf>
    <xf numFmtId="1" fontId="11" fillId="0" borderId="3" xfId="0" applyNumberFormat="1" applyFont="1" applyBorder="1" applyAlignment="1">
      <alignment horizontal="left" vertical="top" wrapText="1"/>
    </xf>
    <xf numFmtId="1" fontId="11" fillId="0" borderId="2" xfId="0" applyNumberFormat="1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center" indent="1"/>
    </xf>
    <xf numFmtId="14" fontId="10" fillId="0" borderId="13" xfId="0" applyNumberFormat="1" applyFont="1" applyBorder="1" applyAlignment="1">
      <alignment horizontal="left" vertical="top" indent="1"/>
    </xf>
    <xf numFmtId="1" fontId="11" fillId="0" borderId="5" xfId="0" applyNumberFormat="1" applyFont="1" applyBorder="1" applyAlignment="1">
      <alignment horizontal="left" vertical="top" wrapText="1"/>
    </xf>
    <xf numFmtId="1" fontId="11" fillId="0" borderId="7" xfId="0" applyNumberFormat="1" applyFont="1" applyBorder="1" applyAlignment="1">
      <alignment horizontal="left" vertical="top" wrapText="1"/>
    </xf>
    <xf numFmtId="0" fontId="4" fillId="0" borderId="14" xfId="0" applyFont="1" applyBorder="1" applyAlignment="1">
      <alignment horizontal="left" vertical="center" indent="1"/>
    </xf>
    <xf numFmtId="189" fontId="10" fillId="7" borderId="12" xfId="1" applyNumberFormat="1" applyFont="1" applyFill="1" applyBorder="1" applyAlignment="1">
      <alignment horizontal="center" vertical="center" shrinkToFit="1"/>
    </xf>
    <xf numFmtId="0" fontId="10" fillId="7" borderId="12" xfId="0" applyFont="1" applyFill="1" applyBorder="1" applyAlignment="1">
      <alignment horizontal="center" vertical="center" shrinkToFit="1"/>
    </xf>
    <xf numFmtId="0" fontId="4" fillId="0" borderId="22" xfId="0" applyFont="1" applyBorder="1" applyAlignment="1">
      <alignment vertical="center"/>
    </xf>
    <xf numFmtId="2" fontId="10" fillId="0" borderId="15" xfId="0" applyNumberFormat="1" applyFont="1" applyBorder="1" applyAlignment="1">
      <alignment horizontal="left" vertical="top" indent="1"/>
    </xf>
    <xf numFmtId="190" fontId="4" fillId="0" borderId="0" xfId="0" applyNumberFormat="1" applyFont="1" applyAlignment="1">
      <alignment vertical="center"/>
    </xf>
    <xf numFmtId="1" fontId="13" fillId="0" borderId="2" xfId="0" applyNumberFormat="1" applyFont="1" applyBorder="1" applyAlignment="1">
      <alignment horizontal="center" vertical="top" wrapText="1"/>
    </xf>
    <xf numFmtId="0" fontId="13" fillId="0" borderId="25" xfId="0" applyFont="1" applyBorder="1" applyAlignment="1">
      <alignment horizontal="left" vertical="top" wrapText="1"/>
    </xf>
    <xf numFmtId="14" fontId="13" fillId="0" borderId="25" xfId="0" applyNumberFormat="1" applyFont="1" applyBorder="1" applyAlignment="1">
      <alignment horizontal="center" vertical="top"/>
    </xf>
    <xf numFmtId="187" fontId="13" fillId="0" borderId="25" xfId="3" applyNumberFormat="1" applyFont="1" applyFill="1" applyBorder="1" applyAlignment="1">
      <alignment vertical="top"/>
    </xf>
    <xf numFmtId="189" fontId="13" fillId="0" borderId="25" xfId="1" applyNumberFormat="1" applyFont="1" applyBorder="1" applyAlignment="1">
      <alignment horizontal="center" vertical="top"/>
    </xf>
    <xf numFmtId="9" fontId="13" fillId="0" borderId="25" xfId="2" applyFont="1" applyBorder="1" applyAlignment="1">
      <alignment horizontal="center" vertical="top"/>
    </xf>
    <xf numFmtId="9" fontId="13" fillId="0" borderId="25" xfId="2" applyFont="1" applyFill="1" applyBorder="1" applyAlignment="1">
      <alignment horizontal="center" vertical="top"/>
    </xf>
    <xf numFmtId="0" fontId="13" fillId="0" borderId="25" xfId="1" applyNumberFormat="1" applyFont="1" applyBorder="1" applyAlignment="1">
      <alignment horizontal="left" vertical="top" shrinkToFit="1"/>
    </xf>
    <xf numFmtId="189" fontId="15" fillId="6" borderId="26" xfId="1" applyNumberFormat="1" applyFont="1" applyFill="1" applyBorder="1" applyAlignment="1">
      <alignment horizontal="center" vertical="center" shrinkToFit="1"/>
    </xf>
    <xf numFmtId="189" fontId="15" fillId="6" borderId="24" xfId="1" applyNumberFormat="1" applyFont="1" applyFill="1" applyBorder="1" applyAlignment="1">
      <alignment horizontal="center" vertical="center" shrinkToFit="1"/>
    </xf>
    <xf numFmtId="0" fontId="4" fillId="0" borderId="18" xfId="0" applyFont="1" applyBorder="1" applyAlignment="1">
      <alignment vertical="center"/>
    </xf>
    <xf numFmtId="2" fontId="4" fillId="0" borderId="18" xfId="0" applyNumberFormat="1" applyFont="1" applyBorder="1" applyAlignment="1">
      <alignment vertical="center"/>
    </xf>
    <xf numFmtId="0" fontId="17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14" fontId="18" fillId="3" borderId="1" xfId="0" applyNumberFormat="1" applyFont="1" applyFill="1" applyBorder="1" applyAlignment="1">
      <alignment horizontal="center" vertical="center" wrapText="1"/>
    </xf>
    <xf numFmtId="14" fontId="18" fillId="4" borderId="1" xfId="0" applyNumberFormat="1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3" borderId="1" xfId="0" applyFont="1" applyFill="1" applyBorder="1" applyAlignment="1">
      <alignment horizontal="left" vertical="center" wrapText="1"/>
    </xf>
    <xf numFmtId="192" fontId="13" fillId="0" borderId="25" xfId="1" applyNumberFormat="1" applyFont="1" applyBorder="1" applyAlignment="1">
      <alignment horizontal="center" vertical="top"/>
    </xf>
    <xf numFmtId="192" fontId="11" fillId="0" borderId="4" xfId="1" applyNumberFormat="1" applyFont="1" applyBorder="1" applyAlignment="1">
      <alignment horizontal="center" vertical="top"/>
    </xf>
    <xf numFmtId="192" fontId="10" fillId="0" borderId="4" xfId="1" applyNumberFormat="1" applyFont="1" applyBorder="1" applyAlignment="1">
      <alignment horizontal="center" vertical="top"/>
    </xf>
    <xf numFmtId="192" fontId="10" fillId="0" borderId="10" xfId="1" applyNumberFormat="1" applyFont="1" applyBorder="1" applyAlignment="1">
      <alignment horizontal="center" vertical="top"/>
    </xf>
    <xf numFmtId="192" fontId="11" fillId="0" borderId="19" xfId="1" applyNumberFormat="1" applyFont="1" applyBorder="1" applyAlignment="1">
      <alignment horizontal="center" vertical="top"/>
    </xf>
    <xf numFmtId="192" fontId="10" fillId="0" borderId="8" xfId="1" applyNumberFormat="1" applyFont="1" applyBorder="1" applyAlignment="1">
      <alignment horizontal="center" vertical="top"/>
    </xf>
    <xf numFmtId="192" fontId="10" fillId="0" borderId="6" xfId="1" applyNumberFormat="1" applyFont="1" applyBorder="1" applyAlignment="1">
      <alignment horizontal="center" vertical="top"/>
    </xf>
    <xf numFmtId="192" fontId="13" fillId="0" borderId="25" xfId="3" applyNumberFormat="1" applyFont="1" applyFill="1" applyBorder="1" applyAlignment="1">
      <alignment horizontal="center" vertical="top"/>
    </xf>
    <xf numFmtId="192" fontId="11" fillId="0" borderId="4" xfId="3" applyNumberFormat="1" applyFont="1" applyFill="1" applyBorder="1" applyAlignment="1">
      <alignment horizontal="center" vertical="top"/>
    </xf>
    <xf numFmtId="192" fontId="9" fillId="0" borderId="4" xfId="3" applyNumberFormat="1" applyFont="1" applyFill="1" applyBorder="1" applyAlignment="1">
      <alignment horizontal="center" vertical="top"/>
    </xf>
    <xf numFmtId="192" fontId="9" fillId="0" borderId="10" xfId="3" applyNumberFormat="1" applyFont="1" applyFill="1" applyBorder="1" applyAlignment="1">
      <alignment horizontal="center" vertical="top"/>
    </xf>
    <xf numFmtId="192" fontId="11" fillId="0" borderId="19" xfId="3" applyNumberFormat="1" applyFont="1" applyFill="1" applyBorder="1" applyAlignment="1">
      <alignment horizontal="center" vertical="top"/>
    </xf>
    <xf numFmtId="192" fontId="9" fillId="0" borderId="8" xfId="3" applyNumberFormat="1" applyFont="1" applyFill="1" applyBorder="1" applyAlignment="1">
      <alignment horizontal="center" vertical="top"/>
    </xf>
    <xf numFmtId="192" fontId="9" fillId="0" borderId="6" xfId="3" applyNumberFormat="1" applyFont="1" applyFill="1" applyBorder="1" applyAlignment="1">
      <alignment horizontal="center" vertical="top"/>
    </xf>
    <xf numFmtId="1" fontId="4" fillId="0" borderId="7" xfId="0" applyNumberFormat="1" applyFont="1" applyBorder="1" applyAlignment="1">
      <alignment horizontal="center" vertical="top" wrapText="1"/>
    </xf>
    <xf numFmtId="0" fontId="4" fillId="0" borderId="8" xfId="0" applyFont="1" applyBorder="1" applyAlignment="1">
      <alignment horizontal="left" vertical="top" wrapText="1"/>
    </xf>
    <xf numFmtId="192" fontId="4" fillId="0" borderId="8" xfId="3" applyNumberFormat="1" applyFont="1" applyFill="1" applyBorder="1" applyAlignment="1">
      <alignment horizontal="center" vertical="top"/>
    </xf>
    <xf numFmtId="0" fontId="7" fillId="5" borderId="37" xfId="0" applyFont="1" applyFill="1" applyBorder="1" applyAlignment="1">
      <alignment horizontal="center" vertical="center" shrinkToFit="1"/>
    </xf>
    <xf numFmtId="43" fontId="10" fillId="0" borderId="4" xfId="1" applyFont="1" applyBorder="1" applyAlignment="1">
      <alignment horizontal="center" vertical="top"/>
    </xf>
    <xf numFmtId="43" fontId="10" fillId="0" borderId="13" xfId="1" applyFont="1" applyBorder="1" applyAlignment="1">
      <alignment horizontal="center" vertical="top"/>
    </xf>
    <xf numFmtId="43" fontId="10" fillId="0" borderId="6" xfId="1" applyFont="1" applyBorder="1" applyAlignment="1">
      <alignment horizontal="center" vertical="top"/>
    </xf>
    <xf numFmtId="43" fontId="10" fillId="0" borderId="15" xfId="1" applyFont="1" applyBorder="1" applyAlignment="1">
      <alignment horizontal="center" vertical="top"/>
    </xf>
    <xf numFmtId="2" fontId="13" fillId="0" borderId="25" xfId="2" applyNumberFormat="1" applyFont="1" applyFill="1" applyBorder="1" applyAlignment="1">
      <alignment horizontal="center" vertical="top"/>
    </xf>
    <xf numFmtId="2" fontId="13" fillId="0" borderId="27" xfId="2" applyNumberFormat="1" applyFont="1" applyFill="1" applyBorder="1" applyAlignment="1">
      <alignment horizontal="center" vertical="top"/>
    </xf>
    <xf numFmtId="2" fontId="11" fillId="0" borderId="4" xfId="2" applyNumberFormat="1" applyFont="1" applyFill="1" applyBorder="1" applyAlignment="1">
      <alignment horizontal="center" vertical="top"/>
    </xf>
    <xf numFmtId="2" fontId="11" fillId="0" borderId="28" xfId="2" applyNumberFormat="1" applyFont="1" applyFill="1" applyBorder="1" applyAlignment="1">
      <alignment horizontal="center" vertical="top"/>
    </xf>
    <xf numFmtId="2" fontId="9" fillId="0" borderId="4" xfId="2" applyNumberFormat="1" applyFont="1" applyFill="1" applyBorder="1" applyAlignment="1">
      <alignment horizontal="center" vertical="top"/>
    </xf>
    <xf numFmtId="2" fontId="9" fillId="0" borderId="28" xfId="2" applyNumberFormat="1" applyFont="1" applyFill="1" applyBorder="1" applyAlignment="1">
      <alignment horizontal="center" vertical="top"/>
    </xf>
    <xf numFmtId="2" fontId="9" fillId="0" borderId="10" xfId="2" applyNumberFormat="1" applyFont="1" applyFill="1" applyBorder="1" applyAlignment="1">
      <alignment horizontal="center" vertical="top"/>
    </xf>
    <xf numFmtId="2" fontId="9" fillId="0" borderId="29" xfId="2" applyNumberFormat="1" applyFont="1" applyFill="1" applyBorder="1" applyAlignment="1">
      <alignment horizontal="center" vertical="top"/>
    </xf>
    <xf numFmtId="2" fontId="11" fillId="0" borderId="19" xfId="2" applyNumberFormat="1" applyFont="1" applyFill="1" applyBorder="1" applyAlignment="1">
      <alignment horizontal="center" vertical="top"/>
    </xf>
    <xf numFmtId="2" fontId="11" fillId="0" borderId="23" xfId="2" applyNumberFormat="1" applyFont="1" applyFill="1" applyBorder="1" applyAlignment="1">
      <alignment horizontal="center" vertical="top"/>
    </xf>
    <xf numFmtId="2" fontId="9" fillId="0" borderId="8" xfId="2" applyNumberFormat="1" applyFont="1" applyFill="1" applyBorder="1" applyAlignment="1">
      <alignment horizontal="center" vertical="top"/>
    </xf>
    <xf numFmtId="2" fontId="9" fillId="0" borderId="30" xfId="2" applyNumberFormat="1" applyFont="1" applyFill="1" applyBorder="1" applyAlignment="1">
      <alignment horizontal="center" vertical="top"/>
    </xf>
    <xf numFmtId="2" fontId="9" fillId="0" borderId="6" xfId="2" applyNumberFormat="1" applyFont="1" applyFill="1" applyBorder="1" applyAlignment="1">
      <alignment horizontal="center" vertical="top"/>
    </xf>
    <xf numFmtId="2" fontId="9" fillId="0" borderId="31" xfId="2" applyNumberFormat="1" applyFont="1" applyFill="1" applyBorder="1" applyAlignment="1">
      <alignment horizontal="center" vertical="top"/>
    </xf>
    <xf numFmtId="189" fontId="13" fillId="0" borderId="25" xfId="1" applyNumberFormat="1" applyFont="1" applyBorder="1" applyAlignment="1">
      <alignment horizontal="left" vertical="top"/>
    </xf>
    <xf numFmtId="49" fontId="13" fillId="0" borderId="4" xfId="0" applyNumberFormat="1" applyFont="1" applyBorder="1" applyAlignment="1">
      <alignment horizontal="center" vertical="top" wrapText="1"/>
    </xf>
    <xf numFmtId="189" fontId="11" fillId="0" borderId="4" xfId="1" applyNumberFormat="1" applyFont="1" applyBorder="1" applyAlignment="1">
      <alignment horizontal="left" vertical="top"/>
    </xf>
    <xf numFmtId="189" fontId="10" fillId="0" borderId="4" xfId="1" applyNumberFormat="1" applyFont="1" applyBorder="1" applyAlignment="1">
      <alignment horizontal="left" vertical="top"/>
    </xf>
    <xf numFmtId="189" fontId="10" fillId="0" borderId="10" xfId="1" applyNumberFormat="1" applyFont="1" applyBorder="1" applyAlignment="1">
      <alignment horizontal="left" vertical="top"/>
    </xf>
    <xf numFmtId="189" fontId="11" fillId="0" borderId="19" xfId="1" applyNumberFormat="1" applyFont="1" applyBorder="1" applyAlignment="1">
      <alignment horizontal="left" vertical="top"/>
    </xf>
    <xf numFmtId="189" fontId="10" fillId="0" borderId="8" xfId="1" applyNumberFormat="1" applyFont="1" applyBorder="1" applyAlignment="1">
      <alignment horizontal="left" vertical="top"/>
    </xf>
    <xf numFmtId="189" fontId="10" fillId="0" borderId="6" xfId="1" applyNumberFormat="1" applyFont="1" applyBorder="1" applyAlignment="1">
      <alignment horizontal="left" vertical="top"/>
    </xf>
    <xf numFmtId="0" fontId="11" fillId="0" borderId="4" xfId="1" applyNumberFormat="1" applyFont="1" applyBorder="1" applyAlignment="1">
      <alignment horizontal="center" vertical="top" shrinkToFit="1"/>
    </xf>
    <xf numFmtId="0" fontId="10" fillId="0" borderId="4" xfId="1" applyNumberFormat="1" applyFont="1" applyBorder="1" applyAlignment="1">
      <alignment horizontal="center" vertical="top" shrinkToFit="1"/>
    </xf>
    <xf numFmtId="0" fontId="10" fillId="0" borderId="10" xfId="1" applyNumberFormat="1" applyFont="1" applyBorder="1" applyAlignment="1">
      <alignment horizontal="center" vertical="top" shrinkToFit="1"/>
    </xf>
    <xf numFmtId="0" fontId="11" fillId="0" borderId="19" xfId="1" applyNumberFormat="1" applyFont="1" applyBorder="1" applyAlignment="1">
      <alignment horizontal="center" vertical="top" shrinkToFit="1"/>
    </xf>
    <xf numFmtId="0" fontId="10" fillId="0" borderId="8" xfId="1" applyNumberFormat="1" applyFont="1" applyBorder="1" applyAlignment="1">
      <alignment horizontal="center" vertical="top" shrinkToFit="1"/>
    </xf>
    <xf numFmtId="0" fontId="10" fillId="0" borderId="6" xfId="1" applyNumberFormat="1" applyFont="1" applyBorder="1" applyAlignment="1">
      <alignment horizontal="center" vertical="top" shrinkToFit="1"/>
    </xf>
    <xf numFmtId="1" fontId="11" fillId="0" borderId="2" xfId="0" applyNumberFormat="1" applyFont="1" applyBorder="1" applyAlignment="1">
      <alignment horizontal="left" vertical="top" shrinkToFit="1"/>
    </xf>
    <xf numFmtId="1" fontId="11" fillId="0" borderId="7" xfId="0" applyNumberFormat="1" applyFont="1" applyBorder="1" applyAlignment="1">
      <alignment horizontal="left" vertical="top" shrinkToFit="1"/>
    </xf>
    <xf numFmtId="1" fontId="11" fillId="0" borderId="3" xfId="0" applyNumberFormat="1" applyFont="1" applyBorder="1" applyAlignment="1">
      <alignment horizontal="left" vertical="top" shrinkToFit="1"/>
    </xf>
    <xf numFmtId="1" fontId="11" fillId="0" borderId="5" xfId="0" applyNumberFormat="1" applyFont="1" applyBorder="1" applyAlignment="1">
      <alignment horizontal="left" vertical="top" shrinkToFit="1"/>
    </xf>
    <xf numFmtId="193" fontId="7" fillId="5" borderId="11" xfId="0" applyNumberFormat="1" applyFont="1" applyFill="1" applyBorder="1" applyAlignment="1">
      <alignment horizontal="center" vertical="center"/>
    </xf>
    <xf numFmtId="193" fontId="7" fillId="5" borderId="35" xfId="0" applyNumberFormat="1" applyFont="1" applyFill="1" applyBorder="1" applyAlignment="1">
      <alignment horizontal="center" vertical="center"/>
    </xf>
    <xf numFmtId="191" fontId="7" fillId="5" borderId="12" xfId="0" applyNumberFormat="1" applyFont="1" applyFill="1" applyBorder="1" applyAlignment="1">
      <alignment horizontal="center" vertical="center"/>
    </xf>
    <xf numFmtId="191" fontId="7" fillId="5" borderId="48" xfId="0" applyNumberFormat="1" applyFont="1" applyFill="1" applyBorder="1" applyAlignment="1">
      <alignment horizontal="center" vertical="center"/>
    </xf>
    <xf numFmtId="0" fontId="4" fillId="0" borderId="8" xfId="0" applyFont="1" applyBorder="1" applyAlignment="1">
      <alignment horizontal="left" vertical="top" shrinkToFit="1"/>
    </xf>
    <xf numFmtId="49" fontId="4" fillId="0" borderId="40" xfId="0" applyNumberFormat="1" applyFont="1" applyBorder="1" applyAlignment="1">
      <alignment vertical="top" shrinkToFit="1"/>
    </xf>
    <xf numFmtId="0" fontId="9" fillId="0" borderId="4" xfId="0" applyFont="1" applyBorder="1" applyAlignment="1">
      <alignment horizontal="left" vertical="top" shrinkToFit="1"/>
    </xf>
    <xf numFmtId="49" fontId="21" fillId="0" borderId="41" xfId="0" applyNumberFormat="1" applyFont="1" applyBorder="1" applyAlignment="1">
      <alignment vertical="top" shrinkToFit="1"/>
    </xf>
    <xf numFmtId="0" fontId="9" fillId="0" borderId="6" xfId="0" applyFont="1" applyBorder="1" applyAlignment="1">
      <alignment horizontal="left" vertical="top" shrinkToFit="1"/>
    </xf>
    <xf numFmtId="49" fontId="21" fillId="0" borderId="42" xfId="0" applyNumberFormat="1" applyFont="1" applyBorder="1" applyAlignment="1">
      <alignment vertical="top" shrinkToFit="1"/>
    </xf>
    <xf numFmtId="192" fontId="22" fillId="8" borderId="37" xfId="3" applyNumberFormat="1" applyFont="1" applyFill="1" applyBorder="1" applyAlignment="1">
      <alignment horizontal="center" vertical="top"/>
    </xf>
    <xf numFmtId="43" fontId="23" fillId="8" borderId="37" xfId="1" applyFont="1" applyFill="1" applyBorder="1" applyAlignment="1">
      <alignment horizontal="center" vertical="top"/>
    </xf>
    <xf numFmtId="43" fontId="23" fillId="8" borderId="38" xfId="1" applyFont="1" applyFill="1" applyBorder="1" applyAlignment="1">
      <alignment horizontal="center" vertical="top"/>
    </xf>
    <xf numFmtId="189" fontId="4" fillId="0" borderId="0" xfId="0" applyNumberFormat="1" applyFont="1" applyAlignment="1">
      <alignment vertical="center"/>
    </xf>
    <xf numFmtId="0" fontId="4" fillId="0" borderId="50" xfId="0" applyFont="1" applyBorder="1" applyAlignment="1">
      <alignment vertical="center"/>
    </xf>
    <xf numFmtId="0" fontId="24" fillId="5" borderId="36" xfId="0" applyFont="1" applyFill="1" applyBorder="1" applyAlignment="1">
      <alignment horizontal="center" vertical="center" wrapText="1" shrinkToFit="1"/>
    </xf>
    <xf numFmtId="0" fontId="7" fillId="5" borderId="38" xfId="0" applyFont="1" applyFill="1" applyBorder="1" applyAlignment="1">
      <alignment horizontal="center" vertical="center" shrinkToFit="1"/>
    </xf>
    <xf numFmtId="0" fontId="7" fillId="0" borderId="0" xfId="0" applyFont="1" applyAlignment="1">
      <alignment horizontal="center" vertical="center" shrinkToFit="1"/>
    </xf>
    <xf numFmtId="191" fontId="16" fillId="0" borderId="0" xfId="0" applyNumberFormat="1" applyFont="1" applyAlignment="1">
      <alignment horizontal="center" vertical="center"/>
    </xf>
    <xf numFmtId="192" fontId="4" fillId="0" borderId="14" xfId="1" applyNumberFormat="1" applyFont="1" applyBorder="1" applyAlignment="1">
      <alignment horizontal="right" vertical="top" shrinkToFit="1"/>
    </xf>
    <xf numFmtId="192" fontId="4" fillId="0" borderId="0" xfId="3" applyNumberFormat="1" applyFont="1" applyFill="1" applyBorder="1" applyAlignment="1">
      <alignment horizontal="center" vertical="top"/>
    </xf>
    <xf numFmtId="43" fontId="10" fillId="0" borderId="0" xfId="1" applyFont="1" applyFill="1" applyBorder="1" applyAlignment="1">
      <alignment horizontal="center" vertical="top"/>
    </xf>
    <xf numFmtId="192" fontId="9" fillId="0" borderId="13" xfId="1" applyNumberFormat="1" applyFont="1" applyBorder="1" applyAlignment="1">
      <alignment horizontal="right" vertical="top" shrinkToFit="1"/>
    </xf>
    <xf numFmtId="192" fontId="9" fillId="0" borderId="0" xfId="3" applyNumberFormat="1" applyFont="1" applyFill="1" applyBorder="1" applyAlignment="1">
      <alignment horizontal="center" vertical="top"/>
    </xf>
    <xf numFmtId="192" fontId="9" fillId="0" borderId="34" xfId="1" applyNumberFormat="1" applyFont="1" applyBorder="1" applyAlignment="1">
      <alignment horizontal="right" vertical="top" shrinkToFit="1"/>
    </xf>
    <xf numFmtId="192" fontId="22" fillId="8" borderId="14" xfId="1" applyNumberFormat="1" applyFont="1" applyFill="1" applyBorder="1" applyAlignment="1">
      <alignment horizontal="right" vertical="top" shrinkToFit="1"/>
    </xf>
    <xf numFmtId="192" fontId="22" fillId="8" borderId="15" xfId="1" applyNumberFormat="1" applyFont="1" applyFill="1" applyBorder="1" applyAlignment="1">
      <alignment horizontal="right" vertical="top" shrinkToFit="1"/>
    </xf>
    <xf numFmtId="0" fontId="6" fillId="6" borderId="11" xfId="0" applyFont="1" applyFill="1" applyBorder="1" applyAlignment="1">
      <alignment horizontal="center" vertical="center" shrinkToFit="1"/>
    </xf>
    <xf numFmtId="0" fontId="6" fillId="6" borderId="12" xfId="0" applyFont="1" applyFill="1" applyBorder="1" applyAlignment="1">
      <alignment horizontal="center" vertical="center" shrinkToFit="1"/>
    </xf>
    <xf numFmtId="0" fontId="6" fillId="6" borderId="11" xfId="0" applyFont="1" applyFill="1" applyBorder="1" applyAlignment="1">
      <alignment horizontal="center" vertical="center" wrapText="1" shrinkToFit="1"/>
    </xf>
    <xf numFmtId="0" fontId="6" fillId="6" borderId="33" xfId="0" applyFont="1" applyFill="1" applyBorder="1" applyAlignment="1">
      <alignment horizontal="center" vertical="center" shrinkToFit="1"/>
    </xf>
    <xf numFmtId="0" fontId="6" fillId="6" borderId="22" xfId="0" applyFont="1" applyFill="1" applyBorder="1" applyAlignment="1">
      <alignment horizontal="center" vertical="center" shrinkToFit="1"/>
    </xf>
    <xf numFmtId="0" fontId="5" fillId="6" borderId="16" xfId="0" applyFont="1" applyFill="1" applyBorder="1" applyAlignment="1">
      <alignment horizontal="center" vertical="center" wrapText="1" shrinkToFit="1"/>
    </xf>
    <xf numFmtId="0" fontId="5" fillId="6" borderId="17" xfId="0" applyFont="1" applyFill="1" applyBorder="1" applyAlignment="1">
      <alignment horizontal="center" vertical="center" shrinkToFit="1"/>
    </xf>
    <xf numFmtId="0" fontId="7" fillId="5" borderId="11" xfId="0" applyFont="1" applyFill="1" applyBorder="1" applyAlignment="1">
      <alignment horizontal="center" vertical="center" shrinkToFit="1"/>
    </xf>
    <xf numFmtId="0" fontId="7" fillId="5" borderId="12" xfId="0" applyFont="1" applyFill="1" applyBorder="1" applyAlignment="1">
      <alignment horizontal="center" vertical="center" shrinkToFit="1"/>
    </xf>
    <xf numFmtId="0" fontId="7" fillId="5" borderId="11" xfId="0" applyFont="1" applyFill="1" applyBorder="1" applyAlignment="1">
      <alignment horizontal="center" vertical="center" wrapText="1" shrinkToFit="1"/>
    </xf>
    <xf numFmtId="0" fontId="8" fillId="7" borderId="21" xfId="0" applyFont="1" applyFill="1" applyBorder="1" applyAlignment="1">
      <alignment horizontal="center" vertical="center" shrinkToFit="1"/>
    </xf>
    <xf numFmtId="0" fontId="8" fillId="7" borderId="32" xfId="0" applyFont="1" applyFill="1" applyBorder="1" applyAlignment="1">
      <alignment horizontal="center" vertical="center" shrinkToFit="1"/>
    </xf>
    <xf numFmtId="0" fontId="8" fillId="7" borderId="43" xfId="0" applyFont="1" applyFill="1" applyBorder="1" applyAlignment="1">
      <alignment horizontal="center" vertical="center" shrinkToFit="1"/>
    </xf>
    <xf numFmtId="0" fontId="22" fillId="8" borderId="7" xfId="0" applyFont="1" applyFill="1" applyBorder="1" applyAlignment="1">
      <alignment horizontal="left" vertical="top" wrapText="1"/>
    </xf>
    <xf numFmtId="0" fontId="22" fillId="8" borderId="51" xfId="0" applyFont="1" applyFill="1" applyBorder="1" applyAlignment="1">
      <alignment horizontal="left" vertical="top" wrapText="1"/>
    </xf>
    <xf numFmtId="0" fontId="22" fillId="8" borderId="5" xfId="0" applyFont="1" applyFill="1" applyBorder="1" applyAlignment="1">
      <alignment horizontal="left" vertical="top" wrapText="1"/>
    </xf>
    <xf numFmtId="0" fontId="22" fillId="8" borderId="42" xfId="0" applyFont="1" applyFill="1" applyBorder="1" applyAlignment="1">
      <alignment horizontal="left" vertical="top" wrapText="1"/>
    </xf>
    <xf numFmtId="0" fontId="6" fillId="6" borderId="44" xfId="0" applyFont="1" applyFill="1" applyBorder="1" applyAlignment="1">
      <alignment horizontal="center" vertical="center" shrinkToFit="1"/>
    </xf>
    <xf numFmtId="0" fontId="6" fillId="6" borderId="46" xfId="0" applyFont="1" applyFill="1" applyBorder="1" applyAlignment="1">
      <alignment horizontal="center" vertical="center" shrinkToFit="1"/>
    </xf>
    <xf numFmtId="0" fontId="7" fillId="5" borderId="45" xfId="0" applyFont="1" applyFill="1" applyBorder="1" applyAlignment="1">
      <alignment horizontal="center" vertical="center" shrinkToFit="1"/>
    </xf>
    <xf numFmtId="0" fontId="7" fillId="5" borderId="47" xfId="0" applyFont="1" applyFill="1" applyBorder="1" applyAlignment="1">
      <alignment horizontal="center" vertical="center" shrinkToFit="1"/>
    </xf>
    <xf numFmtId="1" fontId="22" fillId="8" borderId="36" xfId="0" applyNumberFormat="1" applyFont="1" applyFill="1" applyBorder="1" applyAlignment="1">
      <alignment horizontal="center" vertical="top" wrapText="1"/>
    </xf>
    <xf numFmtId="1" fontId="22" fillId="8" borderId="49" xfId="0" applyNumberFormat="1" applyFont="1" applyFill="1" applyBorder="1" applyAlignment="1">
      <alignment horizontal="center" vertical="top" wrapText="1"/>
    </xf>
    <xf numFmtId="1" fontId="22" fillId="8" borderId="39" xfId="0" applyNumberFormat="1" applyFont="1" applyFill="1" applyBorder="1" applyAlignment="1">
      <alignment horizontal="center" vertical="top" wrapText="1"/>
    </xf>
  </cellXfs>
  <cellStyles count="4">
    <cellStyle name="Comma" xfId="1" builtinId="3"/>
    <cellStyle name="Comma 2" xfId="3" xr:uid="{BBFF2817-3AF9-474A-9486-1D199734D6F1}"/>
    <cellStyle name="Normal" xfId="0" builtinId="0"/>
    <cellStyle name="Percent" xfId="2" builtinId="5"/>
  </cellStyles>
  <dxfs count="3">
    <dxf>
      <fill>
        <patternFill patternType="lightUp">
          <fgColor rgb="FFFC427B"/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lightUp">
          <fgColor rgb="FFFC427B"/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lightUp">
          <fgColor rgb="FFFC427B"/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0000FF"/>
      <color rgb="FF1B9CFC"/>
      <color rgb="FFFC427B"/>
      <color rgb="FF55E6C1"/>
      <color rgb="FFBFBFBF"/>
      <color rgb="FFDEDEDE"/>
      <color rgb="FF5E5E5E"/>
      <color rgb="FFEEFFAF"/>
      <color rgb="FFF97F51"/>
      <color rgb="FF3AE3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microsoft.com/office/2023/09/relationships/Python" Target="python.xml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StartDate</c:v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Lit>
              <c:formatCode>General</c:formatCode>
              <c:ptCount val="8"/>
              <c:pt idx="0">
                <c:v>1</c:v>
              </c:pt>
              <c:pt idx="1">
                <c:v>2</c:v>
              </c:pt>
              <c:pt idx="2">
                <c:v>15</c:v>
              </c:pt>
              <c:pt idx="3">
                <c:v>20</c:v>
              </c:pt>
              <c:pt idx="4">
                <c:v>23</c:v>
              </c:pt>
              <c:pt idx="5">
                <c:v>28</c:v>
              </c:pt>
              <c:pt idx="6">
                <c:v>34</c:v>
              </c:pt>
              <c:pt idx="7">
                <c:v>40</c:v>
              </c:pt>
            </c:numLit>
          </c:cat>
          <c:val>
            <c:numLit>
              <c:formatCode>General</c:formatCode>
              <c:ptCount val="8"/>
              <c:pt idx="0">
                <c:v>45667</c:v>
              </c:pt>
              <c:pt idx="1">
                <c:v>45667</c:v>
              </c:pt>
              <c:pt idx="2">
                <c:v>45691</c:v>
              </c:pt>
              <c:pt idx="3">
                <c:v>45733</c:v>
              </c:pt>
              <c:pt idx="4">
                <c:v>45691</c:v>
              </c:pt>
              <c:pt idx="5">
                <c:v>45733</c:v>
              </c:pt>
              <c:pt idx="6">
                <c:v>45691</c:v>
              </c:pt>
              <c:pt idx="7">
                <c:v>45719</c:v>
              </c:pt>
            </c:numLit>
          </c:val>
          <c:extLst>
            <c:ext xmlns:c16="http://schemas.microsoft.com/office/drawing/2014/chart" uri="{C3380CC4-5D6E-409C-BE32-E72D297353CC}">
              <c16:uniqueId val="{00000001-4475-4B10-ADB9-094218DCCC75}"/>
            </c:ext>
          </c:extLst>
        </c:ser>
        <c:ser>
          <c:idx val="1"/>
          <c:order val="1"/>
          <c:tx>
            <c:v>Delay</c:v>
          </c:tx>
          <c:spPr>
            <a:solidFill>
              <a:srgbClr val="FC427B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4475-4B10-ADB9-094218DCCC75}"/>
            </c:ext>
          </c:extLst>
        </c:ser>
        <c:ser>
          <c:idx val="2"/>
          <c:order val="2"/>
          <c:tx>
            <c:v>Complete</c:v>
          </c:tx>
          <c:spPr>
            <a:solidFill>
              <a:srgbClr val="1B9CFC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44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4475-4B10-ADB9-094218DCCC75}"/>
            </c:ext>
          </c:extLst>
        </c:ser>
        <c:ser>
          <c:idx val="3"/>
          <c:order val="3"/>
          <c:tx>
            <c:v>In Progress</c:v>
          </c:tx>
          <c:spPr>
            <a:solidFill>
              <a:srgbClr val="3AE374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Lit>
              <c:formatCode>General</c:formatCode>
              <c:ptCount val="8"/>
              <c:pt idx="0">
                <c:v>340</c:v>
              </c:pt>
              <c:pt idx="1">
                <c:v>340</c:v>
              </c:pt>
              <c:pt idx="2">
                <c:v>135</c:v>
              </c:pt>
              <c:pt idx="3">
                <c:v>0</c:v>
              </c:pt>
              <c:pt idx="4">
                <c:v>145</c:v>
              </c:pt>
              <c:pt idx="5">
                <c:v>121</c:v>
              </c:pt>
              <c:pt idx="6">
                <c:v>243</c:v>
              </c:pt>
              <c:pt idx="7">
                <c:v>110</c:v>
              </c:pt>
            </c:numLit>
          </c:val>
          <c:extLst>
            <c:ext xmlns:c16="http://schemas.microsoft.com/office/drawing/2014/chart" uri="{C3380CC4-5D6E-409C-BE32-E72D297353CC}">
              <c16:uniqueId val="{00000004-4475-4B10-ADB9-094218DCCC75}"/>
            </c:ext>
          </c:extLst>
        </c:ser>
        <c:ser>
          <c:idx val="4"/>
          <c:order val="4"/>
          <c:tx>
            <c:v>Not Started</c:v>
          </c:tx>
          <c:spPr>
            <a:solidFill>
              <a:srgbClr val="D9D9D9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75-4B10-ADB9-094218DCC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1783069712"/>
        <c:axId val="1783070192"/>
      </c:barChart>
      <c:scatterChart>
        <c:scatterStyle val="lineMarker"/>
        <c:varyColors val="0"/>
        <c:ser>
          <c:idx val="5"/>
          <c:order val="5"/>
          <c:tx>
            <c:v>Progress Label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4EA72E">
                      <a:shade val="76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9D251A3-A317-4572-A1BF-17A231F11F58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475-4B10-ADB9-094218DCCC7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24128E-ADD7-422F-8D37-CE7FE166063C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475-4B10-ADB9-094218DCCC7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2809C2-0DDE-4EF1-B1F9-0EBA4CDE3C68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475-4B10-ADB9-094218DCCC7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541E26-C779-4455-B8AE-8524E23629B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475-4B10-ADB9-094218DCCC7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070CED-2B95-414B-BB65-5E69C913BFF3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475-4B10-ADB9-094218DCCC7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25DA196-6A26-4255-998F-30053E0B2B36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475-4B10-ADB9-094218DCCC7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65CB9EC-8904-4451-8C75-5FB9C550A221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475-4B10-ADB9-094218DCCC7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8E9425-FFCF-4C3E-8263-10714051F1EC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475-4B10-ADB9-094218DCCC75}"/>
                </c:ext>
              </c:extLst>
            </c:dLbl>
            <c:spPr>
              <a:solidFill>
                <a:srgbClr val="FFFFFF">
                  <a:alpha val="80000"/>
                </a:srgbClr>
              </a:solidFill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800" b="1">
                    <a:solidFill>
                      <a:srgbClr val="0D0D0D"/>
                    </a:solidFill>
                    <a:latin typeface="Calibri" panose="020F0502020204030204" pitchFamily="34" charset="0"/>
                  </a:defRPr>
                </a:pPr>
                <a:endParaRPr lang="th-TH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6350">
                      <a:solidFill>
                        <a:srgbClr val="7F7F7F"/>
                      </a:solidFill>
                    </a:ln>
                  </c:spPr>
                </c15:leaderLines>
              </c:ext>
            </c:extLst>
          </c:dLbls>
          <c:xVal>
            <c:numLit>
              <c:formatCode>General</c:formatCode>
              <c:ptCount val="8"/>
              <c:pt idx="0">
                <c:v>46007</c:v>
              </c:pt>
              <c:pt idx="1">
                <c:v>46007</c:v>
              </c:pt>
              <c:pt idx="2">
                <c:v>45826</c:v>
              </c:pt>
              <c:pt idx="3">
                <c:v>45777</c:v>
              </c:pt>
              <c:pt idx="4">
                <c:v>45836</c:v>
              </c:pt>
              <c:pt idx="5">
                <c:v>45854</c:v>
              </c:pt>
              <c:pt idx="6">
                <c:v>45934</c:v>
              </c:pt>
              <c:pt idx="7">
                <c:v>45829</c:v>
              </c:pt>
            </c:numLit>
          </c:xVal>
          <c:yVal>
            <c:numLit>
              <c:formatCode>General</c:formatCode>
              <c:ptCount val="8"/>
              <c:pt idx="0">
                <c:v>1.5</c:v>
              </c:pt>
              <c:pt idx="1">
                <c:v>2.5</c:v>
              </c:pt>
              <c:pt idx="2">
                <c:v>3.5</c:v>
              </c:pt>
              <c:pt idx="3">
                <c:v>4.5</c:v>
              </c:pt>
              <c:pt idx="4">
                <c:v>5.5</c:v>
              </c:pt>
              <c:pt idx="5">
                <c:v>6.5</c:v>
              </c:pt>
              <c:pt idx="6">
                <c:v>7.5</c:v>
              </c:pt>
              <c:pt idx="7">
                <c:v>8.5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{"62% (62%)","50% (50%)","80% (80%)","100%","85% (85%)","50% (50%)","45% (45%)","80% (80%)"}</c15:f>
                <c15:dlblRangeCache>
                  <c:ptCount val="8"/>
                  <c:pt idx="0">
                    <c:v>62% (62%)</c:v>
                  </c:pt>
                  <c:pt idx="1">
                    <c:v>50% (50%)</c:v>
                  </c:pt>
                  <c:pt idx="2">
                    <c:v>80% (80%)</c:v>
                  </c:pt>
                  <c:pt idx="3">
                    <c:v>100%</c:v>
                  </c:pt>
                  <c:pt idx="4">
                    <c:v>85% (85%)</c:v>
                  </c:pt>
                  <c:pt idx="5">
                    <c:v>50% (50%)</c:v>
                  </c:pt>
                  <c:pt idx="6">
                    <c:v>45% (45%)</c:v>
                  </c:pt>
                  <c:pt idx="7">
                    <c:v>80% (80%)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4475-4B10-ADB9-094218DCCC75}"/>
            </c:ext>
          </c:extLst>
        </c:ser>
        <c:ser>
          <c:idx val="6"/>
          <c:order val="6"/>
          <c:tx>
            <c:v>DataLabels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56082">
                      <a:tint val="77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pPr>
              <a:solidFill>
                <a:srgbClr val="156082">
                  <a:tint val="77000"/>
                </a:srgbClr>
              </a:solidFill>
              <a:ln w="1270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noFill/>
                    <a:prstDash val="solid"/>
                    <a:round/>
                  </a14:hiddenLine>
                </a:ext>
              </a:extLst>
            </c:spPr>
          </c:marker>
          <c:dPt>
            <c:idx val="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8-4475-4B10-ADB9-094218DCCC75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9-4475-4B10-ADB9-094218DCCC75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A-4475-4B10-ADB9-094218DCCC75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B-4475-4B10-ADB9-094218DCCC75}"/>
              </c:ext>
            </c:extLst>
          </c:dPt>
          <c:dPt>
            <c:idx val="4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000000"/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C-4475-4B10-ADB9-094218DCCC75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D-4475-4B10-ADB9-094218DCCC75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E-4475-4B10-ADB9-094218DCCC75}"/>
              </c:ext>
            </c:extLst>
          </c:dPt>
          <c:dPt>
            <c:idx val="7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000000"/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F-4475-4B10-ADB9-094218DCCC75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0-4475-4B10-ADB9-094218DCCC75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1-4475-4B10-ADB9-094218DCCC75}"/>
              </c:ext>
            </c:extLst>
          </c:dPt>
          <c:dPt>
            <c:idx val="10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000000"/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2-4475-4B10-ADB9-094218DCCC75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3-4475-4B10-ADB9-094218DCCC75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4-4475-4B10-ADB9-094218DCCC75}"/>
              </c:ext>
            </c:extLst>
          </c:dPt>
          <c:dPt>
            <c:idx val="13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000000"/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5-4475-4B10-ADB9-094218DCCC75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6-4475-4B10-ADB9-094218DCCC75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7-4475-4B10-ADB9-094218DCCC75}"/>
              </c:ext>
            </c:extLst>
          </c:dPt>
          <c:dPt>
            <c:idx val="16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000000"/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8-4475-4B10-ADB9-094218DCCC75}"/>
              </c:ext>
            </c:extLst>
          </c:dPt>
          <c:dPt>
            <c:idx val="17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000000"/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9-4475-4B10-ADB9-094218DCCC75}"/>
              </c:ext>
            </c:extLst>
          </c:dPt>
          <c:dPt>
            <c:idx val="18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000000"/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A-4475-4B10-ADB9-094218DCCC75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B-4475-4B10-ADB9-094218DCCC75}"/>
              </c:ext>
            </c:extLst>
          </c:dPt>
          <c:dPt>
            <c:idx val="2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C-4475-4B10-ADB9-094218DCCC75}"/>
              </c:ext>
            </c:extLst>
          </c:dPt>
          <c:dPt>
            <c:idx val="21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000000"/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D-4475-4B10-ADB9-094218DCCC75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E-4475-4B10-ADB9-094218DCCC75}"/>
              </c:ext>
            </c:extLst>
          </c:dPt>
          <c:dPt>
            <c:idx val="2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F-4475-4B10-ADB9-094218DCCC75}"/>
              </c:ext>
            </c:extLst>
          </c:dPt>
          <c:dPt>
            <c:idx val="2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0-4475-4B10-ADB9-094218DCCC75}"/>
              </c:ext>
            </c:extLst>
          </c:dPt>
          <c:dPt>
            <c:idx val="25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000000"/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1-4475-4B10-ADB9-094218DCCC75}"/>
              </c:ext>
            </c:extLst>
          </c:dPt>
          <c:dPt>
            <c:idx val="26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000000"/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2-4475-4B10-ADB9-094218DCCC75}"/>
              </c:ext>
            </c:extLst>
          </c:dPt>
          <c:dPt>
            <c:idx val="2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3-4475-4B10-ADB9-094218DCCC75}"/>
              </c:ext>
            </c:extLst>
          </c:dPt>
          <c:dPt>
            <c:idx val="2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4-4475-4B10-ADB9-094218DCCC75}"/>
              </c:ext>
            </c:extLst>
          </c:dPt>
          <c:dPt>
            <c:idx val="2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5-4475-4B10-ADB9-094218DCCC75}"/>
              </c:ext>
            </c:extLst>
          </c:dPt>
          <c:dPt>
            <c:idx val="3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6-4475-4B10-ADB9-094218DCCC75}"/>
              </c:ext>
            </c:extLst>
          </c:dPt>
          <c:dPt>
            <c:idx val="31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000000"/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7-4475-4B10-ADB9-094218DCCC75}"/>
              </c:ext>
            </c:extLst>
          </c:dPt>
          <c:dPt>
            <c:idx val="32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000000"/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8-4475-4B10-ADB9-094218DCCC75}"/>
              </c:ext>
            </c:extLst>
          </c:dPt>
          <c:dPt>
            <c:idx val="3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9-4475-4B10-ADB9-094218DCCC75}"/>
              </c:ext>
            </c:extLst>
          </c:dPt>
          <c:dPt>
            <c:idx val="3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A-4475-4B10-ADB9-094218DCCC75}"/>
              </c:ext>
            </c:extLst>
          </c:dPt>
          <c:dPt>
            <c:idx val="35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000000"/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B-4475-4B10-ADB9-094218DCCC75}"/>
              </c:ext>
            </c:extLst>
          </c:dPt>
          <c:dPt>
            <c:idx val="36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000000"/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C-4475-4B10-ADB9-094218DCCC75}"/>
              </c:ext>
            </c:extLst>
          </c:dPt>
          <c:dPt>
            <c:idx val="37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000000"/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D-4475-4B10-ADB9-094218DCCC75}"/>
              </c:ext>
            </c:extLst>
          </c:dPt>
          <c:dPt>
            <c:idx val="38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000000"/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E-4475-4B10-ADB9-094218DCCC75}"/>
              </c:ext>
            </c:extLst>
          </c:dPt>
          <c:dPt>
            <c:idx val="3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F-4475-4B10-ADB9-094218DCCC75}"/>
              </c:ext>
            </c:extLst>
          </c:dPt>
          <c:dPt>
            <c:idx val="40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000000"/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0-4475-4B10-ADB9-094218DCCC75}"/>
              </c:ext>
            </c:extLst>
          </c:dPt>
          <c:dPt>
            <c:idx val="41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000000"/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1-4475-4B10-ADB9-094218DCCC75}"/>
              </c:ext>
            </c:extLst>
          </c:dPt>
          <c:dPt>
            <c:idx val="42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000000"/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2-4475-4B10-ADB9-094218DCCC75}"/>
              </c:ext>
            </c:extLst>
          </c:dPt>
          <c:dPt>
            <c:idx val="4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3-4475-4B10-ADB9-094218DCCC75}"/>
              </c:ext>
            </c:extLst>
          </c:dPt>
          <c:dPt>
            <c:idx val="44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000000"/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4-4475-4B10-ADB9-094218DCCC75}"/>
              </c:ext>
            </c:extLst>
          </c:dPt>
          <c:dLbls>
            <c:dLbl>
              <c:idx val="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A66EAE69-9ABD-480E-A61F-EF8DC0B33A7B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4475-4B10-ADB9-094218DCCC75}"/>
                </c:ext>
              </c:extLst>
            </c:dLbl>
            <c:dLbl>
              <c:idx val="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F0DDD25D-B67E-4FE7-AD22-7CEA474A3D2F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4475-4B10-ADB9-094218DCCC7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A-4475-4B10-ADB9-094218DCCC7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4475-4B10-ADB9-094218DCCC75}"/>
                </c:ext>
              </c:extLst>
            </c:dLbl>
            <c:dLbl>
              <c:idx val="4"/>
              <c:layout>
                <c:manualLayout>
                  <c:x val="-4.1037735544215302E-3"/>
                  <c:y val="-7.4504488166358088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A38130D-7F3C-409A-A377-59A015554DE0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4475-4B10-ADB9-094218DCCC7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4475-4B10-ADB9-094218DCCC7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E-4475-4B10-ADB9-094218DCCC75}"/>
                </c:ext>
              </c:extLst>
            </c:dLbl>
            <c:dLbl>
              <c:idx val="7"/>
              <c:layout>
                <c:manualLayout>
                  <c:x val="-4.1037735544215302E-3"/>
                  <c:y val="2.636508165537289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520573F-990A-46E7-99EF-014CB0886E6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4475-4B10-ADB9-094218DCCC7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0-4475-4B10-ADB9-094218DCCC7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1-4475-4B10-ADB9-094218DCCC75}"/>
                </c:ext>
              </c:extLst>
            </c:dLbl>
            <c:dLbl>
              <c:idx val="10"/>
              <c:layout>
                <c:manualLayout>
                  <c:x val="-4.1037196991255409E-3"/>
                  <c:y val="5.368392348209168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9A1A26F-F449-40CF-A84F-7E50CC56A9E6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4475-4B10-ADB9-094218DCCC7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3-4475-4B10-ADB9-094218DCCC7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4475-4B10-ADB9-094218DCCC75}"/>
                </c:ext>
              </c:extLst>
            </c:dLbl>
            <c:dLbl>
              <c:idx val="13"/>
              <c:layout>
                <c:manualLayout>
                  <c:x val="-4.1037735544214304E-3"/>
                  <c:y val="-9.972188062179074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9F29651-A7EA-46A4-8EBD-74AAE299905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4475-4B10-ADB9-094218DCCC75}"/>
                </c:ext>
              </c:extLst>
            </c:dLbl>
            <c:dLbl>
              <c:idx val="1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057F3869-ECF9-43A4-9A86-521092C035C7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4475-4B10-ADB9-094218DCCC7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475-4B10-ADB9-094218DCCC75}"/>
                </c:ext>
              </c:extLst>
            </c:dLbl>
            <c:dLbl>
              <c:idx val="16"/>
              <c:layout>
                <c:manualLayout>
                  <c:x val="-4.1037196991255912E-3"/>
                  <c:y val="5.368392348209168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1672FE0-D8A9-4288-921A-A6273477C37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4475-4B10-ADB9-094218DCCC75}"/>
                </c:ext>
              </c:extLst>
            </c:dLbl>
            <c:dLbl>
              <c:idx val="17"/>
              <c:layout>
                <c:manualLayout>
                  <c:x val="-4.1037735544215302E-3"/>
                  <c:y val="2.636508165537289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5560F9CE-EF6C-48C3-82C2-4410F6244BA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4475-4B10-ADB9-094218DCCC75}"/>
                </c:ext>
              </c:extLst>
            </c:dLbl>
            <c:dLbl>
              <c:idx val="18"/>
              <c:layout>
                <c:manualLayout>
                  <c:x val="-4.1037196991256415E-3"/>
                  <c:y val="-7.4504488166358018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8EA89C9-4D3E-4519-AC98-7F69EF21045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4475-4B10-ADB9-094218DCCC75}"/>
                </c:ext>
              </c:extLst>
            </c:dLbl>
            <c:dLbl>
              <c:idx val="1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143F50B2-F445-436A-AF67-57AF49E09A98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4475-4B10-ADB9-094218DCCC7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475-4B10-ADB9-094218DCCC75}"/>
                </c:ext>
              </c:extLst>
            </c:dLbl>
            <c:dLbl>
              <c:idx val="21"/>
              <c:layout>
                <c:manualLayout>
                  <c:x val="-4.1037735544215805E-3"/>
                  <c:y val="5.3683923482091604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B114992-D2AC-4747-AE57-8966514908D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4475-4B10-ADB9-094218DCCC75}"/>
                </c:ext>
              </c:extLst>
            </c:dLbl>
            <c:dLbl>
              <c:idx val="2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A95D2200-E602-48C6-8C26-F2C85934A145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4475-4B10-ADB9-094218DCCC7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4475-4B10-ADB9-094218DCCC7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475-4B10-ADB9-094218DCCC75}"/>
                </c:ext>
              </c:extLst>
            </c:dLbl>
            <c:dLbl>
              <c:idx val="25"/>
              <c:layout>
                <c:manualLayout>
                  <c:x val="-4.1037735544215302E-3"/>
                  <c:y val="5.368392348209168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8ADDC07-F575-44CC-AB1F-F9A8D898E5C9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4475-4B10-ADB9-094218DCCC75}"/>
                </c:ext>
              </c:extLst>
            </c:dLbl>
            <c:dLbl>
              <c:idx val="26"/>
              <c:layout>
                <c:manualLayout>
                  <c:x val="-4.1037196991256415E-3"/>
                  <c:y val="2.636508165537297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946D0A1-EE01-433F-A86A-3B78700E51DB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4475-4B10-ADB9-094218DCCC75}"/>
                </c:ext>
              </c:extLst>
            </c:dLbl>
            <c:dLbl>
              <c:idx val="2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4FE29C5-9A29-4EE2-AC67-42947582819A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4475-4B10-ADB9-094218DCCC7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475-4B10-ADB9-094218DCCC7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4475-4B10-ADB9-094218DCCC75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4475-4B10-ADB9-094218DCCC75}"/>
                </c:ext>
              </c:extLst>
            </c:dLbl>
            <c:dLbl>
              <c:idx val="31"/>
              <c:layout>
                <c:manualLayout>
                  <c:x val="-4.1037735544215302E-3"/>
                  <c:y val="5.368392348209168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F0524CD-3DC6-40AA-80EB-47892F0848A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4475-4B10-ADB9-094218DCCC75}"/>
                </c:ext>
              </c:extLst>
            </c:dLbl>
            <c:dLbl>
              <c:idx val="32"/>
              <c:layout>
                <c:manualLayout>
                  <c:x val="-4.1037735544215302E-3"/>
                  <c:y val="2.636508165537289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5C0DA9E-D3D9-4C31-8C4D-CDC848FC48B6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4475-4B10-ADB9-094218DCCC75}"/>
                </c:ext>
              </c:extLst>
            </c:dLbl>
            <c:dLbl>
              <c:idx val="3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1357EF7-BDBE-4D78-BFD5-294EDC2BCF6A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4475-4B10-ADB9-094218DCCC75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4475-4B10-ADB9-094218DCCC75}"/>
                </c:ext>
              </c:extLst>
            </c:dLbl>
            <c:dLbl>
              <c:idx val="35"/>
              <c:layout>
                <c:manualLayout>
                  <c:x val="-4.1037196991255409E-3"/>
                  <c:y val="5.3683923482091715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CB2DC1AE-C899-460F-8D08-8287E723FFC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4475-4B10-ADB9-094218DCCC75}"/>
                </c:ext>
              </c:extLst>
            </c:dLbl>
            <c:dLbl>
              <c:idx val="36"/>
              <c:layout>
                <c:manualLayout>
                  <c:x val="-4.1037196991255409E-3"/>
                  <c:y val="2.636508165537289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4531279-1161-43AC-8AB7-D8A29D043DD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4475-4B10-ADB9-094218DCCC75}"/>
                </c:ext>
              </c:extLst>
            </c:dLbl>
            <c:dLbl>
              <c:idx val="37"/>
              <c:layout>
                <c:manualLayout>
                  <c:x val="-4.1037735544215302E-3"/>
                  <c:y val="-7.4504488166357977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B7D59EDA-31E6-4173-948A-21D6B32F7AC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D-4475-4B10-ADB9-094218DCCC75}"/>
                </c:ext>
              </c:extLst>
            </c:dLbl>
            <c:dLbl>
              <c:idx val="38"/>
              <c:layout>
                <c:manualLayout>
                  <c:x val="-4.1037735544215302E-3"/>
                  <c:y val="-9.972188062179074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5224B826-1A03-49D7-AF0E-01DE086F090B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4475-4B10-ADB9-094218DCCC75}"/>
                </c:ext>
              </c:extLst>
            </c:dLbl>
            <c:dLbl>
              <c:idx val="3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9ED18B8-35B1-49EA-B9C2-34540ADBD24E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4475-4B10-ADB9-094218DCCC75}"/>
                </c:ext>
              </c:extLst>
            </c:dLbl>
            <c:dLbl>
              <c:idx val="40"/>
              <c:layout>
                <c:manualLayout>
                  <c:x val="-4.1037735544215302E-3"/>
                  <c:y val="5.3683923482091715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AED0642-EF92-420F-8672-56913B2AA3A7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4475-4B10-ADB9-094218DCCC75}"/>
                </c:ext>
              </c:extLst>
            </c:dLbl>
            <c:dLbl>
              <c:idx val="41"/>
              <c:layout>
                <c:manualLayout>
                  <c:x val="-4.1037196991255409E-3"/>
                  <c:y val="2.6365081655372932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13B00199-BB4F-4EFF-A09C-83241750BC81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4475-4B10-ADB9-094218DCCC75}"/>
                </c:ext>
              </c:extLst>
            </c:dLbl>
            <c:dLbl>
              <c:idx val="42"/>
              <c:layout>
                <c:manualLayout>
                  <c:x val="-4.1037735544215302E-3"/>
                  <c:y val="-7.450448816635799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052A096D-D349-41D3-AC34-52ECCF6A487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2-4475-4B10-ADB9-094218DCCC75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4475-4B10-ADB9-094218DCCC75}"/>
                </c:ext>
              </c:extLst>
            </c:dLbl>
            <c:dLbl>
              <c:idx val="44"/>
              <c:layout>
                <c:manualLayout>
                  <c:x val="-4.1037196991255409E-3"/>
                  <c:y val="-9.9721880621790715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24444A0F-E4A7-492E-807E-40EA3F16D118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4475-4B10-ADB9-094218DCCC7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solidFill>
                        <a:srgbClr val="7F7F7F"/>
                      </a:solidFill>
                      <a:prstDash val="solid"/>
                    </a:ln>
                  </c:spPr>
                </c15:leaderLines>
              </c:ext>
            </c:extLst>
          </c:dLbls>
          <c:xVal>
            <c:numLit>
              <c:formatCode>General</c:formatCode>
              <c:ptCount val="45"/>
              <c:pt idx="0">
                <c:v>45667</c:v>
              </c:pt>
              <c:pt idx="1">
                <c:v>45667</c:v>
              </c:pt>
              <c:pt idx="2">
                <c:v>45672</c:v>
              </c:pt>
              <c:pt idx="3">
                <c:v>45702</c:v>
              </c:pt>
              <c:pt idx="4">
                <c:v>45729</c:v>
              </c:pt>
              <c:pt idx="5">
                <c:v>45764</c:v>
              </c:pt>
              <c:pt idx="6">
                <c:v>45793</c:v>
              </c:pt>
              <c:pt idx="7">
                <c:v>45821</c:v>
              </c:pt>
              <c:pt idx="8">
                <c:v>45854</c:v>
              </c:pt>
              <c:pt idx="9">
                <c:v>45885</c:v>
              </c:pt>
              <c:pt idx="10">
                <c:v>45913</c:v>
              </c:pt>
              <c:pt idx="11">
                <c:v>45946</c:v>
              </c:pt>
              <c:pt idx="12">
                <c:v>45974</c:v>
              </c:pt>
              <c:pt idx="13">
                <c:v>46007</c:v>
              </c:pt>
              <c:pt idx="14">
                <c:v>45691</c:v>
              </c:pt>
              <c:pt idx="15">
                <c:v>45693</c:v>
              </c:pt>
              <c:pt idx="16">
                <c:v>45736</c:v>
              </c:pt>
              <c:pt idx="17">
                <c:v>45794</c:v>
              </c:pt>
              <c:pt idx="18">
                <c:v>45826</c:v>
              </c:pt>
              <c:pt idx="19">
                <c:v>45733</c:v>
              </c:pt>
              <c:pt idx="20">
                <c:v>45735</c:v>
              </c:pt>
              <c:pt idx="21">
                <c:v>45777</c:v>
              </c:pt>
              <c:pt idx="22">
                <c:v>45691</c:v>
              </c:pt>
              <c:pt idx="23">
                <c:v>45693</c:v>
              </c:pt>
              <c:pt idx="24">
                <c:v>45758</c:v>
              </c:pt>
              <c:pt idx="25">
                <c:v>45801</c:v>
              </c:pt>
              <c:pt idx="26">
                <c:v>45836</c:v>
              </c:pt>
              <c:pt idx="27">
                <c:v>45733</c:v>
              </c:pt>
              <c:pt idx="28">
                <c:v>45735</c:v>
              </c:pt>
              <c:pt idx="29">
                <c:v>45819</c:v>
              </c:pt>
              <c:pt idx="30">
                <c:v>45836</c:v>
              </c:pt>
              <c:pt idx="31">
                <c:v>45825</c:v>
              </c:pt>
              <c:pt idx="32">
                <c:v>45854</c:v>
              </c:pt>
              <c:pt idx="33">
                <c:v>45691</c:v>
              </c:pt>
              <c:pt idx="34">
                <c:v>45693</c:v>
              </c:pt>
              <c:pt idx="35">
                <c:v>45738</c:v>
              </c:pt>
              <c:pt idx="36">
                <c:v>45799</c:v>
              </c:pt>
              <c:pt idx="37">
                <c:v>45856</c:v>
              </c:pt>
              <c:pt idx="38">
                <c:v>45934</c:v>
              </c:pt>
              <c:pt idx="39">
                <c:v>45719</c:v>
              </c:pt>
              <c:pt idx="40">
                <c:v>45731</c:v>
              </c:pt>
              <c:pt idx="41">
                <c:v>45801</c:v>
              </c:pt>
              <c:pt idx="42">
                <c:v>45819</c:v>
              </c:pt>
              <c:pt idx="43">
                <c:v>45822</c:v>
              </c:pt>
              <c:pt idx="44">
                <c:v>45829</c:v>
              </c:pt>
            </c:numLit>
          </c:xVal>
          <c:yVal>
            <c:numLit>
              <c:formatCode>General</c:formatCode>
              <c:ptCount val="45"/>
              <c:pt idx="0">
                <c:v>1.5</c:v>
              </c:pt>
              <c:pt idx="1">
                <c:v>2.5</c:v>
              </c:pt>
              <c:pt idx="2">
                <c:v>2.7</c:v>
              </c:pt>
              <c:pt idx="3">
                <c:v>2.7</c:v>
              </c:pt>
              <c:pt idx="4">
                <c:v>2.7</c:v>
              </c:pt>
              <c:pt idx="5">
                <c:v>2.7</c:v>
              </c:pt>
              <c:pt idx="6">
                <c:v>2.7</c:v>
              </c:pt>
              <c:pt idx="7">
                <c:v>2.7</c:v>
              </c:pt>
              <c:pt idx="8">
                <c:v>2.7</c:v>
              </c:pt>
              <c:pt idx="9">
                <c:v>2.7</c:v>
              </c:pt>
              <c:pt idx="10">
                <c:v>2.7</c:v>
              </c:pt>
              <c:pt idx="11">
                <c:v>2.7</c:v>
              </c:pt>
              <c:pt idx="12">
                <c:v>2.7</c:v>
              </c:pt>
              <c:pt idx="13">
                <c:v>2.7</c:v>
              </c:pt>
              <c:pt idx="14">
                <c:v>3.5</c:v>
              </c:pt>
              <c:pt idx="15">
                <c:v>3.7</c:v>
              </c:pt>
              <c:pt idx="16">
                <c:v>3.7</c:v>
              </c:pt>
              <c:pt idx="17">
                <c:v>3.7</c:v>
              </c:pt>
              <c:pt idx="18">
                <c:v>3.7</c:v>
              </c:pt>
              <c:pt idx="19">
                <c:v>4.5</c:v>
              </c:pt>
              <c:pt idx="20">
                <c:v>4.7</c:v>
              </c:pt>
              <c:pt idx="21">
                <c:v>4.7</c:v>
              </c:pt>
              <c:pt idx="22">
                <c:v>5.5</c:v>
              </c:pt>
              <c:pt idx="23">
                <c:v>5.7</c:v>
              </c:pt>
              <c:pt idx="24">
                <c:v>5.7</c:v>
              </c:pt>
              <c:pt idx="25">
                <c:v>5.7</c:v>
              </c:pt>
              <c:pt idx="26">
                <c:v>5.7</c:v>
              </c:pt>
              <c:pt idx="27">
                <c:v>6.5</c:v>
              </c:pt>
              <c:pt idx="28">
                <c:v>6.7</c:v>
              </c:pt>
              <c:pt idx="29">
                <c:v>6.7</c:v>
              </c:pt>
              <c:pt idx="30">
                <c:v>6.7</c:v>
              </c:pt>
              <c:pt idx="31">
                <c:v>6.7</c:v>
              </c:pt>
              <c:pt idx="32">
                <c:v>6.7</c:v>
              </c:pt>
              <c:pt idx="33">
                <c:v>7.5</c:v>
              </c:pt>
              <c:pt idx="34">
                <c:v>7.7</c:v>
              </c:pt>
              <c:pt idx="35">
                <c:v>7.7</c:v>
              </c:pt>
              <c:pt idx="36">
                <c:v>7.7</c:v>
              </c:pt>
              <c:pt idx="37">
                <c:v>7.7</c:v>
              </c:pt>
              <c:pt idx="38">
                <c:v>7.7</c:v>
              </c:pt>
              <c:pt idx="39">
                <c:v>8.5</c:v>
              </c:pt>
              <c:pt idx="40">
                <c:v>8.6999999999999993</c:v>
              </c:pt>
              <c:pt idx="41">
                <c:v>8.6999999999999993</c:v>
              </c:pt>
              <c:pt idx="42">
                <c:v>8.6999999999999993</c:v>
              </c:pt>
              <c:pt idx="43">
                <c:v>8.6999999999999993</c:v>
              </c:pt>
              <c:pt idx="44">
                <c:v>8.6999999999999993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WorkSchedule!$R$12:$R$56</c15:f>
                <c15:dlblRangeCache>
                  <c:ptCount val="45"/>
                  <c:pt idx="0">
                    <c:v> Overall Project </c:v>
                  </c:pt>
                  <c:pt idx="1">
                    <c:v> (P1) VSRM - Credit Portfolio </c:v>
                  </c:pt>
                  <c:pt idx="2">
                    <c:v> VSRM R1 (15-Jan) </c:v>
                  </c:pt>
                  <c:pt idx="3">
                    <c:v> VSRM R2 (14-Feb) </c:v>
                  </c:pt>
                  <c:pt idx="4">
                    <c:v> VSRM R3 (13-Mar) </c:v>
                  </c:pt>
                  <c:pt idx="5">
                    <c:v> VSRM R4 (17-Apr) </c:v>
                  </c:pt>
                  <c:pt idx="6">
                    <c:v> VSRM R5 (16-May) </c:v>
                  </c:pt>
                  <c:pt idx="7">
                    <c:v> VSRM R6 (13-Jun) </c:v>
                  </c:pt>
                  <c:pt idx="8">
                    <c:v> VSRM R7 (16-Jul) </c:v>
                  </c:pt>
                  <c:pt idx="9">
                    <c:v> VSRM R8 (16-Aug) </c:v>
                  </c:pt>
                  <c:pt idx="10">
                    <c:v> VSRM R9 (13-Sep) </c:v>
                  </c:pt>
                  <c:pt idx="11">
                    <c:v> VSRM R10 (16-Oct) </c:v>
                  </c:pt>
                  <c:pt idx="12">
                    <c:v> VSRM R11 (13-Nov) </c:v>
                  </c:pt>
                  <c:pt idx="13">
                    <c:v> VSRM R12 (16-Dec) </c:v>
                  </c:pt>
                  <c:pt idx="14">
                    <c:v> (P2) Enterprise Fraud Mgmt. </c:v>
                  </c:pt>
                  <c:pt idx="15">
                    <c:v> Kick-Off Meeting (05-Feb) </c:v>
                  </c:pt>
                  <c:pt idx="16">
                    <c:v> WS1 (20-Mar) </c:v>
                  </c:pt>
                  <c:pt idx="17">
                    <c:v> WS2 (17-May) </c:v>
                  </c:pt>
                  <c:pt idx="18">
                    <c:v> Final Delivery (18-Jun) </c:v>
                  </c:pt>
                  <c:pt idx="19">
                    <c:v> (P3) STIP Optimization </c:v>
                  </c:pt>
                  <c:pt idx="20">
                    <c:v> Kick-Off meeting (19-Mar) </c:v>
                  </c:pt>
                  <c:pt idx="21">
                    <c:v> Config. Recom. (30-Apr) </c:v>
                  </c:pt>
                  <c:pt idx="22">
                    <c:v> (P4) Fraud Risk Analytics  </c:v>
                  </c:pt>
                  <c:pt idx="23">
                    <c:v> Kick-Off meetings (05-Feb) </c:v>
                  </c:pt>
                  <c:pt idx="24">
                    <c:v> Metric shortlisting (11-Apr) </c:v>
                  </c:pt>
                  <c:pt idx="25">
                    <c:v> Workshop (24-May) </c:v>
                  </c:pt>
                  <c:pt idx="26">
                    <c:v> Final Delivery (28-Jun) </c:v>
                  </c:pt>
                  <c:pt idx="27">
                    <c:v> (P5) VPTL – Credit &amp; Debit </c:v>
                  </c:pt>
                  <c:pt idx="28">
                    <c:v> Kick-Off meeting (19-Mar) </c:v>
                  </c:pt>
                  <c:pt idx="29">
                    <c:v> 2-week testing (Credit) (11-Jun) </c:v>
                  </c:pt>
                  <c:pt idx="30">
                    <c:v> 2-week testing (Debit) (28-Jun) </c:v>
                  </c:pt>
                  <c:pt idx="31">
                    <c:v> Credit Recom. (17-Jun) </c:v>
                  </c:pt>
                  <c:pt idx="32">
                    <c:v> Debit Recom. (16-Jul) </c:v>
                  </c:pt>
                  <c:pt idx="33">
                    <c:v> (P6) Upskilling Workshops </c:v>
                  </c:pt>
                  <c:pt idx="34">
                    <c:v> Kick-Off meeting (05-Feb) </c:v>
                  </c:pt>
                  <c:pt idx="35">
                    <c:v> WS1 (4 mods) (22-Mar) </c:v>
                  </c:pt>
                  <c:pt idx="36">
                    <c:v> WS2 (1 mod) (22-May) </c:v>
                  </c:pt>
                  <c:pt idx="37">
                    <c:v> WS3 (5 mods) (18-Jul) </c:v>
                  </c:pt>
                  <c:pt idx="38">
                    <c:v> WS4 (5 mods) (04-Oct) </c:v>
                  </c:pt>
                  <c:pt idx="39">
                    <c:v> (P7) VCAS (Authentication) </c:v>
                  </c:pt>
                  <c:pt idx="40">
                    <c:v> Business Feasibility (15-Mar) </c:v>
                  </c:pt>
                  <c:pt idx="41">
                    <c:v> Technical Feasibility (24-May) </c:v>
                  </c:pt>
                  <c:pt idx="42">
                    <c:v> Visa's assessment (11-Jun) </c:v>
                  </c:pt>
                  <c:pt idx="43">
                    <c:v> Revise Business feasibility (14-Jun) </c:v>
                  </c:pt>
                  <c:pt idx="44">
                    <c:v> IT investment (prep) (21-Jun)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4475-4B10-ADB9-094218DCCC75}"/>
            </c:ext>
          </c:extLst>
        </c:ser>
        <c:ser>
          <c:idx val="7"/>
          <c:order val="7"/>
          <c:tx>
            <c:v>We are here!!</c:v>
          </c:tx>
          <c:spPr>
            <a:ln w="19050">
              <a:solidFill>
                <a:srgbClr val="FA0000"/>
              </a:solidFill>
            </a:ln>
          </c:spPr>
          <c:marker>
            <c:symbol val="none"/>
          </c:marker>
          <c:xVal>
            <c:numRef>
              <c:f>(WorkSchedule!$C$5,WorkSchedule!$C$5)</c:f>
              <c:numCache>
                <c:formatCode>m/d/yyyy</c:formatCode>
                <c:ptCount val="2"/>
                <c:pt idx="0">
                  <c:v>45824</c:v>
                </c:pt>
                <c:pt idx="1">
                  <c:v>45824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5-4475-4B10-ADB9-094218DCC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060400"/>
        <c:axId val="709063760"/>
      </c:scatterChart>
      <c:catAx>
        <c:axId val="1783069712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 sz="1000" b="1">
                    <a:solidFill>
                      <a:srgbClr val="000000"/>
                    </a:solidFill>
                    <a:latin typeface="Calibri" panose="020F0502020204030204" pitchFamily="34" charset="0"/>
                  </a:defRPr>
                </a:pPr>
                <a:r>
                  <a:rPr lang="en-US" sz="1000" b="1">
                    <a:solidFill>
                      <a:srgbClr val="000000"/>
                    </a:solidFill>
                    <a:latin typeface="Calibri" panose="020F0502020204030204" pitchFamily="34" charset="0"/>
                  </a:rPr>
                  <a:t>Task IDs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h-TH"/>
          </a:p>
        </c:txPr>
        <c:crossAx val="1783070192"/>
        <c:crosses val="autoZero"/>
        <c:auto val="1"/>
        <c:lblAlgn val="ctr"/>
        <c:lblOffset val="100"/>
        <c:noMultiLvlLbl val="0"/>
      </c:catAx>
      <c:valAx>
        <c:axId val="1783070192"/>
        <c:scaling>
          <c:orientation val="minMax"/>
          <c:max val="46054"/>
          <c:min val="45597"/>
        </c:scaling>
        <c:delete val="0"/>
        <c:axPos val="t"/>
        <c:minorGridlines>
          <c:spPr>
            <a:ln w="6350">
              <a:solidFill>
                <a:srgbClr val="BFBFBF"/>
              </a:solidFill>
            </a:ln>
          </c:spPr>
        </c:minorGridlines>
        <c:numFmt formatCode="[$-409]mmm\-yy;@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h-TH"/>
          </a:p>
        </c:txPr>
        <c:crossAx val="1783069712"/>
        <c:crosses val="autoZero"/>
        <c:crossBetween val="between"/>
        <c:majorUnit val="61.36"/>
        <c:minorUnit val="30.68"/>
      </c:valAx>
      <c:valAx>
        <c:axId val="709063760"/>
        <c:scaling>
          <c:orientation val="maxMin"/>
          <c:max val="9"/>
          <c:min val="1"/>
        </c:scaling>
        <c:delete val="1"/>
        <c:axPos val="r"/>
        <c:numFmt formatCode="General" sourceLinked="1"/>
        <c:majorTickMark val="out"/>
        <c:minorTickMark val="none"/>
        <c:tickLblPos val="nextTo"/>
        <c:crossAx val="709060400"/>
        <c:crosses val="max"/>
        <c:crossBetween val="midCat"/>
      </c:valAx>
      <c:valAx>
        <c:axId val="709060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9063760"/>
        <c:crossBetween val="midCat"/>
      </c:valAx>
      <c:spPr>
        <a:ln w="6350">
          <a:solidFill>
            <a:srgbClr val="BFBFBF"/>
          </a:solidFill>
        </a:ln>
      </c:spPr>
    </c:plotArea>
    <c:legend>
      <c:legendPos val="t"/>
      <c:legendEntry>
        <c:idx val="5"/>
        <c:delete val="1"/>
      </c:legendEntry>
      <c:legendEntry>
        <c:idx val="6"/>
        <c:delete val="1"/>
      </c:legendEntry>
      <c:overlay val="0"/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StartDate</c:v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Lit>
              <c:formatCode>General</c:formatCode>
              <c:ptCount val="4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</c:numLit>
          </c:cat>
          <c:val>
            <c:numRef>
              <c:f>WorkSchedule!$I$12:$I$56</c:f>
              <c:numCache>
                <c:formatCode>m/d/yyyy</c:formatCode>
                <c:ptCount val="45"/>
                <c:pt idx="0">
                  <c:v>45667</c:v>
                </c:pt>
                <c:pt idx="1">
                  <c:v>45667</c:v>
                </c:pt>
                <c:pt idx="2">
                  <c:v>45667</c:v>
                </c:pt>
                <c:pt idx="3">
                  <c:v>45698</c:v>
                </c:pt>
                <c:pt idx="4">
                  <c:v>45726</c:v>
                </c:pt>
                <c:pt idx="5">
                  <c:v>45757</c:v>
                </c:pt>
                <c:pt idx="6">
                  <c:v>45790</c:v>
                </c:pt>
                <c:pt idx="7">
                  <c:v>45818</c:v>
                </c:pt>
                <c:pt idx="8">
                  <c:v>45849</c:v>
                </c:pt>
                <c:pt idx="9">
                  <c:v>45882</c:v>
                </c:pt>
                <c:pt idx="10">
                  <c:v>45910</c:v>
                </c:pt>
                <c:pt idx="11">
                  <c:v>45940</c:v>
                </c:pt>
                <c:pt idx="12">
                  <c:v>45971</c:v>
                </c:pt>
                <c:pt idx="13">
                  <c:v>46002</c:v>
                </c:pt>
                <c:pt idx="14">
                  <c:v>45691</c:v>
                </c:pt>
                <c:pt idx="15">
                  <c:v>45691</c:v>
                </c:pt>
                <c:pt idx="16">
                  <c:v>45734</c:v>
                </c:pt>
                <c:pt idx="17">
                  <c:v>45790</c:v>
                </c:pt>
                <c:pt idx="18">
                  <c:v>45824</c:v>
                </c:pt>
                <c:pt idx="19">
                  <c:v>45733</c:v>
                </c:pt>
                <c:pt idx="20">
                  <c:v>45733</c:v>
                </c:pt>
                <c:pt idx="21">
                  <c:v>45775</c:v>
                </c:pt>
                <c:pt idx="22">
                  <c:v>45691</c:v>
                </c:pt>
                <c:pt idx="23">
                  <c:v>45691</c:v>
                </c:pt>
                <c:pt idx="24">
                  <c:v>45751</c:v>
                </c:pt>
                <c:pt idx="25">
                  <c:v>45796</c:v>
                </c:pt>
                <c:pt idx="26">
                  <c:v>45834</c:v>
                </c:pt>
                <c:pt idx="27">
                  <c:v>45733</c:v>
                </c:pt>
                <c:pt idx="28">
                  <c:v>45733</c:v>
                </c:pt>
                <c:pt idx="29">
                  <c:v>45803</c:v>
                </c:pt>
                <c:pt idx="30">
                  <c:v>45824</c:v>
                </c:pt>
                <c:pt idx="31">
                  <c:v>45824</c:v>
                </c:pt>
                <c:pt idx="32">
                  <c:v>45853</c:v>
                </c:pt>
                <c:pt idx="33">
                  <c:v>45691</c:v>
                </c:pt>
                <c:pt idx="34">
                  <c:v>45691</c:v>
                </c:pt>
                <c:pt idx="35">
                  <c:v>45736</c:v>
                </c:pt>
                <c:pt idx="36">
                  <c:v>45798</c:v>
                </c:pt>
                <c:pt idx="37">
                  <c:v>45853</c:v>
                </c:pt>
                <c:pt idx="38">
                  <c:v>45931</c:v>
                </c:pt>
                <c:pt idx="39">
                  <c:v>45719</c:v>
                </c:pt>
                <c:pt idx="40">
                  <c:v>45719</c:v>
                </c:pt>
                <c:pt idx="41">
                  <c:v>45796</c:v>
                </c:pt>
                <c:pt idx="42">
                  <c:v>45817</c:v>
                </c:pt>
                <c:pt idx="43">
                  <c:v>45819</c:v>
                </c:pt>
                <c:pt idx="44">
                  <c:v>45824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B2-4C72-A17E-D37C3778D8CB}"/>
            </c:ext>
          </c:extLst>
        </c:ser>
        <c:ser>
          <c:idx val="1"/>
          <c:order val="1"/>
          <c:tx>
            <c:v>Delay</c:v>
          </c:tx>
          <c:spPr>
            <a:solidFill>
              <a:srgbClr val="FC427B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WorkSchedule!$N$12:$N$56</c:f>
              <c:numCache>
                <c:formatCode>_-* #,##0_-;\-* #,##0_-;_-* "-"??_-;_-@_-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B2-4C72-A17E-D37C3778D8CB}"/>
            </c:ext>
          </c:extLst>
        </c:ser>
        <c:ser>
          <c:idx val="2"/>
          <c:order val="2"/>
          <c:tx>
            <c:v>Complete</c:v>
          </c:tx>
          <c:spPr>
            <a:solidFill>
              <a:srgbClr val="1B9CFC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WorkSchedule!$O$12:$O$56</c:f>
              <c:numCache>
                <c:formatCode>_-* #,##0_-;\-* #,##0_-;_-* "-"??_-;_-@_-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3</c:v>
                </c:pt>
                <c:pt idx="5">
                  <c:v>7</c:v>
                </c:pt>
                <c:pt idx="6">
                  <c:v>3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2</c:v>
                </c:pt>
                <c:pt idx="17">
                  <c:v>4</c:v>
                </c:pt>
                <c:pt idx="18">
                  <c:v>0</c:v>
                </c:pt>
                <c:pt idx="19">
                  <c:v>44</c:v>
                </c:pt>
                <c:pt idx="20">
                  <c:v>2</c:v>
                </c:pt>
                <c:pt idx="21">
                  <c:v>2</c:v>
                </c:pt>
                <c:pt idx="22">
                  <c:v>0</c:v>
                </c:pt>
                <c:pt idx="23">
                  <c:v>2</c:v>
                </c:pt>
                <c:pt idx="24">
                  <c:v>7</c:v>
                </c:pt>
                <c:pt idx="25">
                  <c:v>5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16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12</c:v>
                </c:pt>
                <c:pt idx="41">
                  <c:v>5</c:v>
                </c:pt>
                <c:pt idx="42">
                  <c:v>2</c:v>
                </c:pt>
                <c:pt idx="43">
                  <c:v>3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B2-4C72-A17E-D37C3778D8CB}"/>
            </c:ext>
          </c:extLst>
        </c:ser>
        <c:ser>
          <c:idx val="3"/>
          <c:order val="3"/>
          <c:tx>
            <c:v>In Progress</c:v>
          </c:tx>
          <c:spPr>
            <a:solidFill>
              <a:srgbClr val="3AE374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WorkSchedule!$P$12:$P$56</c:f>
              <c:numCache>
                <c:formatCode>_-* #,##0_-;\-* #,##0_-;_-* "-"??_-;_-@_-</c:formatCode>
                <c:ptCount val="45"/>
                <c:pt idx="0">
                  <c:v>340</c:v>
                </c:pt>
                <c:pt idx="1">
                  <c:v>340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135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145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121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243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110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B2-4C72-A17E-D37C3778D8CB}"/>
            </c:ext>
          </c:extLst>
        </c:ser>
        <c:ser>
          <c:idx val="4"/>
          <c:order val="4"/>
          <c:tx>
            <c:v>Not Started</c:v>
          </c:tx>
          <c:spPr>
            <a:solidFill>
              <a:srgbClr val="D9D9D9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WorkSchedule!$Q$12:$Q$56</c:f>
              <c:numCache>
                <c:formatCode>_-* #,##0_-;\-* #,##0_-;_-* "-"??_-;_-@_-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</c:v>
                </c:pt>
                <c:pt idx="10">
                  <c:v>3</c:v>
                </c:pt>
                <c:pt idx="11">
                  <c:v>6</c:v>
                </c:pt>
                <c:pt idx="12">
                  <c:v>3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12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</c:v>
                </c:pt>
                <c:pt idx="38">
                  <c:v>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B2-4C72-A17E-D37C3778D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387801824"/>
        <c:axId val="1387799904"/>
      </c:barChart>
      <c:scatterChart>
        <c:scatterStyle val="lineMarker"/>
        <c:varyColors val="0"/>
        <c:ser>
          <c:idx val="5"/>
          <c:order val="5"/>
          <c:tx>
            <c:v>Progress Label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4EA72E">
                      <a:shade val="76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45380C2-E6BB-46E1-B54A-228521D0840E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EB2-4C72-A17E-D37C3778D8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08C04F-C788-4DFA-8820-C9F8B12D770C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EB2-4C72-A17E-D37C3778D8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EFCBF1-928A-4536-BC3D-B64BFC454D2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EB2-4C72-A17E-D37C3778D8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2B8590-A995-4F11-9E81-9C3CB8D35F0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EB2-4C72-A17E-D37C3778D8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7A13C9D-A5A1-41EA-BED3-14FEAEFC3201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EB2-4C72-A17E-D37C3778D8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73C0442-F961-4406-9C26-67231051FAA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EB2-4C72-A17E-D37C3778D8C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0C84310-EE96-40D8-BB5C-1919E5FA7FB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EB2-4C72-A17E-D37C3778D8C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21EB860-E66E-40A0-9FC6-E7BB57388416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EB2-4C72-A17E-D37C3778D8C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F3B828A-D08D-411F-8E3C-252AA4D29E87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EB2-4C72-A17E-D37C3778D8C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DAE2321-A899-4095-A098-89FF36F5F500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EB2-4C72-A17E-D37C3778D8C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9D7A8C3-7E64-4351-80A5-D9532D1D6B1D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EB2-4C72-A17E-D37C3778D8C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BDC9E45-1ED6-487B-ADBB-00BC14DDB7D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EB2-4C72-A17E-D37C3778D8C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34999BC-C158-4A03-8C2F-2490ABA495FD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EB2-4C72-A17E-D37C3778D8C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0F8395C-B63D-4F28-B095-3F8536F22CA6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EB2-4C72-A17E-D37C3778D8C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31FD75F-11E2-4B8D-9843-D426D615B4D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EB2-4C72-A17E-D37C3778D8C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85F5FA0-134F-4008-8604-F0FF068CF1D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EB2-4C72-A17E-D37C3778D8C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4856CF3-EBD0-423D-962E-0FA854D8078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EB2-4C72-A17E-D37C3778D8C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FFD5127-187D-420D-B6C3-B7B2C3DE1F5E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EB2-4C72-A17E-D37C3778D8C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CA151A2-60D2-441B-95F1-6C450759A1C6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EB2-4C72-A17E-D37C3778D8C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8A38108-3084-42BB-BC35-47D460BA99B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EB2-4C72-A17E-D37C3778D8C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D5E2BA2-AA08-4F51-8079-1B6E8A0A8628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EB2-4C72-A17E-D37C3778D8C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6979C6D-638A-4AC8-B3CB-346BEC8A8A5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EB2-4C72-A17E-D37C3778D8C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F601611-FE6E-4C22-B1DE-8062779C13F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EB2-4C72-A17E-D37C3778D8C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B919FBF-C6D0-49AB-8465-7F08B07B79F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EB2-4C72-A17E-D37C3778D8C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258DD70-EF30-4FD2-9ED9-11DAEBF4A98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EB2-4C72-A17E-D37C3778D8C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2863A48-B030-44F7-9803-C09E7CEED5D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EB2-4C72-A17E-D37C3778D8C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A31820C-B0C1-42D7-A2D3-A3E663ABF93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EB2-4C72-A17E-D37C3778D8C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C555ABC-7334-4DE4-ACEB-E12DDFE7544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EB2-4C72-A17E-D37C3778D8C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AFF1B41-7D75-4151-83BF-4E2B4E679ACE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EB2-4C72-A17E-D37C3778D8C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8A6A153-D532-427A-AE42-A115F40EDCA3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EB2-4C72-A17E-D37C3778D8C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64D81D3-6DD8-472B-82E8-70C6BA1EF4F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EB2-4C72-A17E-D37C3778D8C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8EC2883-4879-4F08-AC14-A985038527B0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EB2-4C72-A17E-D37C3778D8C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9562C26-DE6C-4929-AB18-1AC6239CEF7E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EB2-4C72-A17E-D37C3778D8C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C994750-504C-46EA-9D3E-71A8D1A5777D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EB2-4C72-A17E-D37C3778D8C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2DF9596-FD28-40C7-835F-BDAD23E3432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EB2-4C72-A17E-D37C3778D8C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7F68517-C33D-452C-B21D-C857F71DCBCF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EB2-4C72-A17E-D37C3778D8C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E68B4B0-2AD4-474D-9A30-8C88AB06C1FD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EB2-4C72-A17E-D37C3778D8C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A30E583-8DA0-4287-893D-49A8F6DA9FE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EB2-4C72-A17E-D37C3778D8C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E587DEB-83E2-42AD-8911-078712D62B18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EB2-4C72-A17E-D37C3778D8C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DC6830D-3508-4E25-A0E3-E19D7E8C276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EB2-4C72-A17E-D37C3778D8C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361A911-5BE9-4122-95E9-0C879B31ACC6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EB2-4C72-A17E-D37C3778D8C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E0CF522-13D8-44AE-A2E0-625902FADB84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EB2-4C72-A17E-D37C3778D8C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7AD35FE-1C59-423A-977C-A43079FB03D6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EB2-4C72-A17E-D37C3778D8C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CD7906E-7102-48F2-8D5C-2136CAEB1B1D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EB2-4C72-A17E-D37C3778D8C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3B36593-B1E6-4088-B7F7-1701376D959E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EB2-4C72-A17E-D37C3778D8CB}"/>
                </c:ext>
              </c:extLst>
            </c:dLbl>
            <c:spPr>
              <a:solidFill>
                <a:srgbClr val="FFFFFF">
                  <a:alpha val="80000"/>
                </a:srgbClr>
              </a:solidFill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900">
                    <a:solidFill>
                      <a:srgbClr val="808080"/>
                    </a:solidFill>
                    <a:latin typeface="Calibri" panose="020F0502020204030204" pitchFamily="34" charset="0"/>
                  </a:defRPr>
                </a:pPr>
                <a:endParaRPr lang="th-TH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6350">
                      <a:solidFill>
                        <a:srgbClr val="7F7F7F"/>
                      </a:solidFill>
                    </a:ln>
                  </c:spPr>
                </c15:leaderLines>
              </c:ext>
            </c:extLst>
          </c:dLbls>
          <c:xVal>
            <c:numLit>
              <c:formatCode>General</c:formatCode>
              <c:ptCount val="45"/>
              <c:pt idx="0">
                <c:v>46007</c:v>
              </c:pt>
              <c:pt idx="1">
                <c:v>46007</c:v>
              </c:pt>
              <c:pt idx="2">
                <c:v>45672</c:v>
              </c:pt>
              <c:pt idx="3">
                <c:v>45702</c:v>
              </c:pt>
              <c:pt idx="4">
                <c:v>45729</c:v>
              </c:pt>
              <c:pt idx="5">
                <c:v>45764</c:v>
              </c:pt>
              <c:pt idx="6">
                <c:v>45793</c:v>
              </c:pt>
              <c:pt idx="7">
                <c:v>45821</c:v>
              </c:pt>
              <c:pt idx="8">
                <c:v>45854</c:v>
              </c:pt>
              <c:pt idx="9">
                <c:v>45885</c:v>
              </c:pt>
              <c:pt idx="10">
                <c:v>45913</c:v>
              </c:pt>
              <c:pt idx="11">
                <c:v>45946</c:v>
              </c:pt>
              <c:pt idx="12">
                <c:v>45974</c:v>
              </c:pt>
              <c:pt idx="13">
                <c:v>46007</c:v>
              </c:pt>
              <c:pt idx="14">
                <c:v>45826</c:v>
              </c:pt>
              <c:pt idx="15">
                <c:v>45693</c:v>
              </c:pt>
              <c:pt idx="16">
                <c:v>45736</c:v>
              </c:pt>
              <c:pt idx="17">
                <c:v>45794</c:v>
              </c:pt>
              <c:pt idx="18">
                <c:v>45826</c:v>
              </c:pt>
              <c:pt idx="19">
                <c:v>45777</c:v>
              </c:pt>
              <c:pt idx="20">
                <c:v>45735</c:v>
              </c:pt>
              <c:pt idx="21">
                <c:v>45777</c:v>
              </c:pt>
              <c:pt idx="22">
                <c:v>45836</c:v>
              </c:pt>
              <c:pt idx="23">
                <c:v>45693</c:v>
              </c:pt>
              <c:pt idx="24">
                <c:v>45758</c:v>
              </c:pt>
              <c:pt idx="25">
                <c:v>45801</c:v>
              </c:pt>
              <c:pt idx="26">
                <c:v>45836</c:v>
              </c:pt>
              <c:pt idx="27">
                <c:v>45854</c:v>
              </c:pt>
              <c:pt idx="28">
                <c:v>45735</c:v>
              </c:pt>
              <c:pt idx="29">
                <c:v>45819</c:v>
              </c:pt>
              <c:pt idx="30">
                <c:v>45836</c:v>
              </c:pt>
              <c:pt idx="31">
                <c:v>45825</c:v>
              </c:pt>
              <c:pt idx="32">
                <c:v>45854</c:v>
              </c:pt>
              <c:pt idx="33">
                <c:v>45934</c:v>
              </c:pt>
              <c:pt idx="34">
                <c:v>45693</c:v>
              </c:pt>
              <c:pt idx="35">
                <c:v>45738</c:v>
              </c:pt>
              <c:pt idx="36">
                <c:v>45799</c:v>
              </c:pt>
              <c:pt idx="37">
                <c:v>45856</c:v>
              </c:pt>
              <c:pt idx="38">
                <c:v>45934</c:v>
              </c:pt>
              <c:pt idx="39">
                <c:v>45829</c:v>
              </c:pt>
              <c:pt idx="40">
                <c:v>45731</c:v>
              </c:pt>
              <c:pt idx="41">
                <c:v>45801</c:v>
              </c:pt>
              <c:pt idx="42">
                <c:v>45819</c:v>
              </c:pt>
              <c:pt idx="43">
                <c:v>45822</c:v>
              </c:pt>
              <c:pt idx="44">
                <c:v>45829</c:v>
              </c:pt>
            </c:numLit>
          </c:xVal>
          <c:yVal>
            <c:numLit>
              <c:formatCode>General</c:formatCode>
              <c:ptCount val="45"/>
              <c:pt idx="0">
                <c:v>1.5</c:v>
              </c:pt>
              <c:pt idx="1">
                <c:v>2.5</c:v>
              </c:pt>
              <c:pt idx="2">
                <c:v>3.5</c:v>
              </c:pt>
              <c:pt idx="3">
                <c:v>4.5</c:v>
              </c:pt>
              <c:pt idx="4">
                <c:v>5.5</c:v>
              </c:pt>
              <c:pt idx="5">
                <c:v>6.5</c:v>
              </c:pt>
              <c:pt idx="6">
                <c:v>7.5</c:v>
              </c:pt>
              <c:pt idx="7">
                <c:v>8.5</c:v>
              </c:pt>
              <c:pt idx="8">
                <c:v>9.5</c:v>
              </c:pt>
              <c:pt idx="9">
                <c:v>10.5</c:v>
              </c:pt>
              <c:pt idx="10">
                <c:v>11.5</c:v>
              </c:pt>
              <c:pt idx="11">
                <c:v>12.5</c:v>
              </c:pt>
              <c:pt idx="12">
                <c:v>13.5</c:v>
              </c:pt>
              <c:pt idx="13">
                <c:v>14.5</c:v>
              </c:pt>
              <c:pt idx="14">
                <c:v>15.5</c:v>
              </c:pt>
              <c:pt idx="15">
                <c:v>16.5</c:v>
              </c:pt>
              <c:pt idx="16">
                <c:v>17.5</c:v>
              </c:pt>
              <c:pt idx="17">
                <c:v>18.5</c:v>
              </c:pt>
              <c:pt idx="18">
                <c:v>19.5</c:v>
              </c:pt>
              <c:pt idx="19">
                <c:v>20.5</c:v>
              </c:pt>
              <c:pt idx="20">
                <c:v>21.5</c:v>
              </c:pt>
              <c:pt idx="21">
                <c:v>22.5</c:v>
              </c:pt>
              <c:pt idx="22">
                <c:v>23.5</c:v>
              </c:pt>
              <c:pt idx="23">
                <c:v>24.5</c:v>
              </c:pt>
              <c:pt idx="24">
                <c:v>25.5</c:v>
              </c:pt>
              <c:pt idx="25">
                <c:v>26.5</c:v>
              </c:pt>
              <c:pt idx="26">
                <c:v>27.5</c:v>
              </c:pt>
              <c:pt idx="27">
                <c:v>28.5</c:v>
              </c:pt>
              <c:pt idx="28">
                <c:v>29.5</c:v>
              </c:pt>
              <c:pt idx="29">
                <c:v>30.5</c:v>
              </c:pt>
              <c:pt idx="30">
                <c:v>31.5</c:v>
              </c:pt>
              <c:pt idx="31">
                <c:v>32.5</c:v>
              </c:pt>
              <c:pt idx="32">
                <c:v>33.5</c:v>
              </c:pt>
              <c:pt idx="33">
                <c:v>34.5</c:v>
              </c:pt>
              <c:pt idx="34">
                <c:v>35.5</c:v>
              </c:pt>
              <c:pt idx="35">
                <c:v>36.5</c:v>
              </c:pt>
              <c:pt idx="36">
                <c:v>37.5</c:v>
              </c:pt>
              <c:pt idx="37">
                <c:v>38.5</c:v>
              </c:pt>
              <c:pt idx="38">
                <c:v>39.5</c:v>
              </c:pt>
              <c:pt idx="39">
                <c:v>40.5</c:v>
              </c:pt>
              <c:pt idx="40">
                <c:v>41.5</c:v>
              </c:pt>
              <c:pt idx="41">
                <c:v>42.5</c:v>
              </c:pt>
              <c:pt idx="42">
                <c:v>43.5</c:v>
              </c:pt>
              <c:pt idx="43">
                <c:v>44.5</c:v>
              </c:pt>
              <c:pt idx="44">
                <c:v>45.5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WorkSchedule!$S$12:$S$56</c15:f>
                <c15:dlblRangeCache>
                  <c:ptCount val="45"/>
                  <c:pt idx="0">
                    <c:v>62% (62%)</c:v>
                  </c:pt>
                  <c:pt idx="1">
                    <c:v>50% (50%)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80% (80%)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2">
                    <c:v>85% (85%)</c:v>
                  </c:pt>
                  <c:pt idx="23">
                    <c:v>100%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0%</c:v>
                  </c:pt>
                  <c:pt idx="27">
                    <c:v>50% (50%)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45% (45%)</c:v>
                  </c:pt>
                  <c:pt idx="34">
                    <c:v>100%</c:v>
                  </c:pt>
                  <c:pt idx="35">
                    <c:v>100%</c:v>
                  </c:pt>
                  <c:pt idx="36">
                    <c:v>100%</c:v>
                  </c:pt>
                  <c:pt idx="37">
                    <c:v>0%</c:v>
                  </c:pt>
                  <c:pt idx="38">
                    <c:v>0%</c:v>
                  </c:pt>
                  <c:pt idx="39">
                    <c:v>80% (80%)</c:v>
                  </c:pt>
                  <c:pt idx="40">
                    <c:v>100%</c:v>
                  </c:pt>
                  <c:pt idx="41">
                    <c:v>100%</c:v>
                  </c:pt>
                  <c:pt idx="42">
                    <c:v>100%</c:v>
                  </c:pt>
                  <c:pt idx="43">
                    <c:v>100%</c:v>
                  </c:pt>
                  <c:pt idx="44">
                    <c:v>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EB2-4C72-A17E-D37C3778D8CB}"/>
            </c:ext>
          </c:extLst>
        </c:ser>
        <c:ser>
          <c:idx val="6"/>
          <c:order val="6"/>
          <c:tx>
            <c:v>DataLabels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56082">
                      <a:tint val="77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pPr>
              <a:solidFill>
                <a:srgbClr val="156082">
                  <a:tint val="77000"/>
                </a:srgbClr>
              </a:solidFill>
              <a:ln w="1270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dPt>
            <c:idx val="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5-0EB2-4C72-A17E-D37C3778D8CB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6-0EB2-4C72-A17E-D37C3778D8CB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7-0EB2-4C72-A17E-D37C3778D8CB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8-0EB2-4C72-A17E-D37C3778D8CB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9-0EB2-4C72-A17E-D37C3778D8CB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A-0EB2-4C72-A17E-D37C3778D8CB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B-0EB2-4C72-A17E-D37C3778D8CB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C-0EB2-4C72-A17E-D37C3778D8CB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D-0EB2-4C72-A17E-D37C3778D8CB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E-0EB2-4C72-A17E-D37C3778D8CB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F-0EB2-4C72-A17E-D37C3778D8CB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0-0EB2-4C72-A17E-D37C3778D8CB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1-0EB2-4C72-A17E-D37C3778D8CB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2-0EB2-4C72-A17E-D37C3778D8CB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3-0EB2-4C72-A17E-D37C3778D8CB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4-0EB2-4C72-A17E-D37C3778D8CB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5-0EB2-4C72-A17E-D37C3778D8CB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6-0EB2-4C72-A17E-D37C3778D8CB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7-0EB2-4C72-A17E-D37C3778D8CB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8-0EB2-4C72-A17E-D37C3778D8CB}"/>
              </c:ext>
            </c:extLst>
          </c:dPt>
          <c:dPt>
            <c:idx val="2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9-0EB2-4C72-A17E-D37C3778D8CB}"/>
              </c:ext>
            </c:extLst>
          </c:dPt>
          <c:dPt>
            <c:idx val="2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A-0EB2-4C72-A17E-D37C3778D8CB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B-0EB2-4C72-A17E-D37C3778D8CB}"/>
              </c:ext>
            </c:extLst>
          </c:dPt>
          <c:dPt>
            <c:idx val="2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C-0EB2-4C72-A17E-D37C3778D8CB}"/>
              </c:ext>
            </c:extLst>
          </c:dPt>
          <c:dPt>
            <c:idx val="2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D-0EB2-4C72-A17E-D37C3778D8CB}"/>
              </c:ext>
            </c:extLst>
          </c:dPt>
          <c:dPt>
            <c:idx val="2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E-0EB2-4C72-A17E-D37C3778D8CB}"/>
              </c:ext>
            </c:extLst>
          </c:dPt>
          <c:dPt>
            <c:idx val="2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F-0EB2-4C72-A17E-D37C3778D8CB}"/>
              </c:ext>
            </c:extLst>
          </c:dPt>
          <c:dPt>
            <c:idx val="2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0-0EB2-4C72-A17E-D37C3778D8CB}"/>
              </c:ext>
            </c:extLst>
          </c:dPt>
          <c:dPt>
            <c:idx val="2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1-0EB2-4C72-A17E-D37C3778D8CB}"/>
              </c:ext>
            </c:extLst>
          </c:dPt>
          <c:dPt>
            <c:idx val="2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2-0EB2-4C72-A17E-D37C3778D8CB}"/>
              </c:ext>
            </c:extLst>
          </c:dPt>
          <c:dPt>
            <c:idx val="3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3-0EB2-4C72-A17E-D37C3778D8CB}"/>
              </c:ext>
            </c:extLst>
          </c:dPt>
          <c:dPt>
            <c:idx val="3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4-0EB2-4C72-A17E-D37C3778D8CB}"/>
              </c:ext>
            </c:extLst>
          </c:dPt>
          <c:dPt>
            <c:idx val="3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5-0EB2-4C72-A17E-D37C3778D8CB}"/>
              </c:ext>
            </c:extLst>
          </c:dPt>
          <c:dPt>
            <c:idx val="3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6-0EB2-4C72-A17E-D37C3778D8CB}"/>
              </c:ext>
            </c:extLst>
          </c:dPt>
          <c:dPt>
            <c:idx val="3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7-0EB2-4C72-A17E-D37C3778D8CB}"/>
              </c:ext>
            </c:extLst>
          </c:dPt>
          <c:dPt>
            <c:idx val="3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8-0EB2-4C72-A17E-D37C3778D8CB}"/>
              </c:ext>
            </c:extLst>
          </c:dPt>
          <c:dPt>
            <c:idx val="3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9-0EB2-4C72-A17E-D37C3778D8CB}"/>
              </c:ext>
            </c:extLst>
          </c:dPt>
          <c:dPt>
            <c:idx val="3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A-0EB2-4C72-A17E-D37C3778D8CB}"/>
              </c:ext>
            </c:extLst>
          </c:dPt>
          <c:dPt>
            <c:idx val="3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B-0EB2-4C72-A17E-D37C3778D8CB}"/>
              </c:ext>
            </c:extLst>
          </c:dPt>
          <c:dPt>
            <c:idx val="3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C-0EB2-4C72-A17E-D37C3778D8CB}"/>
              </c:ext>
            </c:extLst>
          </c:dPt>
          <c:dPt>
            <c:idx val="4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D-0EB2-4C72-A17E-D37C3778D8CB}"/>
              </c:ext>
            </c:extLst>
          </c:dPt>
          <c:dPt>
            <c:idx val="4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E-0EB2-4C72-A17E-D37C3778D8CB}"/>
              </c:ext>
            </c:extLst>
          </c:dPt>
          <c:dPt>
            <c:idx val="4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F-0EB2-4C72-A17E-D37C3778D8CB}"/>
              </c:ext>
            </c:extLst>
          </c:dPt>
          <c:dPt>
            <c:idx val="4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0-0EB2-4C72-A17E-D37C3778D8CB}"/>
              </c:ext>
            </c:extLst>
          </c:dPt>
          <c:dPt>
            <c:idx val="4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1-0EB2-4C72-A17E-D37C3778D8CB}"/>
              </c:ext>
            </c:extLst>
          </c:dPt>
          <c:dLbls>
            <c:dLbl>
              <c:idx val="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F381A491-7C0A-4776-A144-C24C5644730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0EB2-4C72-A17E-D37C3778D8CB}"/>
                </c:ext>
              </c:extLst>
            </c:dLbl>
            <c:dLbl>
              <c:idx val="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D4334DE-DC2F-477D-925F-0DE3A66419A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6-0EB2-4C72-A17E-D37C3778D8CB}"/>
                </c:ext>
              </c:extLst>
            </c:dLbl>
            <c:dLbl>
              <c:idx val="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9787FE7-61F1-4E44-AB52-5A90DA633249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0EB2-4C72-A17E-D37C3778D8CB}"/>
                </c:ext>
              </c:extLst>
            </c:dLbl>
            <c:dLbl>
              <c:idx val="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0C57D10E-2243-416B-9079-C8AB7C7546E6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0EB2-4C72-A17E-D37C3778D8CB}"/>
                </c:ext>
              </c:extLst>
            </c:dLbl>
            <c:dLbl>
              <c:idx val="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FC220DCE-313B-43F5-AC9B-311BBBE970B7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0EB2-4C72-A17E-D37C3778D8CB}"/>
                </c:ext>
              </c:extLst>
            </c:dLbl>
            <c:dLbl>
              <c:idx val="5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BB8EB992-4521-403B-8E86-64127AEF2BFB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0EB2-4C72-A17E-D37C3778D8CB}"/>
                </c:ext>
              </c:extLst>
            </c:dLbl>
            <c:dLbl>
              <c:idx val="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AB10059-5174-4B7B-BC12-FEDB5248FFD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B-0EB2-4C72-A17E-D37C3778D8CB}"/>
                </c:ext>
              </c:extLst>
            </c:dLbl>
            <c:dLbl>
              <c:idx val="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8F8A3BF-C893-49B8-AED5-8C386B153F4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C-0EB2-4C72-A17E-D37C3778D8CB}"/>
                </c:ext>
              </c:extLst>
            </c:dLbl>
            <c:dLbl>
              <c:idx val="8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CFF75720-CA1C-4772-B0C5-14EB982561AB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D-0EB2-4C72-A17E-D37C3778D8CB}"/>
                </c:ext>
              </c:extLst>
            </c:dLbl>
            <c:dLbl>
              <c:idx val="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C7B1A0D3-6419-4D2C-983E-3FAE315C9789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E-0EB2-4C72-A17E-D37C3778D8CB}"/>
                </c:ext>
              </c:extLst>
            </c:dLbl>
            <c:dLbl>
              <c:idx val="1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B82F464-28C9-47DD-A5C5-4C942E707209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F-0EB2-4C72-A17E-D37C3778D8CB}"/>
                </c:ext>
              </c:extLst>
            </c:dLbl>
            <c:dLbl>
              <c:idx val="1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0047FB1-467F-4358-BECF-4FAE0143FE93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0-0EB2-4C72-A17E-D37C3778D8CB}"/>
                </c:ext>
              </c:extLst>
            </c:dLbl>
            <c:dLbl>
              <c:idx val="1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4656F348-8BED-48B2-AF6C-2B857053F263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1-0EB2-4C72-A17E-D37C3778D8CB}"/>
                </c:ext>
              </c:extLst>
            </c:dLbl>
            <c:dLbl>
              <c:idx val="1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0FAAFDB-5895-48DF-B476-197F39EC519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2-0EB2-4C72-A17E-D37C3778D8CB}"/>
                </c:ext>
              </c:extLst>
            </c:dLbl>
            <c:dLbl>
              <c:idx val="1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C5FB9D2-FCA3-4DE7-A169-8C2A633BEE91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3-0EB2-4C72-A17E-D37C3778D8CB}"/>
                </c:ext>
              </c:extLst>
            </c:dLbl>
            <c:dLbl>
              <c:idx val="15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441688FE-CB07-4AB5-ADDF-75F26BCB76B8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4-0EB2-4C72-A17E-D37C3778D8CB}"/>
                </c:ext>
              </c:extLst>
            </c:dLbl>
            <c:dLbl>
              <c:idx val="1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166B9E6D-12DC-43A8-8206-7B7BDB0D04EF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5-0EB2-4C72-A17E-D37C3778D8CB}"/>
                </c:ext>
              </c:extLst>
            </c:dLbl>
            <c:dLbl>
              <c:idx val="1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19424B2-2B13-4E7D-B72B-24A241DD3887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6-0EB2-4C72-A17E-D37C3778D8CB}"/>
                </c:ext>
              </c:extLst>
            </c:dLbl>
            <c:dLbl>
              <c:idx val="18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B710D54-042C-463B-AB5F-DFC1BC4ADAEB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0EB2-4C72-A17E-D37C3778D8CB}"/>
                </c:ext>
              </c:extLst>
            </c:dLbl>
            <c:dLbl>
              <c:idx val="1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CD5C4083-DC2B-40DE-ACD7-EF60E67C9A3B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8-0EB2-4C72-A17E-D37C3778D8CB}"/>
                </c:ext>
              </c:extLst>
            </c:dLbl>
            <c:dLbl>
              <c:idx val="2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F013B25C-72CD-4524-9451-E049AC1EAA6F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9-0EB2-4C72-A17E-D37C3778D8CB}"/>
                </c:ext>
              </c:extLst>
            </c:dLbl>
            <c:dLbl>
              <c:idx val="2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43A8264A-2F64-423E-AF50-C3E928513DAE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A-0EB2-4C72-A17E-D37C3778D8CB}"/>
                </c:ext>
              </c:extLst>
            </c:dLbl>
            <c:dLbl>
              <c:idx val="2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F2497639-69C5-46EB-8A6B-73F46F7F2460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B-0EB2-4C72-A17E-D37C3778D8CB}"/>
                </c:ext>
              </c:extLst>
            </c:dLbl>
            <c:dLbl>
              <c:idx val="2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60F6A50-92FE-40B0-9047-5D2E06538B77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C-0EB2-4C72-A17E-D37C3778D8CB}"/>
                </c:ext>
              </c:extLst>
            </c:dLbl>
            <c:dLbl>
              <c:idx val="2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4933D47-5A10-4281-A91D-8B22053A09A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D-0EB2-4C72-A17E-D37C3778D8CB}"/>
                </c:ext>
              </c:extLst>
            </c:dLbl>
            <c:dLbl>
              <c:idx val="25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08E45C85-C36E-4EBC-A301-825D6874AEB1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E-0EB2-4C72-A17E-D37C3778D8CB}"/>
                </c:ext>
              </c:extLst>
            </c:dLbl>
            <c:dLbl>
              <c:idx val="2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4D645B7-FE74-4A5D-B03E-6A6DBDAF093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F-0EB2-4C72-A17E-D37C3778D8CB}"/>
                </c:ext>
              </c:extLst>
            </c:dLbl>
            <c:dLbl>
              <c:idx val="2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79F5459-C178-45B0-B22F-B5E9944468AB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0-0EB2-4C72-A17E-D37C3778D8CB}"/>
                </c:ext>
              </c:extLst>
            </c:dLbl>
            <c:dLbl>
              <c:idx val="28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A78C9DB-EA71-4BFB-812B-7030EDDF98D7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1-0EB2-4C72-A17E-D37C3778D8CB}"/>
                </c:ext>
              </c:extLst>
            </c:dLbl>
            <c:dLbl>
              <c:idx val="2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B36D1008-C2C2-44EA-A05C-1C9CC9A53AF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2-0EB2-4C72-A17E-D37C3778D8CB}"/>
                </c:ext>
              </c:extLst>
            </c:dLbl>
            <c:dLbl>
              <c:idx val="3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01866D57-238F-41A6-93D9-1610A5BCE40B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3-0EB2-4C72-A17E-D37C3778D8CB}"/>
                </c:ext>
              </c:extLst>
            </c:dLbl>
            <c:dLbl>
              <c:idx val="3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9E5731B-076D-4E0A-B26D-6A68CB75040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4-0EB2-4C72-A17E-D37C3778D8CB}"/>
                </c:ext>
              </c:extLst>
            </c:dLbl>
            <c:dLbl>
              <c:idx val="3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CD3CF50A-7E27-45CE-86A6-397FBC1B4FD9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5-0EB2-4C72-A17E-D37C3778D8CB}"/>
                </c:ext>
              </c:extLst>
            </c:dLbl>
            <c:dLbl>
              <c:idx val="3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490844AB-DE83-4861-97BD-8AC3DAE2CA6E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6-0EB2-4C72-A17E-D37C3778D8CB}"/>
                </c:ext>
              </c:extLst>
            </c:dLbl>
            <c:dLbl>
              <c:idx val="3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8FFA2B8-008D-45DC-8425-341F0E3506D8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7-0EB2-4C72-A17E-D37C3778D8CB}"/>
                </c:ext>
              </c:extLst>
            </c:dLbl>
            <c:dLbl>
              <c:idx val="35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E07CFB9-35C8-41B7-91A9-F187683A92A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8-0EB2-4C72-A17E-D37C3778D8CB}"/>
                </c:ext>
              </c:extLst>
            </c:dLbl>
            <c:dLbl>
              <c:idx val="3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6AEF329-1E28-45F4-B63E-A2AAD2BE600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9-0EB2-4C72-A17E-D37C3778D8CB}"/>
                </c:ext>
              </c:extLst>
            </c:dLbl>
            <c:dLbl>
              <c:idx val="3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DACC36D-0DDA-47C3-96F1-3B2C68B9BEE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A-0EB2-4C72-A17E-D37C3778D8CB}"/>
                </c:ext>
              </c:extLst>
            </c:dLbl>
            <c:dLbl>
              <c:idx val="38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2AF80E49-D8C9-499E-B80A-53CE8BAA9570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B-0EB2-4C72-A17E-D37C3778D8CB}"/>
                </c:ext>
              </c:extLst>
            </c:dLbl>
            <c:dLbl>
              <c:idx val="3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FAB7346C-F12F-47B6-B8C2-1DDB6184D300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C-0EB2-4C72-A17E-D37C3778D8CB}"/>
                </c:ext>
              </c:extLst>
            </c:dLbl>
            <c:dLbl>
              <c:idx val="4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8800385-3D80-4770-9BA6-258B6B50F0EF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D-0EB2-4C72-A17E-D37C3778D8CB}"/>
                </c:ext>
              </c:extLst>
            </c:dLbl>
            <c:dLbl>
              <c:idx val="4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CECB6383-14F9-41DE-8139-3439C6FDFEF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E-0EB2-4C72-A17E-D37C3778D8CB}"/>
                </c:ext>
              </c:extLst>
            </c:dLbl>
            <c:dLbl>
              <c:idx val="4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A25FEE9-825A-4741-B889-C3EB8E58B82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F-0EB2-4C72-A17E-D37C3778D8CB}"/>
                </c:ext>
              </c:extLst>
            </c:dLbl>
            <c:dLbl>
              <c:idx val="4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FA44D424-1FDB-422E-8AA7-ADA603F386B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0-0EB2-4C72-A17E-D37C3778D8CB}"/>
                </c:ext>
              </c:extLst>
            </c:dLbl>
            <c:dLbl>
              <c:idx val="4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54C0B994-4039-4422-96E3-9AD5720EC388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1-0EB2-4C72-A17E-D37C3778D8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6350">
                      <a:solidFill>
                        <a:srgbClr val="7F7F7F"/>
                      </a:solidFill>
                      <a:prstDash val="solid"/>
                    </a:ln>
                  </c:spPr>
                </c15:leaderLines>
              </c:ext>
            </c:extLst>
          </c:dLbls>
          <c:xVal>
            <c:numLit>
              <c:formatCode>General</c:formatCode>
              <c:ptCount val="45"/>
              <c:pt idx="0">
                <c:v>45667</c:v>
              </c:pt>
              <c:pt idx="1">
                <c:v>45667</c:v>
              </c:pt>
              <c:pt idx="2">
                <c:v>45667</c:v>
              </c:pt>
              <c:pt idx="3">
                <c:v>45698</c:v>
              </c:pt>
              <c:pt idx="4">
                <c:v>45726</c:v>
              </c:pt>
              <c:pt idx="5">
                <c:v>45757</c:v>
              </c:pt>
              <c:pt idx="6">
                <c:v>45790</c:v>
              </c:pt>
              <c:pt idx="7">
                <c:v>45818</c:v>
              </c:pt>
              <c:pt idx="8">
                <c:v>45849</c:v>
              </c:pt>
              <c:pt idx="9">
                <c:v>45882</c:v>
              </c:pt>
              <c:pt idx="10">
                <c:v>45910</c:v>
              </c:pt>
              <c:pt idx="11">
                <c:v>45940</c:v>
              </c:pt>
              <c:pt idx="12">
                <c:v>45971</c:v>
              </c:pt>
              <c:pt idx="13">
                <c:v>46002</c:v>
              </c:pt>
              <c:pt idx="14">
                <c:v>45691</c:v>
              </c:pt>
              <c:pt idx="15">
                <c:v>45691</c:v>
              </c:pt>
              <c:pt idx="16">
                <c:v>45734</c:v>
              </c:pt>
              <c:pt idx="17">
                <c:v>45790</c:v>
              </c:pt>
              <c:pt idx="18">
                <c:v>45824</c:v>
              </c:pt>
              <c:pt idx="19">
                <c:v>45733</c:v>
              </c:pt>
              <c:pt idx="20">
                <c:v>45733</c:v>
              </c:pt>
              <c:pt idx="21">
                <c:v>45775</c:v>
              </c:pt>
              <c:pt idx="22">
                <c:v>45691</c:v>
              </c:pt>
              <c:pt idx="23">
                <c:v>45691</c:v>
              </c:pt>
              <c:pt idx="24">
                <c:v>45751</c:v>
              </c:pt>
              <c:pt idx="25">
                <c:v>45796</c:v>
              </c:pt>
              <c:pt idx="26">
                <c:v>45834</c:v>
              </c:pt>
              <c:pt idx="27">
                <c:v>45733</c:v>
              </c:pt>
              <c:pt idx="28">
                <c:v>45733</c:v>
              </c:pt>
              <c:pt idx="29">
                <c:v>45803</c:v>
              </c:pt>
              <c:pt idx="30">
                <c:v>45824</c:v>
              </c:pt>
              <c:pt idx="31">
                <c:v>45824</c:v>
              </c:pt>
              <c:pt idx="32">
                <c:v>45853</c:v>
              </c:pt>
              <c:pt idx="33">
                <c:v>45691</c:v>
              </c:pt>
              <c:pt idx="34">
                <c:v>45691</c:v>
              </c:pt>
              <c:pt idx="35">
                <c:v>45736</c:v>
              </c:pt>
              <c:pt idx="36">
                <c:v>45798</c:v>
              </c:pt>
              <c:pt idx="37">
                <c:v>45853</c:v>
              </c:pt>
              <c:pt idx="38">
                <c:v>45931</c:v>
              </c:pt>
              <c:pt idx="39">
                <c:v>45719</c:v>
              </c:pt>
              <c:pt idx="40">
                <c:v>45719</c:v>
              </c:pt>
              <c:pt idx="41">
                <c:v>45796</c:v>
              </c:pt>
              <c:pt idx="42">
                <c:v>45817</c:v>
              </c:pt>
              <c:pt idx="43">
                <c:v>45819</c:v>
              </c:pt>
              <c:pt idx="44">
                <c:v>45824</c:v>
              </c:pt>
            </c:numLit>
          </c:xVal>
          <c:yVal>
            <c:numLit>
              <c:formatCode>General</c:formatCode>
              <c:ptCount val="45"/>
              <c:pt idx="0">
                <c:v>1.5</c:v>
              </c:pt>
              <c:pt idx="1">
                <c:v>2.5</c:v>
              </c:pt>
              <c:pt idx="2">
                <c:v>3.5</c:v>
              </c:pt>
              <c:pt idx="3">
                <c:v>4.5</c:v>
              </c:pt>
              <c:pt idx="4">
                <c:v>5.5</c:v>
              </c:pt>
              <c:pt idx="5">
                <c:v>6.5</c:v>
              </c:pt>
              <c:pt idx="6">
                <c:v>7.5</c:v>
              </c:pt>
              <c:pt idx="7">
                <c:v>8.5</c:v>
              </c:pt>
              <c:pt idx="8">
                <c:v>9.5</c:v>
              </c:pt>
              <c:pt idx="9">
                <c:v>10.5</c:v>
              </c:pt>
              <c:pt idx="10">
                <c:v>11.5</c:v>
              </c:pt>
              <c:pt idx="11">
                <c:v>12.5</c:v>
              </c:pt>
              <c:pt idx="12">
                <c:v>13.5</c:v>
              </c:pt>
              <c:pt idx="13">
                <c:v>14.5</c:v>
              </c:pt>
              <c:pt idx="14">
                <c:v>15.5</c:v>
              </c:pt>
              <c:pt idx="15">
                <c:v>16.5</c:v>
              </c:pt>
              <c:pt idx="16">
                <c:v>17.5</c:v>
              </c:pt>
              <c:pt idx="17">
                <c:v>18.5</c:v>
              </c:pt>
              <c:pt idx="18">
                <c:v>19.5</c:v>
              </c:pt>
              <c:pt idx="19">
                <c:v>20.5</c:v>
              </c:pt>
              <c:pt idx="20">
                <c:v>21.5</c:v>
              </c:pt>
              <c:pt idx="21">
                <c:v>22.5</c:v>
              </c:pt>
              <c:pt idx="22">
                <c:v>23.5</c:v>
              </c:pt>
              <c:pt idx="23">
                <c:v>24.5</c:v>
              </c:pt>
              <c:pt idx="24">
                <c:v>25.5</c:v>
              </c:pt>
              <c:pt idx="25">
                <c:v>26.5</c:v>
              </c:pt>
              <c:pt idx="26">
                <c:v>27.5</c:v>
              </c:pt>
              <c:pt idx="27">
                <c:v>28.5</c:v>
              </c:pt>
              <c:pt idx="28">
                <c:v>29.5</c:v>
              </c:pt>
              <c:pt idx="29">
                <c:v>30.5</c:v>
              </c:pt>
              <c:pt idx="30">
                <c:v>31.5</c:v>
              </c:pt>
              <c:pt idx="31">
                <c:v>32.5</c:v>
              </c:pt>
              <c:pt idx="32">
                <c:v>33.5</c:v>
              </c:pt>
              <c:pt idx="33">
                <c:v>34.5</c:v>
              </c:pt>
              <c:pt idx="34">
                <c:v>35.5</c:v>
              </c:pt>
              <c:pt idx="35">
                <c:v>36.5</c:v>
              </c:pt>
              <c:pt idx="36">
                <c:v>37.5</c:v>
              </c:pt>
              <c:pt idx="37">
                <c:v>38.5</c:v>
              </c:pt>
              <c:pt idx="38">
                <c:v>39.5</c:v>
              </c:pt>
              <c:pt idx="39">
                <c:v>40.5</c:v>
              </c:pt>
              <c:pt idx="40">
                <c:v>41.5</c:v>
              </c:pt>
              <c:pt idx="41">
                <c:v>42.5</c:v>
              </c:pt>
              <c:pt idx="42">
                <c:v>43.5</c:v>
              </c:pt>
              <c:pt idx="43">
                <c:v>44.5</c:v>
              </c:pt>
              <c:pt idx="44">
                <c:v>45.5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WorkSchedule!$D$12:$D$56</c15:f>
                <c15:dlblRangeCache>
                  <c:ptCount val="45"/>
                  <c:pt idx="0">
                    <c:v>Overall Project</c:v>
                  </c:pt>
                  <c:pt idx="1">
                    <c:v>(P1) VSRM - Credit Portfolio</c:v>
                  </c:pt>
                  <c:pt idx="2">
                    <c:v>VSRM R1</c:v>
                  </c:pt>
                  <c:pt idx="3">
                    <c:v>VSRM R2</c:v>
                  </c:pt>
                  <c:pt idx="4">
                    <c:v>VSRM R3</c:v>
                  </c:pt>
                  <c:pt idx="5">
                    <c:v>VSRM R4</c:v>
                  </c:pt>
                  <c:pt idx="6">
                    <c:v>VSRM R5</c:v>
                  </c:pt>
                  <c:pt idx="7">
                    <c:v>VSRM R6</c:v>
                  </c:pt>
                  <c:pt idx="8">
                    <c:v>VSRM R7</c:v>
                  </c:pt>
                  <c:pt idx="9">
                    <c:v>VSRM R8</c:v>
                  </c:pt>
                  <c:pt idx="10">
                    <c:v>VSRM R9</c:v>
                  </c:pt>
                  <c:pt idx="11">
                    <c:v>VSRM R10</c:v>
                  </c:pt>
                  <c:pt idx="12">
                    <c:v>VSRM R11</c:v>
                  </c:pt>
                  <c:pt idx="13">
                    <c:v>VSRM R12</c:v>
                  </c:pt>
                  <c:pt idx="14">
                    <c:v>(P2) Enterprise Fraud Mgmt.</c:v>
                  </c:pt>
                  <c:pt idx="15">
                    <c:v>Kick-Off Meeting</c:v>
                  </c:pt>
                  <c:pt idx="16">
                    <c:v>WS1</c:v>
                  </c:pt>
                  <c:pt idx="17">
                    <c:v>WS2</c:v>
                  </c:pt>
                  <c:pt idx="18">
                    <c:v>Final Delivery</c:v>
                  </c:pt>
                  <c:pt idx="19">
                    <c:v>(P3) STIP Optimization</c:v>
                  </c:pt>
                  <c:pt idx="20">
                    <c:v>Kick-Off meeting</c:v>
                  </c:pt>
                  <c:pt idx="21">
                    <c:v>Config. Recom.</c:v>
                  </c:pt>
                  <c:pt idx="22">
                    <c:v>(P4) Fraud Risk Analytics </c:v>
                  </c:pt>
                  <c:pt idx="23">
                    <c:v>Kick-Off meetings</c:v>
                  </c:pt>
                  <c:pt idx="24">
                    <c:v>Metric shortlisting</c:v>
                  </c:pt>
                  <c:pt idx="25">
                    <c:v>Workshop</c:v>
                  </c:pt>
                  <c:pt idx="26">
                    <c:v>Final Delivery</c:v>
                  </c:pt>
                  <c:pt idx="27">
                    <c:v>(P5) VPTL – Credit &amp; Debit</c:v>
                  </c:pt>
                  <c:pt idx="28">
                    <c:v>Kick-Off meeting</c:v>
                  </c:pt>
                  <c:pt idx="29">
                    <c:v>2-week testing (Credit)</c:v>
                  </c:pt>
                  <c:pt idx="30">
                    <c:v>2-week testing (Debit)</c:v>
                  </c:pt>
                  <c:pt idx="31">
                    <c:v>Credit Recom.</c:v>
                  </c:pt>
                  <c:pt idx="32">
                    <c:v>Debit Recom.</c:v>
                  </c:pt>
                  <c:pt idx="33">
                    <c:v>(P6) Upskilling Workshops</c:v>
                  </c:pt>
                  <c:pt idx="34">
                    <c:v>Kick-Off meeting</c:v>
                  </c:pt>
                  <c:pt idx="35">
                    <c:v>WS1 (4 mods)</c:v>
                  </c:pt>
                  <c:pt idx="36">
                    <c:v>WS2 (1 mod)</c:v>
                  </c:pt>
                  <c:pt idx="37">
                    <c:v>WS3 (5 mods)</c:v>
                  </c:pt>
                  <c:pt idx="38">
                    <c:v>WS4 (5 mods)</c:v>
                  </c:pt>
                  <c:pt idx="39">
                    <c:v>(P7) VCAS (Authentication)</c:v>
                  </c:pt>
                  <c:pt idx="40">
                    <c:v>Business Feasibility</c:v>
                  </c:pt>
                  <c:pt idx="41">
                    <c:v>Technical Feasibility</c:v>
                  </c:pt>
                  <c:pt idx="42">
                    <c:v>Visa's assessment</c:v>
                  </c:pt>
                  <c:pt idx="43">
                    <c:v>Revise Business feasibility</c:v>
                  </c:pt>
                  <c:pt idx="44">
                    <c:v>IT investment (prep)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4-0EB2-4C72-A17E-D37C3778D8CB}"/>
            </c:ext>
          </c:extLst>
        </c:ser>
        <c:ser>
          <c:idx val="7"/>
          <c:order val="7"/>
          <c:tx>
            <c:v>We are here!!</c:v>
          </c:tx>
          <c:spPr>
            <a:ln w="19050">
              <a:solidFill>
                <a:srgbClr val="FA0000"/>
              </a:solidFill>
            </a:ln>
          </c:spPr>
          <c:marker>
            <c:symbol val="none"/>
          </c:marker>
          <c:xVal>
            <c:numRef>
              <c:f>(WorkSchedule!$C$5,WorkSchedule!$C$5)</c:f>
              <c:numCache>
                <c:formatCode>m/d/yyyy</c:formatCode>
                <c:ptCount val="2"/>
                <c:pt idx="0">
                  <c:v>45824</c:v>
                </c:pt>
                <c:pt idx="1">
                  <c:v>45824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2-0EB2-4C72-A17E-D37C3778D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263776"/>
        <c:axId val="2075265216"/>
      </c:scatterChart>
      <c:catAx>
        <c:axId val="1387801824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 sz="1000" b="1">
                    <a:solidFill>
                      <a:srgbClr val="000000"/>
                    </a:solidFill>
                    <a:latin typeface="Calibri" panose="020F0502020204030204" pitchFamily="34" charset="0"/>
                  </a:defRPr>
                </a:pPr>
                <a:r>
                  <a:rPr lang="en-US" sz="1000" b="1">
                    <a:solidFill>
                      <a:srgbClr val="000000"/>
                    </a:solidFill>
                    <a:latin typeface="Calibri" panose="020F0502020204030204" pitchFamily="34" charset="0"/>
                  </a:rPr>
                  <a:t>Task IDs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h-TH"/>
          </a:p>
        </c:txPr>
        <c:crossAx val="1387799904"/>
        <c:crosses val="autoZero"/>
        <c:auto val="1"/>
        <c:lblAlgn val="ctr"/>
        <c:lblOffset val="100"/>
        <c:noMultiLvlLbl val="0"/>
      </c:catAx>
      <c:valAx>
        <c:axId val="1387799904"/>
        <c:scaling>
          <c:orientation val="minMax"/>
          <c:max val="46054"/>
          <c:min val="45597"/>
        </c:scaling>
        <c:delete val="0"/>
        <c:axPos val="t"/>
        <c:minorGridlines>
          <c:spPr>
            <a:ln w="6350">
              <a:solidFill>
                <a:srgbClr val="BFBFBF"/>
              </a:solidFill>
            </a:ln>
          </c:spPr>
        </c:minorGridlines>
        <c:numFmt formatCode="[$-409]mmm\-yy;@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h-TH"/>
          </a:p>
        </c:txPr>
        <c:crossAx val="1387801824"/>
        <c:crosses val="autoZero"/>
        <c:crossBetween val="between"/>
        <c:majorUnit val="61.36"/>
        <c:minorUnit val="30.68"/>
      </c:valAx>
      <c:valAx>
        <c:axId val="2075265216"/>
        <c:scaling>
          <c:orientation val="maxMin"/>
          <c:max val="46"/>
          <c:min val="1"/>
        </c:scaling>
        <c:delete val="1"/>
        <c:axPos val="r"/>
        <c:numFmt formatCode="General" sourceLinked="1"/>
        <c:majorTickMark val="out"/>
        <c:minorTickMark val="none"/>
        <c:tickLblPos val="nextTo"/>
        <c:crossAx val="2075263776"/>
        <c:crosses val="max"/>
        <c:crossBetween val="midCat"/>
      </c:valAx>
      <c:valAx>
        <c:axId val="2075263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75265216"/>
        <c:crossBetween val="midCat"/>
      </c:valAx>
      <c:spPr>
        <a:ln w="6350">
          <a:solidFill>
            <a:srgbClr val="BFBFBF"/>
          </a:solidFill>
        </a:ln>
      </c:spPr>
    </c:plotArea>
    <c:legend>
      <c:legendPos val="t"/>
      <c:legendEntry>
        <c:idx val="0"/>
        <c:delete val="1"/>
      </c:legendEntry>
      <c:legendEntry>
        <c:idx val="5"/>
        <c:delete val="1"/>
      </c:legendEntry>
      <c:legendEntry>
        <c:idx val="6"/>
        <c:delete val="1"/>
      </c:legendEntry>
      <c:overlay val="0"/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D9FCCA5-38DC-403F-8483-D2C9B33BAC7C}">
  <sheetPr codeName="Chart3"/>
  <sheetViews>
    <sheetView zoomScale="17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4138" cy="60434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FA24E7-5394-DD13-FD66-2F4E381D526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</xdr:row>
          <xdr:rowOff>165100</xdr:rowOff>
        </xdr:from>
        <xdr:to>
          <xdr:col>3</xdr:col>
          <xdr:colOff>1536700</xdr:colOff>
          <xdr:row>3</xdr:row>
          <xdr:rowOff>146050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2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h-TH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</a:rPr>
                <a:t>Create Gantt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3</xdr:row>
          <xdr:rowOff>190500</xdr:rowOff>
        </xdr:from>
        <xdr:to>
          <xdr:col>3</xdr:col>
          <xdr:colOff>1536700</xdr:colOff>
          <xdr:row>5</xdr:row>
          <xdr:rowOff>171450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2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h-TH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6</xdr:row>
          <xdr:rowOff>19050</xdr:rowOff>
        </xdr:from>
        <xdr:to>
          <xdr:col>3</xdr:col>
          <xdr:colOff>1536700</xdr:colOff>
          <xdr:row>8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2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h-TH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</a:rPr>
                <a:t>Update Man-day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32</xdr:col>
      <xdr:colOff>0</xdr:colOff>
      <xdr:row>8</xdr:row>
      <xdr:rowOff>0</xdr:rowOff>
    </xdr:from>
    <xdr:to>
      <xdr:col>44</xdr:col>
      <xdr:colOff>304800</xdr:colOff>
      <xdr:row>56</xdr:row>
      <xdr:rowOff>0</xdr:rowOff>
    </xdr:to>
    <xdr:graphicFrame macro="">
      <xdr:nvGraphicFramePr>
        <xdr:cNvPr id="5" name="GanttChart">
          <a:extLst>
            <a:ext uri="{FF2B5EF4-FFF2-40B4-BE49-F238E27FC236}">
              <a16:creationId xmlns:a16="http://schemas.microsoft.com/office/drawing/2014/main" id="{57D573D0-C485-8DC6-D310-B41114072D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81192-5917-4004-9676-2112587F148C}">
  <sheetPr codeName="Sheet2"/>
  <dimension ref="A1:B106"/>
  <sheetViews>
    <sheetView showGridLines="0" topLeftCell="A26" zoomScaleNormal="100" workbookViewId="0">
      <selection activeCell="N71" sqref="N71"/>
    </sheetView>
  </sheetViews>
  <sheetFormatPr defaultColWidth="8" defaultRowHeight="13" x14ac:dyDescent="0.3"/>
  <cols>
    <col min="1" max="1" width="42.9140625" style="1" bestFit="1" customWidth="1"/>
    <col min="2" max="2" width="9.08203125" style="1" bestFit="1" customWidth="1"/>
    <col min="3" max="16384" width="8" style="1"/>
  </cols>
  <sheetData>
    <row r="1" spans="1:2" ht="20.25" customHeight="1" x14ac:dyDescent="0.3">
      <c r="A1" s="80" t="s">
        <v>0</v>
      </c>
      <c r="B1" s="80" t="s">
        <v>1</v>
      </c>
    </row>
    <row r="2" spans="1:2" ht="15" customHeight="1" x14ac:dyDescent="0.3">
      <c r="A2" s="81" t="s">
        <v>2</v>
      </c>
      <c r="B2" s="82">
        <v>44564</v>
      </c>
    </row>
    <row r="3" spans="1:2" ht="15" customHeight="1" x14ac:dyDescent="0.3">
      <c r="A3" s="81" t="s">
        <v>3</v>
      </c>
      <c r="B3" s="83">
        <v>44608</v>
      </c>
    </row>
    <row r="4" spans="1:2" ht="15" customHeight="1" x14ac:dyDescent="0.3">
      <c r="A4" s="81" t="s">
        <v>4</v>
      </c>
      <c r="B4" s="82">
        <v>44657</v>
      </c>
    </row>
    <row r="5" spans="1:2" ht="15" customHeight="1" x14ac:dyDescent="0.3">
      <c r="A5" s="81" t="s">
        <v>5</v>
      </c>
      <c r="B5" s="83">
        <v>44664</v>
      </c>
    </row>
    <row r="6" spans="1:2" ht="15" customHeight="1" x14ac:dyDescent="0.3">
      <c r="A6" s="81" t="s">
        <v>5</v>
      </c>
      <c r="B6" s="82">
        <v>44665</v>
      </c>
    </row>
    <row r="7" spans="1:2" ht="15" customHeight="1" x14ac:dyDescent="0.3">
      <c r="A7" s="84" t="s">
        <v>5</v>
      </c>
      <c r="B7" s="83">
        <v>44666</v>
      </c>
    </row>
    <row r="8" spans="1:2" ht="15" customHeight="1" x14ac:dyDescent="0.3">
      <c r="A8" s="85" t="s">
        <v>6</v>
      </c>
      <c r="B8" s="82">
        <v>44683</v>
      </c>
    </row>
    <row r="9" spans="1:2" ht="15" customHeight="1" x14ac:dyDescent="0.3">
      <c r="A9" s="81" t="s">
        <v>7</v>
      </c>
      <c r="B9" s="83">
        <v>44685</v>
      </c>
    </row>
    <row r="10" spans="1:2" ht="15" customHeight="1" x14ac:dyDescent="0.3">
      <c r="A10" s="81" t="s">
        <v>8</v>
      </c>
      <c r="B10" s="82">
        <v>44697</v>
      </c>
    </row>
    <row r="11" spans="1:2" ht="15" customHeight="1" x14ac:dyDescent="0.3">
      <c r="A11" s="81" t="s">
        <v>9</v>
      </c>
      <c r="B11" s="83">
        <v>44715</v>
      </c>
    </row>
    <row r="12" spans="1:2" ht="15" customHeight="1" x14ac:dyDescent="0.3">
      <c r="A12" s="81" t="s">
        <v>10</v>
      </c>
      <c r="B12" s="82">
        <v>44755</v>
      </c>
    </row>
    <row r="13" spans="1:2" ht="15" customHeight="1" x14ac:dyDescent="0.3">
      <c r="A13" s="81" t="s">
        <v>11</v>
      </c>
      <c r="B13" s="83">
        <v>44770</v>
      </c>
    </row>
    <row r="14" spans="1:2" ht="15" customHeight="1" x14ac:dyDescent="0.3">
      <c r="A14" s="81" t="s">
        <v>12</v>
      </c>
      <c r="B14" s="82">
        <v>44771</v>
      </c>
    </row>
    <row r="15" spans="1:2" ht="15" customHeight="1" x14ac:dyDescent="0.3">
      <c r="A15" s="81" t="s">
        <v>13</v>
      </c>
      <c r="B15" s="83">
        <v>44785</v>
      </c>
    </row>
    <row r="16" spans="1:2" ht="15" customHeight="1" x14ac:dyDescent="0.3">
      <c r="A16" s="81" t="s">
        <v>14</v>
      </c>
      <c r="B16" s="82">
        <v>44841</v>
      </c>
    </row>
    <row r="17" spans="1:2" ht="15" customHeight="1" x14ac:dyDescent="0.3">
      <c r="A17" s="81" t="s">
        <v>15</v>
      </c>
      <c r="B17" s="82">
        <v>44847</v>
      </c>
    </row>
    <row r="18" spans="1:2" ht="15" customHeight="1" x14ac:dyDescent="0.3">
      <c r="A18" s="81" t="s">
        <v>16</v>
      </c>
      <c r="B18" s="83">
        <v>44848</v>
      </c>
    </row>
    <row r="19" spans="1:2" ht="15" customHeight="1" x14ac:dyDescent="0.3">
      <c r="A19" s="81" t="s">
        <v>17</v>
      </c>
      <c r="B19" s="82">
        <v>44858</v>
      </c>
    </row>
    <row r="20" spans="1:2" ht="15" customHeight="1" x14ac:dyDescent="0.3">
      <c r="A20" s="81" t="s">
        <v>18</v>
      </c>
      <c r="B20" s="83">
        <v>44900</v>
      </c>
    </row>
    <row r="21" spans="1:2" ht="15" customHeight="1" x14ac:dyDescent="0.3">
      <c r="A21" s="81" t="s">
        <v>19</v>
      </c>
      <c r="B21" s="82">
        <v>44907</v>
      </c>
    </row>
    <row r="22" spans="1:2" ht="15" customHeight="1" x14ac:dyDescent="0.3">
      <c r="A22" s="81" t="s">
        <v>20</v>
      </c>
      <c r="B22" s="83">
        <v>44928</v>
      </c>
    </row>
    <row r="23" spans="1:2" ht="15" customHeight="1" x14ac:dyDescent="0.3">
      <c r="A23" s="81" t="s">
        <v>21</v>
      </c>
      <c r="B23" s="83">
        <v>44991</v>
      </c>
    </row>
    <row r="24" spans="1:2" ht="15" customHeight="1" x14ac:dyDescent="0.3">
      <c r="A24" s="81" t="s">
        <v>4</v>
      </c>
      <c r="B24" s="83">
        <v>45022</v>
      </c>
    </row>
    <row r="25" spans="1:2" ht="15" customHeight="1" x14ac:dyDescent="0.3">
      <c r="A25" s="81" t="s">
        <v>5</v>
      </c>
      <c r="B25" s="83">
        <v>45029</v>
      </c>
    </row>
    <row r="26" spans="1:2" ht="15" customHeight="1" x14ac:dyDescent="0.3">
      <c r="A26" s="81" t="s">
        <v>5</v>
      </c>
      <c r="B26" s="83">
        <v>45030</v>
      </c>
    </row>
    <row r="27" spans="1:2" ht="15" customHeight="1" x14ac:dyDescent="0.3">
      <c r="A27" s="81" t="s">
        <v>22</v>
      </c>
      <c r="B27" s="83">
        <v>45047</v>
      </c>
    </row>
    <row r="28" spans="1:2" ht="15" customHeight="1" x14ac:dyDescent="0.3">
      <c r="A28" s="81" t="s">
        <v>23</v>
      </c>
      <c r="B28" s="83">
        <v>45050</v>
      </c>
    </row>
    <row r="29" spans="1:2" ht="15" customHeight="1" x14ac:dyDescent="0.3">
      <c r="A29" s="81" t="s">
        <v>24</v>
      </c>
      <c r="B29" s="83">
        <v>45082</v>
      </c>
    </row>
    <row r="30" spans="1:2" ht="15" customHeight="1" x14ac:dyDescent="0.3">
      <c r="A30" s="81" t="s">
        <v>11</v>
      </c>
      <c r="B30" s="83">
        <v>45135</v>
      </c>
    </row>
    <row r="31" spans="1:2" ht="15" customHeight="1" x14ac:dyDescent="0.3">
      <c r="A31" s="81" t="s">
        <v>25</v>
      </c>
      <c r="B31" s="83">
        <v>45139</v>
      </c>
    </row>
    <row r="32" spans="1:2" ht="15" customHeight="1" x14ac:dyDescent="0.3">
      <c r="A32" s="81" t="s">
        <v>26</v>
      </c>
      <c r="B32" s="83">
        <v>45152</v>
      </c>
    </row>
    <row r="33" spans="1:2" ht="15" customHeight="1" x14ac:dyDescent="0.3">
      <c r="A33" s="81" t="s">
        <v>15</v>
      </c>
      <c r="B33" s="82">
        <v>45212</v>
      </c>
    </row>
    <row r="34" spans="1:2" ht="15" customHeight="1" x14ac:dyDescent="0.3">
      <c r="A34" s="81" t="s">
        <v>27</v>
      </c>
      <c r="B34" s="83">
        <v>45222</v>
      </c>
    </row>
    <row r="35" spans="1:2" ht="15" customHeight="1" x14ac:dyDescent="0.3">
      <c r="A35" s="81" t="s">
        <v>18</v>
      </c>
      <c r="B35" s="83">
        <v>45265</v>
      </c>
    </row>
    <row r="36" spans="1:2" ht="15" customHeight="1" x14ac:dyDescent="0.3">
      <c r="A36" s="81" t="s">
        <v>19</v>
      </c>
      <c r="B36" s="83">
        <v>45271</v>
      </c>
    </row>
    <row r="37" spans="1:2" ht="15" customHeight="1" x14ac:dyDescent="0.3">
      <c r="A37" s="81" t="s">
        <v>20</v>
      </c>
      <c r="B37" s="83">
        <v>45289</v>
      </c>
    </row>
    <row r="38" spans="1:2" ht="15" customHeight="1" x14ac:dyDescent="0.3">
      <c r="A38" s="81" t="s">
        <v>20</v>
      </c>
      <c r="B38" s="83">
        <v>45292</v>
      </c>
    </row>
    <row r="39" spans="1:2" ht="15" customHeight="1" x14ac:dyDescent="0.3">
      <c r="A39" s="81" t="s">
        <v>21</v>
      </c>
      <c r="B39" s="83">
        <v>45348</v>
      </c>
    </row>
    <row r="40" spans="1:2" ht="15" customHeight="1" x14ac:dyDescent="0.3">
      <c r="A40" s="81" t="s">
        <v>4</v>
      </c>
      <c r="B40" s="83">
        <v>45390</v>
      </c>
    </row>
    <row r="41" spans="1:2" ht="15" customHeight="1" x14ac:dyDescent="0.3">
      <c r="A41" s="81" t="s">
        <v>5</v>
      </c>
      <c r="B41" s="83">
        <v>45394</v>
      </c>
    </row>
    <row r="42" spans="1:2" ht="15" customHeight="1" x14ac:dyDescent="0.3">
      <c r="A42" s="81" t="s">
        <v>5</v>
      </c>
      <c r="B42" s="83">
        <v>45397</v>
      </c>
    </row>
    <row r="43" spans="1:2" ht="15" customHeight="1" x14ac:dyDescent="0.3">
      <c r="A43" s="81" t="s">
        <v>22</v>
      </c>
      <c r="B43" s="83">
        <v>45413</v>
      </c>
    </row>
    <row r="44" spans="1:2" ht="15" customHeight="1" x14ac:dyDescent="0.3">
      <c r="A44" s="81" t="s">
        <v>23</v>
      </c>
      <c r="B44" s="83">
        <v>45418</v>
      </c>
    </row>
    <row r="45" spans="1:2" ht="15" customHeight="1" x14ac:dyDescent="0.3">
      <c r="A45" s="81" t="s">
        <v>24</v>
      </c>
      <c r="B45" s="83">
        <v>45434</v>
      </c>
    </row>
    <row r="46" spans="1:2" ht="15" customHeight="1" x14ac:dyDescent="0.3">
      <c r="A46" s="81" t="s">
        <v>9</v>
      </c>
      <c r="B46" s="83">
        <v>45446</v>
      </c>
    </row>
    <row r="47" spans="1:2" ht="15" customHeight="1" x14ac:dyDescent="0.3">
      <c r="A47" s="81" t="s">
        <v>25</v>
      </c>
      <c r="B47" s="83">
        <v>45495</v>
      </c>
    </row>
    <row r="48" spans="1:2" ht="15" customHeight="1" x14ac:dyDescent="0.3">
      <c r="A48" s="81" t="s">
        <v>11</v>
      </c>
      <c r="B48" s="83">
        <v>45502</v>
      </c>
    </row>
    <row r="49" spans="1:2" ht="15" customHeight="1" x14ac:dyDescent="0.3">
      <c r="A49" s="81" t="s">
        <v>26</v>
      </c>
      <c r="B49" s="83">
        <v>45516</v>
      </c>
    </row>
    <row r="50" spans="1:2" ht="15" customHeight="1" x14ac:dyDescent="0.3">
      <c r="A50" s="81" t="s">
        <v>15</v>
      </c>
      <c r="B50" s="83">
        <v>45579</v>
      </c>
    </row>
    <row r="51" spans="1:2" ht="15" customHeight="1" x14ac:dyDescent="0.3">
      <c r="A51" s="81" t="s">
        <v>27</v>
      </c>
      <c r="B51" s="83">
        <v>45588</v>
      </c>
    </row>
    <row r="52" spans="1:2" ht="15" customHeight="1" x14ac:dyDescent="0.3">
      <c r="A52" s="81" t="s">
        <v>28</v>
      </c>
      <c r="B52" s="83">
        <v>45590</v>
      </c>
    </row>
    <row r="53" spans="1:2" ht="15" customHeight="1" x14ac:dyDescent="0.3">
      <c r="A53" s="81" t="s">
        <v>18</v>
      </c>
      <c r="B53" s="83">
        <v>45631</v>
      </c>
    </row>
    <row r="54" spans="1:2" ht="15" customHeight="1" x14ac:dyDescent="0.3">
      <c r="A54" s="81" t="s">
        <v>19</v>
      </c>
      <c r="B54" s="83">
        <v>45636</v>
      </c>
    </row>
    <row r="55" spans="1:2" ht="15" customHeight="1" x14ac:dyDescent="0.3">
      <c r="A55" s="81" t="s">
        <v>20</v>
      </c>
      <c r="B55" s="83">
        <v>45657</v>
      </c>
    </row>
    <row r="56" spans="1:2" ht="15" customHeight="1" x14ac:dyDescent="0.3">
      <c r="A56" s="81" t="s">
        <v>29</v>
      </c>
      <c r="B56" s="83">
        <v>45658</v>
      </c>
    </row>
    <row r="57" spans="1:2" ht="15" customHeight="1" x14ac:dyDescent="0.3">
      <c r="A57" s="81" t="s">
        <v>21</v>
      </c>
      <c r="B57" s="83">
        <v>45700</v>
      </c>
    </row>
    <row r="58" spans="1:2" ht="15" customHeight="1" x14ac:dyDescent="0.3">
      <c r="A58" s="81" t="s">
        <v>30</v>
      </c>
      <c r="B58" s="83">
        <v>45754</v>
      </c>
    </row>
    <row r="59" spans="1:2" ht="15" customHeight="1" x14ac:dyDescent="0.3">
      <c r="A59" s="81" t="s">
        <v>5</v>
      </c>
      <c r="B59" s="83">
        <v>45761</v>
      </c>
    </row>
    <row r="60" spans="1:2" ht="15" customHeight="1" x14ac:dyDescent="0.3">
      <c r="A60" s="81" t="s">
        <v>5</v>
      </c>
      <c r="B60" s="83">
        <v>45762</v>
      </c>
    </row>
    <row r="61" spans="1:2" ht="15" customHeight="1" x14ac:dyDescent="0.3">
      <c r="A61" s="81" t="s">
        <v>22</v>
      </c>
      <c r="B61" s="83">
        <v>45778</v>
      </c>
    </row>
    <row r="62" spans="1:2" ht="15" customHeight="1" x14ac:dyDescent="0.3">
      <c r="A62" s="81" t="s">
        <v>31</v>
      </c>
      <c r="B62" s="83">
        <v>45782</v>
      </c>
    </row>
    <row r="63" spans="1:2" ht="15" customHeight="1" x14ac:dyDescent="0.3">
      <c r="A63" s="81" t="s">
        <v>32</v>
      </c>
      <c r="B63" s="83">
        <v>45789</v>
      </c>
    </row>
    <row r="64" spans="1:2" ht="15" customHeight="1" x14ac:dyDescent="0.3">
      <c r="A64" s="81" t="s">
        <v>33</v>
      </c>
      <c r="B64" s="83">
        <v>45810</v>
      </c>
    </row>
    <row r="65" spans="1:2" ht="15" customHeight="1" x14ac:dyDescent="0.3">
      <c r="A65" s="81" t="s">
        <v>9</v>
      </c>
      <c r="B65" s="83">
        <v>45811</v>
      </c>
    </row>
    <row r="66" spans="1:2" ht="15" customHeight="1" x14ac:dyDescent="0.3">
      <c r="A66" s="81" t="s">
        <v>25</v>
      </c>
      <c r="B66" s="83">
        <v>45848</v>
      </c>
    </row>
    <row r="67" spans="1:2" ht="15" customHeight="1" x14ac:dyDescent="0.3">
      <c r="A67" s="81" t="s">
        <v>11</v>
      </c>
      <c r="B67" s="83">
        <v>45866</v>
      </c>
    </row>
    <row r="68" spans="1:2" ht="15" customHeight="1" x14ac:dyDescent="0.3">
      <c r="A68" s="81" t="s">
        <v>33</v>
      </c>
      <c r="B68" s="83">
        <v>45880</v>
      </c>
    </row>
    <row r="69" spans="1:2" ht="15" customHeight="1" x14ac:dyDescent="0.3">
      <c r="A69" s="81" t="s">
        <v>26</v>
      </c>
      <c r="B69" s="83">
        <v>45881</v>
      </c>
    </row>
    <row r="70" spans="1:2" ht="15" customHeight="1" x14ac:dyDescent="0.3">
      <c r="A70" s="81" t="s">
        <v>15</v>
      </c>
      <c r="B70" s="83">
        <v>45943</v>
      </c>
    </row>
    <row r="71" spans="1:2" ht="15" customHeight="1" x14ac:dyDescent="0.3">
      <c r="A71" s="81" t="s">
        <v>27</v>
      </c>
      <c r="B71" s="83">
        <v>45953</v>
      </c>
    </row>
    <row r="72" spans="1:2" ht="15" customHeight="1" x14ac:dyDescent="0.3">
      <c r="A72" s="81" t="s">
        <v>18</v>
      </c>
      <c r="B72" s="83">
        <v>45996</v>
      </c>
    </row>
    <row r="73" spans="1:2" ht="15" customHeight="1" x14ac:dyDescent="0.3">
      <c r="A73" s="81" t="s">
        <v>34</v>
      </c>
      <c r="B73" s="83">
        <v>46001</v>
      </c>
    </row>
    <row r="74" spans="1:2" ht="15" customHeight="1" x14ac:dyDescent="0.3">
      <c r="A74" s="81" t="s">
        <v>35</v>
      </c>
      <c r="B74" s="83">
        <v>46022</v>
      </c>
    </row>
    <row r="75" spans="1:2" ht="15" customHeight="1" x14ac:dyDescent="0.3"/>
    <row r="76" spans="1:2" ht="15" customHeight="1" x14ac:dyDescent="0.3"/>
    <row r="77" spans="1:2" ht="15" customHeight="1" x14ac:dyDescent="0.3"/>
    <row r="78" spans="1:2" ht="15" customHeight="1" x14ac:dyDescent="0.3"/>
    <row r="79" spans="1:2" ht="15" customHeight="1" x14ac:dyDescent="0.3"/>
    <row r="80" spans="1:2" ht="15" customHeight="1" x14ac:dyDescent="0.3"/>
    <row r="81" s="1" customFormat="1" ht="15" customHeight="1" x14ac:dyDescent="0.3"/>
    <row r="82" s="1" customFormat="1" ht="15" customHeight="1" x14ac:dyDescent="0.3"/>
    <row r="83" s="1" customFormat="1" ht="15" customHeight="1" x14ac:dyDescent="0.3"/>
    <row r="84" s="1" customFormat="1" ht="15" customHeight="1" x14ac:dyDescent="0.3"/>
    <row r="85" s="1" customFormat="1" ht="15" customHeight="1" x14ac:dyDescent="0.3"/>
    <row r="86" s="1" customFormat="1" ht="15" customHeight="1" x14ac:dyDescent="0.3"/>
    <row r="87" s="1" customFormat="1" ht="15" customHeight="1" x14ac:dyDescent="0.3"/>
    <row r="88" s="1" customFormat="1" ht="15" customHeight="1" x14ac:dyDescent="0.3"/>
    <row r="89" s="1" customFormat="1" ht="15" customHeight="1" x14ac:dyDescent="0.3"/>
    <row r="90" s="1" customFormat="1" ht="15" customHeight="1" x14ac:dyDescent="0.3"/>
    <row r="91" s="1" customFormat="1" ht="15" customHeight="1" x14ac:dyDescent="0.3"/>
    <row r="92" s="1" customFormat="1" ht="15" customHeight="1" x14ac:dyDescent="0.3"/>
    <row r="93" s="1" customFormat="1" ht="15" customHeight="1" x14ac:dyDescent="0.3"/>
    <row r="94" s="1" customFormat="1" ht="15" customHeight="1" x14ac:dyDescent="0.3"/>
    <row r="95" s="1" customFormat="1" ht="15" customHeight="1" x14ac:dyDescent="0.3"/>
    <row r="96" s="1" customFormat="1" ht="15" customHeight="1" x14ac:dyDescent="0.3"/>
    <row r="97" s="1" customFormat="1" ht="15" customHeight="1" x14ac:dyDescent="0.3"/>
    <row r="98" s="1" customFormat="1" ht="15" customHeight="1" x14ac:dyDescent="0.3"/>
    <row r="99" s="1" customFormat="1" ht="15" customHeight="1" x14ac:dyDescent="0.3"/>
    <row r="100" s="1" customFormat="1" ht="15" customHeight="1" x14ac:dyDescent="0.3"/>
    <row r="101" s="1" customFormat="1" ht="15" customHeight="1" x14ac:dyDescent="0.3"/>
    <row r="102" s="1" customFormat="1" ht="15" customHeight="1" x14ac:dyDescent="0.3"/>
    <row r="103" s="1" customFormat="1" ht="15" customHeight="1" x14ac:dyDescent="0.3"/>
    <row r="104" s="1" customFormat="1" ht="15" customHeight="1" x14ac:dyDescent="0.3"/>
    <row r="105" s="1" customFormat="1" ht="15" customHeight="1" x14ac:dyDescent="0.3"/>
    <row r="106" s="1" customFormat="1" ht="15" customHeight="1" x14ac:dyDescent="0.3"/>
  </sheetData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A38B3-437B-465F-B637-FE617FAF8806}">
  <sheetPr codeName="Sheet7"/>
  <dimension ref="B1:AF57"/>
  <sheetViews>
    <sheetView showGridLines="0" tabSelected="1" zoomScaleNormal="100" workbookViewId="0">
      <selection activeCell="Y7" sqref="Y7"/>
    </sheetView>
  </sheetViews>
  <sheetFormatPr defaultColWidth="8" defaultRowHeight="13" outlineLevelCol="1" x14ac:dyDescent="0.3"/>
  <cols>
    <col min="1" max="1" width="3.58203125" style="1" customWidth="1"/>
    <col min="2" max="2" width="6.58203125" style="1" customWidth="1"/>
    <col min="3" max="3" width="30.58203125" style="1" customWidth="1"/>
    <col min="4" max="4" width="20.58203125" style="1" customWidth="1"/>
    <col min="5" max="5" width="20.58203125" style="1" hidden="1" customWidth="1" outlineLevel="1"/>
    <col min="6" max="6" width="10.58203125" style="1" customWidth="1" collapsed="1"/>
    <col min="7" max="8" width="7.58203125" style="1" customWidth="1"/>
    <col min="9" max="10" width="10.58203125" style="1" customWidth="1"/>
    <col min="11" max="13" width="7.58203125" style="1" customWidth="1"/>
    <col min="14" max="19" width="7.58203125" style="1" customWidth="1" outlineLevel="1"/>
    <col min="20" max="21" width="7.58203125" style="1" customWidth="1"/>
    <col min="22" max="31" width="7.58203125" style="1" customWidth="1" outlineLevel="1"/>
    <col min="32" max="32" width="3.58203125" style="1" customWidth="1"/>
    <col min="33" max="16384" width="8" style="1"/>
  </cols>
  <sheetData>
    <row r="1" spans="2:32" x14ac:dyDescent="0.3">
      <c r="B1" s="1" t="s">
        <v>178</v>
      </c>
    </row>
    <row r="2" spans="2:32" ht="15" customHeight="1" x14ac:dyDescent="0.3">
      <c r="B2" s="39" t="s">
        <v>106</v>
      </c>
    </row>
    <row r="3" spans="2:32" ht="15" customHeight="1" x14ac:dyDescent="0.3">
      <c r="B3" s="57" t="s">
        <v>107</v>
      </c>
      <c r="C3" s="58" t="s">
        <v>37</v>
      </c>
    </row>
    <row r="4" spans="2:32" ht="15" customHeight="1" x14ac:dyDescent="0.3">
      <c r="B4" s="61" t="s">
        <v>108</v>
      </c>
      <c r="C4" s="62" t="s">
        <v>109</v>
      </c>
    </row>
    <row r="5" spans="2:32" ht="15" customHeight="1" x14ac:dyDescent="0.3">
      <c r="B5" s="56" t="s">
        <v>110</v>
      </c>
      <c r="C5" s="59">
        <f ca="1">TODAY()</f>
        <v>45824</v>
      </c>
      <c r="AD5" s="67"/>
    </row>
    <row r="6" spans="2:32" ht="15" customHeight="1" x14ac:dyDescent="0.3">
      <c r="B6" s="56" t="s">
        <v>40</v>
      </c>
      <c r="C6" s="59">
        <f>MIN(I12:J56)</f>
        <v>45667</v>
      </c>
    </row>
    <row r="7" spans="2:32" ht="15" customHeight="1" x14ac:dyDescent="0.3">
      <c r="B7" s="56" t="s">
        <v>90</v>
      </c>
      <c r="C7" s="59">
        <f>MAX(I12:J56)</f>
        <v>46007</v>
      </c>
    </row>
    <row r="8" spans="2:32" ht="15" customHeight="1" x14ac:dyDescent="0.3">
      <c r="B8" s="60" t="s">
        <v>43</v>
      </c>
      <c r="C8" s="66" t="str">
        <f>TEXT(C7-C6,"#,##0") &amp; " days"</f>
        <v>340 days</v>
      </c>
    </row>
    <row r="9" spans="2:32" ht="15" customHeight="1" x14ac:dyDescent="0.3"/>
    <row r="10" spans="2:32" ht="15" customHeight="1" x14ac:dyDescent="0.3">
      <c r="B10" s="172" t="s">
        <v>46</v>
      </c>
      <c r="C10" s="167" t="s">
        <v>38</v>
      </c>
      <c r="D10" s="167" t="s">
        <v>59</v>
      </c>
      <c r="E10" s="167" t="s">
        <v>136</v>
      </c>
      <c r="F10" s="167" t="s">
        <v>36</v>
      </c>
      <c r="G10" s="167" t="s">
        <v>43</v>
      </c>
      <c r="H10" s="167" t="s">
        <v>127</v>
      </c>
      <c r="I10" s="174" t="s">
        <v>40</v>
      </c>
      <c r="J10" s="174" t="s">
        <v>90</v>
      </c>
      <c r="K10" s="176" t="s">
        <v>137</v>
      </c>
      <c r="L10" s="174" t="s">
        <v>41</v>
      </c>
      <c r="M10" s="167" t="s">
        <v>42</v>
      </c>
      <c r="N10" s="177" t="s">
        <v>39</v>
      </c>
      <c r="O10" s="178"/>
      <c r="P10" s="178"/>
      <c r="Q10" s="178"/>
      <c r="R10" s="178"/>
      <c r="S10" s="179"/>
      <c r="T10" s="167" t="s">
        <v>151</v>
      </c>
      <c r="U10" s="169" t="s">
        <v>152</v>
      </c>
      <c r="V10" s="170" t="s">
        <v>180</v>
      </c>
      <c r="W10" s="171"/>
      <c r="X10" s="171"/>
      <c r="Y10" s="171"/>
      <c r="Z10" s="171"/>
      <c r="AA10" s="171"/>
      <c r="AB10" s="171"/>
      <c r="AC10" s="171"/>
      <c r="AD10" s="171"/>
      <c r="AE10" s="171"/>
      <c r="AF10" s="78"/>
    </row>
    <row r="11" spans="2:32" ht="15" customHeight="1" x14ac:dyDescent="0.3">
      <c r="B11" s="173"/>
      <c r="C11" s="168"/>
      <c r="D11" s="168"/>
      <c r="E11" s="168"/>
      <c r="F11" s="168"/>
      <c r="G11" s="168"/>
      <c r="H11" s="168"/>
      <c r="I11" s="175"/>
      <c r="J11" s="175"/>
      <c r="K11" s="175"/>
      <c r="L11" s="175"/>
      <c r="M11" s="168"/>
      <c r="N11" s="63" t="s">
        <v>44</v>
      </c>
      <c r="O11" s="63" t="s">
        <v>45</v>
      </c>
      <c r="P11" s="64" t="s">
        <v>58</v>
      </c>
      <c r="Q11" s="64" t="s">
        <v>57</v>
      </c>
      <c r="R11" s="64" t="s">
        <v>60</v>
      </c>
      <c r="S11" s="64" t="s">
        <v>61</v>
      </c>
      <c r="T11" s="168" t="s">
        <v>153</v>
      </c>
      <c r="U11" s="168" t="s">
        <v>153</v>
      </c>
      <c r="V11" s="77" t="s">
        <v>174</v>
      </c>
      <c r="W11" s="76" t="s">
        <v>141</v>
      </c>
      <c r="X11" s="76" t="s">
        <v>142</v>
      </c>
      <c r="Y11" s="76" t="s">
        <v>143</v>
      </c>
      <c r="Z11" s="76" t="s">
        <v>144</v>
      </c>
      <c r="AA11" s="76" t="s">
        <v>145</v>
      </c>
      <c r="AB11" s="76" t="s">
        <v>146</v>
      </c>
      <c r="AC11" s="76" t="s">
        <v>147</v>
      </c>
      <c r="AD11" s="76" t="s">
        <v>148</v>
      </c>
      <c r="AE11" s="76" t="s">
        <v>149</v>
      </c>
      <c r="AF11" s="78"/>
    </row>
    <row r="12" spans="2:32" ht="12" customHeight="1" x14ac:dyDescent="0.3">
      <c r="B12" s="68">
        <v>1</v>
      </c>
      <c r="C12" s="69" t="s">
        <v>109</v>
      </c>
      <c r="D12" s="69" t="s">
        <v>179</v>
      </c>
      <c r="E12" s="69"/>
      <c r="F12" s="70">
        <f>I12</f>
        <v>45667</v>
      </c>
      <c r="G12" s="93">
        <f>NETWORKDAYS(I12,J12-1,holidays)</f>
        <v>225</v>
      </c>
      <c r="H12" s="71">
        <f>B12</f>
        <v>1</v>
      </c>
      <c r="I12" s="70">
        <f>MIN(I13:I56)</f>
        <v>45667</v>
      </c>
      <c r="J12" s="70">
        <f>MAX(J13:J56)</f>
        <v>46007</v>
      </c>
      <c r="K12" s="86">
        <f>J12-I12</f>
        <v>340</v>
      </c>
      <c r="L12" s="73" cm="1">
        <f t="array" aca="1" ref="L12" ca="1">WeightedProgress(L13:L56,G13:G56)</f>
        <v>0.62012271806086239</v>
      </c>
      <c r="M12" s="74" cm="1">
        <f t="array" aca="1" ref="M12" ca="1">WeightedProgress(M13:M56,G13:G56)</f>
        <v>0.62012271806086239</v>
      </c>
      <c r="N12" s="72">
        <f ca="1">IF(M12&lt;L12,K12,0)</f>
        <v>0</v>
      </c>
      <c r="O12" s="72">
        <f ca="1">IF(M12=1,K12,0)</f>
        <v>0</v>
      </c>
      <c r="P12" s="72">
        <f ca="1">IF(AND(M12&gt;=L12,M12&gt;0,M12&lt;1),K12,0)</f>
        <v>340</v>
      </c>
      <c r="Q12" s="72">
        <f ca="1">K12-SUM(N12:P12)</f>
        <v>0</v>
      </c>
      <c r="R12" s="122" t="str">
        <f>IF(H12=B12,D12,D12 &amp; TEXT(J12," ([$-en-US]dd-mmm)"))</f>
        <v>Overall Project</v>
      </c>
      <c r="S12" s="75" t="str" cm="1">
        <f t="array" aca="1" ref="S12" ca="1">GetProgressLabel(L12,M12)</f>
        <v>62% (62%)</v>
      </c>
      <c r="T12" s="123" t="b">
        <v>1</v>
      </c>
      <c r="U12" s="123" t="s">
        <v>154</v>
      </c>
      <c r="V12" s="108">
        <v>0</v>
      </c>
      <c r="W12" s="108"/>
      <c r="X12" s="108"/>
      <c r="Y12" s="108"/>
      <c r="Z12" s="108"/>
      <c r="AA12" s="108"/>
      <c r="AB12" s="108"/>
      <c r="AC12" s="108"/>
      <c r="AD12" s="108"/>
      <c r="AE12" s="109"/>
      <c r="AF12" s="78"/>
    </row>
    <row r="13" spans="2:32" ht="12" customHeight="1" x14ac:dyDescent="0.3">
      <c r="B13" s="40">
        <f t="shared" ref="B13:B21" si="0">B12+1</f>
        <v>2</v>
      </c>
      <c r="C13" s="41" t="s">
        <v>63</v>
      </c>
      <c r="D13" s="41" t="s">
        <v>129</v>
      </c>
      <c r="E13" s="41"/>
      <c r="F13" s="42">
        <f>I13</f>
        <v>45667</v>
      </c>
      <c r="G13" s="94">
        <f>NETWORKDAYS(I13,J13-1,holidays)</f>
        <v>225</v>
      </c>
      <c r="H13" s="43">
        <f>B13</f>
        <v>2</v>
      </c>
      <c r="I13" s="42">
        <f>MIN(I14:I25)</f>
        <v>45667</v>
      </c>
      <c r="J13" s="42">
        <f>MAX(J14:J25)</f>
        <v>46007</v>
      </c>
      <c r="K13" s="87">
        <f>J13-I13</f>
        <v>340</v>
      </c>
      <c r="L13" s="45" cm="1">
        <f t="array" aca="1" ref="L13" ca="1">WeightedProgress(L14:L25,G14:G25)</f>
        <v>0.5</v>
      </c>
      <c r="M13" s="46" cm="1">
        <f t="array" aca="1" ref="M13" ca="1">WeightedProgress(M14:M25,G14:G25)</f>
        <v>0.5</v>
      </c>
      <c r="N13" s="44">
        <f ca="1">IF(M13&lt;L13,K13,0)</f>
        <v>0</v>
      </c>
      <c r="O13" s="44">
        <f ca="1">IF(M13=1,K13,0)</f>
        <v>0</v>
      </c>
      <c r="P13" s="44">
        <f ca="1">IF(AND(M13&gt;=L13,M13&gt;0,M13&lt;1),K13,0)</f>
        <v>340</v>
      </c>
      <c r="Q13" s="44">
        <f ca="1">K13-SUM(N13:P13)</f>
        <v>0</v>
      </c>
      <c r="R13" s="124" t="str">
        <f t="shared" ref="R13:R56" si="1">IF(H13=B13,D13,D13 &amp; TEXT(J13," ([$-en-US]dd-mmm)"))</f>
        <v>(P1) VSRM - Credit Portfolio</v>
      </c>
      <c r="S13" s="47" t="str" cm="1">
        <f t="array" aca="1" ref="S13" ca="1">GetProgressLabel(L13,M13)</f>
        <v>50% (50%)</v>
      </c>
      <c r="T13" s="130" t="b">
        <v>1</v>
      </c>
      <c r="U13" s="130" t="s">
        <v>155</v>
      </c>
      <c r="V13" s="110">
        <v>0</v>
      </c>
      <c r="W13" s="110"/>
      <c r="X13" s="110"/>
      <c r="Y13" s="110"/>
      <c r="Z13" s="110"/>
      <c r="AA13" s="110"/>
      <c r="AB13" s="110"/>
      <c r="AC13" s="110"/>
      <c r="AD13" s="110"/>
      <c r="AE13" s="111"/>
      <c r="AF13" s="78"/>
    </row>
    <row r="14" spans="2:32" ht="12" customHeight="1" x14ac:dyDescent="0.3">
      <c r="B14" s="2">
        <f t="shared" si="0"/>
        <v>3</v>
      </c>
      <c r="C14" s="35" t="s">
        <v>64</v>
      </c>
      <c r="D14" s="3" t="s">
        <v>111</v>
      </c>
      <c r="E14" s="35"/>
      <c r="F14" s="4">
        <v>45667</v>
      </c>
      <c r="G14" s="95">
        <v>3</v>
      </c>
      <c r="H14" s="5">
        <f>H13</f>
        <v>2</v>
      </c>
      <c r="I14" s="6">
        <f>IFERROR(WORKDAY(F14-1,1,holidays),0)</f>
        <v>45667</v>
      </c>
      <c r="J14" s="6" cm="1">
        <f t="array" ref="J14">FinishDate(I14,G14,holidays)</f>
        <v>45672</v>
      </c>
      <c r="K14" s="88">
        <f>J14-I14</f>
        <v>5</v>
      </c>
      <c r="L14" s="27" cm="1">
        <f t="array" aca="1" ref="L14" ca="1">AutoProgress(I14,J14,holidays,$C$5)</f>
        <v>1</v>
      </c>
      <c r="M14" s="28">
        <f t="shared" ref="M14:M30" ca="1" si="2">L14</f>
        <v>1</v>
      </c>
      <c r="N14" s="7">
        <f ca="1">IF(M14&lt;L14,K14,0)</f>
        <v>0</v>
      </c>
      <c r="O14" s="7">
        <f ca="1">IF(M14=1,K14,0)</f>
        <v>5</v>
      </c>
      <c r="P14" s="7">
        <f ca="1">IF(AND(M14&gt;=L14,M14&gt;0,M14&lt;1),K14,0)</f>
        <v>0</v>
      </c>
      <c r="Q14" s="7">
        <f ca="1">K14-SUM(N14:P14)</f>
        <v>0</v>
      </c>
      <c r="R14" s="125" t="str">
        <f t="shared" si="1"/>
        <v>VSRM R1 (15-Jan)</v>
      </c>
      <c r="S14" s="8" t="str" cm="1">
        <f t="array" aca="1" ref="S14" ca="1">GetProgressLabel(L14,M14)</f>
        <v>100%</v>
      </c>
      <c r="T14" s="131" t="b">
        <v>0</v>
      </c>
      <c r="U14" s="131" t="s">
        <v>155</v>
      </c>
      <c r="V14" s="112">
        <v>1.5</v>
      </c>
      <c r="W14" s="112"/>
      <c r="X14" s="112"/>
      <c r="Y14" s="112"/>
      <c r="Z14" s="112"/>
      <c r="AA14" s="112"/>
      <c r="AB14" s="112"/>
      <c r="AC14" s="112"/>
      <c r="AD14" s="112"/>
      <c r="AE14" s="113"/>
      <c r="AF14" s="78"/>
    </row>
    <row r="15" spans="2:32" ht="12" customHeight="1" x14ac:dyDescent="0.3">
      <c r="B15" s="2">
        <f t="shared" si="0"/>
        <v>4</v>
      </c>
      <c r="C15" s="35" t="s">
        <v>65</v>
      </c>
      <c r="D15" s="35" t="s">
        <v>112</v>
      </c>
      <c r="E15" s="35"/>
      <c r="F15" s="4">
        <v>45698</v>
      </c>
      <c r="G15" s="95">
        <v>3</v>
      </c>
      <c r="H15" s="5">
        <f t="shared" ref="H15:H25" si="3">H14</f>
        <v>2</v>
      </c>
      <c r="I15" s="6">
        <f t="shared" ref="I15:I50" si="4">IFERROR(WORKDAY(F15-1,1,holidays),0)</f>
        <v>45698</v>
      </c>
      <c r="J15" s="6" cm="1">
        <f t="array" ref="J15">FinishDate(I15,G15,holidays)</f>
        <v>45702</v>
      </c>
      <c r="K15" s="88">
        <f t="shared" ref="K15:K50" si="5">J15-I15</f>
        <v>4</v>
      </c>
      <c r="L15" s="27" cm="1">
        <f t="array" aca="1" ref="L15" ca="1">AutoProgress(I15,J15,holidays,$C$5)</f>
        <v>1</v>
      </c>
      <c r="M15" s="28">
        <f t="shared" ca="1" si="2"/>
        <v>1</v>
      </c>
      <c r="N15" s="7">
        <f t="shared" ref="N15:N50" ca="1" si="6">IF(M15&lt;L15,K15,0)</f>
        <v>0</v>
      </c>
      <c r="O15" s="7">
        <f t="shared" ref="O15:O50" ca="1" si="7">IF(M15=1,K15,0)</f>
        <v>4</v>
      </c>
      <c r="P15" s="7">
        <f t="shared" ref="P15:P50" ca="1" si="8">IF(AND(M15&gt;=L15,M15&gt;0,M15&lt;1),K15,0)</f>
        <v>0</v>
      </c>
      <c r="Q15" s="7">
        <f t="shared" ref="Q15:Q50" ca="1" si="9">K15-SUM(N15:P15)</f>
        <v>0</v>
      </c>
      <c r="R15" s="125" t="str">
        <f t="shared" si="1"/>
        <v>VSRM R2 (14-Feb)</v>
      </c>
      <c r="S15" s="8" t="str" cm="1">
        <f t="array" aca="1" ref="S15" ca="1">GetProgressLabel(L15,M15)</f>
        <v>100%</v>
      </c>
      <c r="T15" s="131" t="b">
        <v>0</v>
      </c>
      <c r="U15" s="131" t="s">
        <v>155</v>
      </c>
      <c r="V15" s="112">
        <v>1.5</v>
      </c>
      <c r="W15" s="112"/>
      <c r="X15" s="112"/>
      <c r="Y15" s="112"/>
      <c r="Z15" s="112"/>
      <c r="AA15" s="112"/>
      <c r="AB15" s="112"/>
      <c r="AC15" s="112"/>
      <c r="AD15" s="112"/>
      <c r="AE15" s="113"/>
      <c r="AF15" s="78"/>
    </row>
    <row r="16" spans="2:32" ht="12" customHeight="1" x14ac:dyDescent="0.3">
      <c r="B16" s="2">
        <f t="shared" si="0"/>
        <v>5</v>
      </c>
      <c r="C16" s="35" t="s">
        <v>66</v>
      </c>
      <c r="D16" s="3" t="s">
        <v>113</v>
      </c>
      <c r="E16" s="35"/>
      <c r="F16" s="4">
        <v>45726</v>
      </c>
      <c r="G16" s="95">
        <v>3</v>
      </c>
      <c r="H16" s="5">
        <f t="shared" si="3"/>
        <v>2</v>
      </c>
      <c r="I16" s="6">
        <f t="shared" si="4"/>
        <v>45726</v>
      </c>
      <c r="J16" s="6" cm="1">
        <f t="array" ref="J16">FinishDate(I16,G16,holidays)</f>
        <v>45729</v>
      </c>
      <c r="K16" s="88">
        <f t="shared" si="5"/>
        <v>3</v>
      </c>
      <c r="L16" s="27" cm="1">
        <f t="array" aca="1" ref="L16" ca="1">AutoProgress(I16,J16,holidays,$C$5)</f>
        <v>1</v>
      </c>
      <c r="M16" s="28">
        <f t="shared" ca="1" si="2"/>
        <v>1</v>
      </c>
      <c r="N16" s="7">
        <f t="shared" ca="1" si="6"/>
        <v>0</v>
      </c>
      <c r="O16" s="7">
        <f t="shared" ca="1" si="7"/>
        <v>3</v>
      </c>
      <c r="P16" s="7">
        <f t="shared" ca="1" si="8"/>
        <v>0</v>
      </c>
      <c r="Q16" s="7">
        <f t="shared" ca="1" si="9"/>
        <v>0</v>
      </c>
      <c r="R16" s="125" t="str">
        <f t="shared" si="1"/>
        <v>VSRM R3 (13-Mar)</v>
      </c>
      <c r="S16" s="8" t="str" cm="1">
        <f t="array" aca="1" ref="S16" ca="1">GetProgressLabel(L16,M16)</f>
        <v>100%</v>
      </c>
      <c r="T16" s="131" t="b">
        <v>1</v>
      </c>
      <c r="U16" s="131" t="s">
        <v>155</v>
      </c>
      <c r="V16" s="112">
        <v>1.5</v>
      </c>
      <c r="W16" s="112"/>
      <c r="X16" s="112"/>
      <c r="Y16" s="112"/>
      <c r="Z16" s="112"/>
      <c r="AA16" s="112"/>
      <c r="AB16" s="112"/>
      <c r="AC16" s="112"/>
      <c r="AD16" s="112"/>
      <c r="AE16" s="113"/>
      <c r="AF16" s="78"/>
    </row>
    <row r="17" spans="2:32" ht="12" customHeight="1" x14ac:dyDescent="0.3">
      <c r="B17" s="2">
        <f t="shared" si="0"/>
        <v>6</v>
      </c>
      <c r="C17" s="35" t="s">
        <v>67</v>
      </c>
      <c r="D17" s="35" t="s">
        <v>114</v>
      </c>
      <c r="E17" s="35"/>
      <c r="F17" s="4">
        <v>45757</v>
      </c>
      <c r="G17" s="95">
        <v>3</v>
      </c>
      <c r="H17" s="5">
        <f t="shared" si="3"/>
        <v>2</v>
      </c>
      <c r="I17" s="6">
        <f t="shared" si="4"/>
        <v>45757</v>
      </c>
      <c r="J17" s="6" cm="1">
        <f t="array" ref="J17">FinishDate(I17,G17,holidays)</f>
        <v>45764</v>
      </c>
      <c r="K17" s="88">
        <f t="shared" si="5"/>
        <v>7</v>
      </c>
      <c r="L17" s="27" cm="1">
        <f t="array" aca="1" ref="L17" ca="1">AutoProgress(I17,J17,holidays,$C$5)</f>
        <v>1</v>
      </c>
      <c r="M17" s="28">
        <f t="shared" ca="1" si="2"/>
        <v>1</v>
      </c>
      <c r="N17" s="7">
        <f t="shared" ca="1" si="6"/>
        <v>0</v>
      </c>
      <c r="O17" s="7">
        <f t="shared" ca="1" si="7"/>
        <v>7</v>
      </c>
      <c r="P17" s="7">
        <f t="shared" ca="1" si="8"/>
        <v>0</v>
      </c>
      <c r="Q17" s="7">
        <f t="shared" ca="1" si="9"/>
        <v>0</v>
      </c>
      <c r="R17" s="125" t="str">
        <f t="shared" si="1"/>
        <v>VSRM R4 (17-Apr)</v>
      </c>
      <c r="S17" s="8" t="str" cm="1">
        <f t="array" aca="1" ref="S17" ca="1">GetProgressLabel(L17,M17)</f>
        <v>100%</v>
      </c>
      <c r="T17" s="131" t="b">
        <v>0</v>
      </c>
      <c r="U17" s="131" t="s">
        <v>155</v>
      </c>
      <c r="V17" s="112">
        <v>1.5</v>
      </c>
      <c r="W17" s="112"/>
      <c r="X17" s="112"/>
      <c r="Y17" s="112"/>
      <c r="Z17" s="112"/>
      <c r="AA17" s="112"/>
      <c r="AB17" s="112"/>
      <c r="AC17" s="112"/>
      <c r="AD17" s="112"/>
      <c r="AE17" s="113"/>
      <c r="AF17" s="78"/>
    </row>
    <row r="18" spans="2:32" ht="12" customHeight="1" x14ac:dyDescent="0.3">
      <c r="B18" s="2">
        <f t="shared" si="0"/>
        <v>7</v>
      </c>
      <c r="C18" s="35" t="s">
        <v>68</v>
      </c>
      <c r="D18" s="3" t="s">
        <v>115</v>
      </c>
      <c r="E18" s="35"/>
      <c r="F18" s="4">
        <v>45787</v>
      </c>
      <c r="G18" s="95">
        <v>3</v>
      </c>
      <c r="H18" s="5">
        <f t="shared" si="3"/>
        <v>2</v>
      </c>
      <c r="I18" s="6">
        <f t="shared" si="4"/>
        <v>45790</v>
      </c>
      <c r="J18" s="6" cm="1">
        <f t="array" ref="J18">FinishDate(I18,G18,holidays)</f>
        <v>45793</v>
      </c>
      <c r="K18" s="88">
        <f t="shared" si="5"/>
        <v>3</v>
      </c>
      <c r="L18" s="27" cm="1">
        <f t="array" aca="1" ref="L18" ca="1">AutoProgress(I18,J18,holidays,$C$5)</f>
        <v>1</v>
      </c>
      <c r="M18" s="28">
        <f t="shared" ca="1" si="2"/>
        <v>1</v>
      </c>
      <c r="N18" s="7">
        <f t="shared" ca="1" si="6"/>
        <v>0</v>
      </c>
      <c r="O18" s="7">
        <f t="shared" ca="1" si="7"/>
        <v>3</v>
      </c>
      <c r="P18" s="7">
        <f t="shared" ca="1" si="8"/>
        <v>0</v>
      </c>
      <c r="Q18" s="7">
        <f t="shared" ca="1" si="9"/>
        <v>0</v>
      </c>
      <c r="R18" s="125" t="str">
        <f t="shared" si="1"/>
        <v>VSRM R5 (16-May)</v>
      </c>
      <c r="S18" s="8" t="str" cm="1">
        <f t="array" aca="1" ref="S18" ca="1">GetProgressLabel(L18,M18)</f>
        <v>100%</v>
      </c>
      <c r="T18" s="131" t="b">
        <v>0</v>
      </c>
      <c r="U18" s="131" t="s">
        <v>155</v>
      </c>
      <c r="V18" s="112">
        <v>1.5</v>
      </c>
      <c r="W18" s="112"/>
      <c r="X18" s="112"/>
      <c r="Y18" s="112"/>
      <c r="Z18" s="112"/>
      <c r="AA18" s="112"/>
      <c r="AB18" s="112"/>
      <c r="AC18" s="112"/>
      <c r="AD18" s="112"/>
      <c r="AE18" s="113"/>
      <c r="AF18" s="78"/>
    </row>
    <row r="19" spans="2:32" ht="12" customHeight="1" x14ac:dyDescent="0.3">
      <c r="B19" s="2">
        <f>B18+1</f>
        <v>8</v>
      </c>
      <c r="C19" s="35" t="s">
        <v>69</v>
      </c>
      <c r="D19" s="35" t="s">
        <v>116</v>
      </c>
      <c r="E19" s="35"/>
      <c r="F19" s="4">
        <v>45818</v>
      </c>
      <c r="G19" s="95">
        <v>3</v>
      </c>
      <c r="H19" s="5">
        <f t="shared" si="3"/>
        <v>2</v>
      </c>
      <c r="I19" s="6">
        <f t="shared" si="4"/>
        <v>45818</v>
      </c>
      <c r="J19" s="6" cm="1">
        <f t="array" ref="J19">FinishDate(I19,G19,holidays)</f>
        <v>45821</v>
      </c>
      <c r="K19" s="88">
        <f t="shared" si="5"/>
        <v>3</v>
      </c>
      <c r="L19" s="27" cm="1">
        <f t="array" aca="1" ref="L19" ca="1">AutoProgress(I19,J19,holidays,$C$5)</f>
        <v>1</v>
      </c>
      <c r="M19" s="28">
        <f t="shared" ca="1" si="2"/>
        <v>1</v>
      </c>
      <c r="N19" s="7">
        <f t="shared" ca="1" si="6"/>
        <v>0</v>
      </c>
      <c r="O19" s="7">
        <f t="shared" ca="1" si="7"/>
        <v>3</v>
      </c>
      <c r="P19" s="7">
        <f t="shared" ca="1" si="8"/>
        <v>0</v>
      </c>
      <c r="Q19" s="7">
        <f t="shared" ca="1" si="9"/>
        <v>0</v>
      </c>
      <c r="R19" s="125" t="str">
        <f t="shared" si="1"/>
        <v>VSRM R6 (13-Jun)</v>
      </c>
      <c r="S19" s="8" t="str" cm="1">
        <f t="array" aca="1" ref="S19" ca="1">GetProgressLabel(L19,M19)</f>
        <v>100%</v>
      </c>
      <c r="T19" s="131" t="b">
        <v>1</v>
      </c>
      <c r="U19" s="131" t="s">
        <v>155</v>
      </c>
      <c r="V19" s="112">
        <v>1.5</v>
      </c>
      <c r="W19" s="112"/>
      <c r="X19" s="112"/>
      <c r="Y19" s="112"/>
      <c r="Z19" s="112"/>
      <c r="AA19" s="112"/>
      <c r="AB19" s="112"/>
      <c r="AC19" s="112"/>
      <c r="AD19" s="112"/>
      <c r="AE19" s="113"/>
      <c r="AF19" s="78"/>
    </row>
    <row r="20" spans="2:32" ht="12" customHeight="1" x14ac:dyDescent="0.3">
      <c r="B20" s="2">
        <f t="shared" si="0"/>
        <v>9</v>
      </c>
      <c r="C20" s="35" t="s">
        <v>70</v>
      </c>
      <c r="D20" s="3" t="s">
        <v>117</v>
      </c>
      <c r="E20" s="35"/>
      <c r="F20" s="4">
        <v>45848</v>
      </c>
      <c r="G20" s="95">
        <v>3</v>
      </c>
      <c r="H20" s="5">
        <f t="shared" si="3"/>
        <v>2</v>
      </c>
      <c r="I20" s="6">
        <f t="shared" si="4"/>
        <v>45849</v>
      </c>
      <c r="J20" s="6" cm="1">
        <f t="array" ref="J20">FinishDate(I20,G20,holidays)</f>
        <v>45854</v>
      </c>
      <c r="K20" s="88">
        <f t="shared" si="5"/>
        <v>5</v>
      </c>
      <c r="L20" s="27" cm="1">
        <f t="array" aca="1" ref="L20" ca="1">AutoProgress(I20,J20,holidays,$C$5)</f>
        <v>0</v>
      </c>
      <c r="M20" s="28">
        <f t="shared" ca="1" si="2"/>
        <v>0</v>
      </c>
      <c r="N20" s="7">
        <f t="shared" ca="1" si="6"/>
        <v>0</v>
      </c>
      <c r="O20" s="7">
        <f t="shared" ca="1" si="7"/>
        <v>0</v>
      </c>
      <c r="P20" s="7">
        <f t="shared" ca="1" si="8"/>
        <v>0</v>
      </c>
      <c r="Q20" s="7">
        <f t="shared" ca="1" si="9"/>
        <v>5</v>
      </c>
      <c r="R20" s="125" t="str">
        <f t="shared" si="1"/>
        <v>VSRM R7 (16-Jul)</v>
      </c>
      <c r="S20" s="8" t="str" cm="1">
        <f t="array" aca="1" ref="S20" ca="1">GetProgressLabel(L20,M20)</f>
        <v>0%</v>
      </c>
      <c r="T20" s="131" t="b">
        <v>0</v>
      </c>
      <c r="U20" s="131" t="s">
        <v>155</v>
      </c>
      <c r="V20" s="112">
        <v>1.5</v>
      </c>
      <c r="W20" s="112"/>
      <c r="X20" s="112"/>
      <c r="Y20" s="112"/>
      <c r="Z20" s="112"/>
      <c r="AA20" s="112"/>
      <c r="AB20" s="112"/>
      <c r="AC20" s="112"/>
      <c r="AD20" s="112"/>
      <c r="AE20" s="113"/>
      <c r="AF20" s="78"/>
    </row>
    <row r="21" spans="2:32" ht="12" customHeight="1" x14ac:dyDescent="0.3">
      <c r="B21" s="2">
        <f t="shared" si="0"/>
        <v>10</v>
      </c>
      <c r="C21" s="35" t="s">
        <v>71</v>
      </c>
      <c r="D21" s="35" t="s">
        <v>118</v>
      </c>
      <c r="E21" s="35"/>
      <c r="F21" s="4">
        <v>45879</v>
      </c>
      <c r="G21" s="95">
        <v>3</v>
      </c>
      <c r="H21" s="5">
        <f t="shared" si="3"/>
        <v>2</v>
      </c>
      <c r="I21" s="6">
        <f t="shared" si="4"/>
        <v>45882</v>
      </c>
      <c r="J21" s="6" cm="1">
        <f t="array" ref="J21">FinishDate(I21,G21,holidays)</f>
        <v>45885</v>
      </c>
      <c r="K21" s="88">
        <f t="shared" si="5"/>
        <v>3</v>
      </c>
      <c r="L21" s="27" cm="1">
        <f t="array" aca="1" ref="L21" ca="1">AutoProgress(I21,J21,holidays,$C$5)</f>
        <v>0</v>
      </c>
      <c r="M21" s="28">
        <f t="shared" ca="1" si="2"/>
        <v>0</v>
      </c>
      <c r="N21" s="7">
        <f t="shared" ca="1" si="6"/>
        <v>0</v>
      </c>
      <c r="O21" s="7">
        <f t="shared" ca="1" si="7"/>
        <v>0</v>
      </c>
      <c r="P21" s="7">
        <f t="shared" ca="1" si="8"/>
        <v>0</v>
      </c>
      <c r="Q21" s="7">
        <f t="shared" ca="1" si="9"/>
        <v>3</v>
      </c>
      <c r="R21" s="125" t="str">
        <f t="shared" si="1"/>
        <v>VSRM R8 (16-Aug)</v>
      </c>
      <c r="S21" s="8" t="str" cm="1">
        <f t="array" aca="1" ref="S21" ca="1">GetProgressLabel(L21,M21)</f>
        <v>0%</v>
      </c>
      <c r="T21" s="131" t="b">
        <v>0</v>
      </c>
      <c r="U21" s="131" t="s">
        <v>155</v>
      </c>
      <c r="V21" s="112">
        <v>1.5</v>
      </c>
      <c r="W21" s="112"/>
      <c r="X21" s="112"/>
      <c r="Y21" s="112"/>
      <c r="Z21" s="112"/>
      <c r="AA21" s="112"/>
      <c r="AB21" s="112"/>
      <c r="AC21" s="112"/>
      <c r="AD21" s="112"/>
      <c r="AE21" s="113"/>
      <c r="AF21" s="78"/>
    </row>
    <row r="22" spans="2:32" ht="12" customHeight="1" x14ac:dyDescent="0.3">
      <c r="B22" s="2">
        <f t="shared" ref="B22:B50" si="10">B21+1</f>
        <v>11</v>
      </c>
      <c r="C22" s="35" t="s">
        <v>72</v>
      </c>
      <c r="D22" s="3" t="s">
        <v>119</v>
      </c>
      <c r="E22" s="35"/>
      <c r="F22" s="4">
        <v>45910</v>
      </c>
      <c r="G22" s="95">
        <v>3</v>
      </c>
      <c r="H22" s="5">
        <f t="shared" si="3"/>
        <v>2</v>
      </c>
      <c r="I22" s="6">
        <f t="shared" si="4"/>
        <v>45910</v>
      </c>
      <c r="J22" s="6" cm="1">
        <f t="array" ref="J22">FinishDate(I22,G22,holidays)</f>
        <v>45913</v>
      </c>
      <c r="K22" s="88">
        <f t="shared" si="5"/>
        <v>3</v>
      </c>
      <c r="L22" s="27" cm="1">
        <f t="array" aca="1" ref="L22" ca="1">AutoProgress(I22,J22,holidays,$C$5)</f>
        <v>0</v>
      </c>
      <c r="M22" s="28">
        <f t="shared" ca="1" si="2"/>
        <v>0</v>
      </c>
      <c r="N22" s="7">
        <f t="shared" ca="1" si="6"/>
        <v>0</v>
      </c>
      <c r="O22" s="7">
        <f t="shared" ca="1" si="7"/>
        <v>0</v>
      </c>
      <c r="P22" s="7">
        <f t="shared" ca="1" si="8"/>
        <v>0</v>
      </c>
      <c r="Q22" s="7">
        <f t="shared" ca="1" si="9"/>
        <v>3</v>
      </c>
      <c r="R22" s="125" t="str">
        <f t="shared" si="1"/>
        <v>VSRM R9 (13-Sep)</v>
      </c>
      <c r="S22" s="8" t="str" cm="1">
        <f t="array" aca="1" ref="S22" ca="1">GetProgressLabel(L22,M22)</f>
        <v>0%</v>
      </c>
      <c r="T22" s="131" t="b">
        <v>1</v>
      </c>
      <c r="U22" s="131" t="s">
        <v>155</v>
      </c>
      <c r="V22" s="112">
        <v>1.5</v>
      </c>
      <c r="W22" s="112"/>
      <c r="X22" s="112"/>
      <c r="Y22" s="112"/>
      <c r="Z22" s="112"/>
      <c r="AA22" s="112"/>
      <c r="AB22" s="112"/>
      <c r="AC22" s="112"/>
      <c r="AD22" s="112"/>
      <c r="AE22" s="113"/>
      <c r="AF22" s="78"/>
    </row>
    <row r="23" spans="2:32" ht="12" customHeight="1" x14ac:dyDescent="0.3">
      <c r="B23" s="2">
        <f t="shared" si="10"/>
        <v>12</v>
      </c>
      <c r="C23" s="35" t="s">
        <v>73</v>
      </c>
      <c r="D23" s="35" t="s">
        <v>120</v>
      </c>
      <c r="E23" s="35"/>
      <c r="F23" s="4">
        <v>45940</v>
      </c>
      <c r="G23" s="95">
        <v>3</v>
      </c>
      <c r="H23" s="5">
        <f t="shared" si="3"/>
        <v>2</v>
      </c>
      <c r="I23" s="6">
        <f t="shared" si="4"/>
        <v>45940</v>
      </c>
      <c r="J23" s="6" cm="1">
        <f t="array" ref="J23">FinishDate(I23,G23,holidays)</f>
        <v>45946</v>
      </c>
      <c r="K23" s="88">
        <f t="shared" si="5"/>
        <v>6</v>
      </c>
      <c r="L23" s="27" cm="1">
        <f t="array" aca="1" ref="L23" ca="1">AutoProgress(I23,J23,holidays,$C$5)</f>
        <v>0</v>
      </c>
      <c r="M23" s="28">
        <f t="shared" ca="1" si="2"/>
        <v>0</v>
      </c>
      <c r="N23" s="7">
        <f t="shared" ca="1" si="6"/>
        <v>0</v>
      </c>
      <c r="O23" s="7">
        <f t="shared" ca="1" si="7"/>
        <v>0</v>
      </c>
      <c r="P23" s="7">
        <f t="shared" ca="1" si="8"/>
        <v>0</v>
      </c>
      <c r="Q23" s="7">
        <f t="shared" ca="1" si="9"/>
        <v>6</v>
      </c>
      <c r="R23" s="125" t="str">
        <f t="shared" si="1"/>
        <v>VSRM R10 (16-Oct)</v>
      </c>
      <c r="S23" s="8" t="str" cm="1">
        <f t="array" aca="1" ref="S23" ca="1">GetProgressLabel(L23,M23)</f>
        <v>0%</v>
      </c>
      <c r="T23" s="131" t="b">
        <v>0</v>
      </c>
      <c r="U23" s="131" t="s">
        <v>155</v>
      </c>
      <c r="V23" s="112">
        <v>1.5</v>
      </c>
      <c r="W23" s="112"/>
      <c r="X23" s="112"/>
      <c r="Y23" s="112"/>
      <c r="Z23" s="112"/>
      <c r="AA23" s="112"/>
      <c r="AB23" s="112"/>
      <c r="AC23" s="112"/>
      <c r="AD23" s="112"/>
      <c r="AE23" s="113"/>
      <c r="AF23" s="78"/>
    </row>
    <row r="24" spans="2:32" ht="12" customHeight="1" x14ac:dyDescent="0.3">
      <c r="B24" s="2">
        <f t="shared" si="10"/>
        <v>13</v>
      </c>
      <c r="C24" s="35" t="s">
        <v>74</v>
      </c>
      <c r="D24" s="3" t="s">
        <v>121</v>
      </c>
      <c r="E24" s="35"/>
      <c r="F24" s="4">
        <v>45971</v>
      </c>
      <c r="G24" s="95">
        <v>3</v>
      </c>
      <c r="H24" s="5">
        <f t="shared" si="3"/>
        <v>2</v>
      </c>
      <c r="I24" s="6">
        <f t="shared" si="4"/>
        <v>45971</v>
      </c>
      <c r="J24" s="6" cm="1">
        <f t="array" ref="J24">FinishDate(I24,G24,holidays)</f>
        <v>45974</v>
      </c>
      <c r="K24" s="88">
        <f t="shared" si="5"/>
        <v>3</v>
      </c>
      <c r="L24" s="27" cm="1">
        <f t="array" aca="1" ref="L24" ca="1">AutoProgress(I24,J24,holidays,$C$5)</f>
        <v>0</v>
      </c>
      <c r="M24" s="28">
        <f t="shared" ca="1" si="2"/>
        <v>0</v>
      </c>
      <c r="N24" s="7">
        <f t="shared" ca="1" si="6"/>
        <v>0</v>
      </c>
      <c r="O24" s="7">
        <f t="shared" ca="1" si="7"/>
        <v>0</v>
      </c>
      <c r="P24" s="7">
        <f t="shared" ca="1" si="8"/>
        <v>0</v>
      </c>
      <c r="Q24" s="7">
        <f t="shared" ca="1" si="9"/>
        <v>3</v>
      </c>
      <c r="R24" s="125" t="str">
        <f t="shared" si="1"/>
        <v>VSRM R11 (13-Nov)</v>
      </c>
      <c r="S24" s="8" t="str" cm="1">
        <f t="array" aca="1" ref="S24" ca="1">GetProgressLabel(L24,M24)</f>
        <v>0%</v>
      </c>
      <c r="T24" s="131" t="b">
        <v>0</v>
      </c>
      <c r="U24" s="131" t="s">
        <v>155</v>
      </c>
      <c r="V24" s="112">
        <v>1.5</v>
      </c>
      <c r="W24" s="112"/>
      <c r="X24" s="112"/>
      <c r="Y24" s="112"/>
      <c r="Z24" s="112"/>
      <c r="AA24" s="112"/>
      <c r="AB24" s="112"/>
      <c r="AC24" s="112"/>
      <c r="AD24" s="112"/>
      <c r="AE24" s="113"/>
      <c r="AF24" s="78"/>
    </row>
    <row r="25" spans="2:32" ht="12" customHeight="1" x14ac:dyDescent="0.3">
      <c r="B25" s="9">
        <f>B24+1</f>
        <v>14</v>
      </c>
      <c r="C25" s="36" t="s">
        <v>75</v>
      </c>
      <c r="D25" s="36" t="s">
        <v>122</v>
      </c>
      <c r="E25" s="36"/>
      <c r="F25" s="10">
        <v>46001</v>
      </c>
      <c r="G25" s="96">
        <v>3</v>
      </c>
      <c r="H25" s="11">
        <f t="shared" si="3"/>
        <v>2</v>
      </c>
      <c r="I25" s="12">
        <f t="shared" si="4"/>
        <v>46002</v>
      </c>
      <c r="J25" s="12" cm="1">
        <f t="array" ref="J25">FinishDate(I25,G25,holidays)</f>
        <v>46007</v>
      </c>
      <c r="K25" s="89">
        <f t="shared" si="5"/>
        <v>5</v>
      </c>
      <c r="L25" s="29" cm="1">
        <f t="array" aca="1" ref="L25" ca="1">AutoProgress(I25,J25,holidays,$C$5)</f>
        <v>0</v>
      </c>
      <c r="M25" s="30">
        <f t="shared" ca="1" si="2"/>
        <v>0</v>
      </c>
      <c r="N25" s="13">
        <f t="shared" ca="1" si="6"/>
        <v>0</v>
      </c>
      <c r="O25" s="13">
        <f t="shared" ca="1" si="7"/>
        <v>0</v>
      </c>
      <c r="P25" s="13">
        <f t="shared" ca="1" si="8"/>
        <v>0</v>
      </c>
      <c r="Q25" s="13">
        <f t="shared" ca="1" si="9"/>
        <v>5</v>
      </c>
      <c r="R25" s="126" t="str">
        <f t="shared" si="1"/>
        <v>VSRM R12 (16-Dec)</v>
      </c>
      <c r="S25" s="14" t="str" cm="1">
        <f t="array" aca="1" ref="S25" ca="1">GetProgressLabel(L25,M25)</f>
        <v>0%</v>
      </c>
      <c r="T25" s="132" t="b">
        <v>1</v>
      </c>
      <c r="U25" s="132" t="s">
        <v>155</v>
      </c>
      <c r="V25" s="114">
        <v>1.5</v>
      </c>
      <c r="W25" s="114"/>
      <c r="X25" s="114"/>
      <c r="Y25" s="114"/>
      <c r="Z25" s="114"/>
      <c r="AA25" s="114"/>
      <c r="AB25" s="114"/>
      <c r="AC25" s="114"/>
      <c r="AD25" s="114"/>
      <c r="AE25" s="115"/>
      <c r="AF25" s="78"/>
    </row>
    <row r="26" spans="2:32" ht="12" customHeight="1" x14ac:dyDescent="0.3">
      <c r="B26" s="48">
        <f>B25+1</f>
        <v>15</v>
      </c>
      <c r="C26" s="49" t="s">
        <v>97</v>
      </c>
      <c r="D26" s="49" t="s">
        <v>130</v>
      </c>
      <c r="E26" s="49"/>
      <c r="F26" s="50">
        <f>I26</f>
        <v>45691</v>
      </c>
      <c r="G26" s="97">
        <f>NETWORKDAYS(I26,J26-1,holidays)</f>
        <v>88</v>
      </c>
      <c r="H26" s="51">
        <f>B26</f>
        <v>15</v>
      </c>
      <c r="I26" s="50">
        <f>MIN(I27:I30)</f>
        <v>45691</v>
      </c>
      <c r="J26" s="50">
        <f>MAX(J27:J30)</f>
        <v>45826</v>
      </c>
      <c r="K26" s="90">
        <f t="shared" si="5"/>
        <v>135</v>
      </c>
      <c r="L26" s="53" cm="1">
        <f t="array" aca="1" ref="L26" ca="1">WeightedProgress(L27:L30,G27:G30)</f>
        <v>0.8</v>
      </c>
      <c r="M26" s="54" cm="1">
        <f t="array" aca="1" ref="M26" ca="1">WeightedProgress(M27:M30,G27:G30)</f>
        <v>0.8</v>
      </c>
      <c r="N26" s="52">
        <f t="shared" ref="N26" ca="1" si="11">IF(M26&lt;L26,K26,0)</f>
        <v>0</v>
      </c>
      <c r="O26" s="52">
        <f t="shared" ref="O26" ca="1" si="12">IF(M26=1,K26,0)</f>
        <v>0</v>
      </c>
      <c r="P26" s="52">
        <f t="shared" ref="P26" ca="1" si="13">IF(AND(M26&gt;=L26,M26&gt;0,M26&lt;1),K26,0)</f>
        <v>135</v>
      </c>
      <c r="Q26" s="52">
        <f t="shared" ref="Q26" ca="1" si="14">K26-SUM(N26:P26)</f>
        <v>0</v>
      </c>
      <c r="R26" s="127" t="str">
        <f t="shared" si="1"/>
        <v>(P2) Enterprise Fraud Mgmt.</v>
      </c>
      <c r="S26" s="55" t="str" cm="1">
        <f t="array" aca="1" ref="S26" ca="1">GetProgressLabel(L26,M26)</f>
        <v>80% (80%)</v>
      </c>
      <c r="T26" s="133" t="b">
        <v>1</v>
      </c>
      <c r="U26" s="133" t="s">
        <v>155</v>
      </c>
      <c r="V26" s="116">
        <v>0</v>
      </c>
      <c r="W26" s="116"/>
      <c r="X26" s="116"/>
      <c r="Y26" s="116"/>
      <c r="Z26" s="116"/>
      <c r="AA26" s="116"/>
      <c r="AB26" s="116"/>
      <c r="AC26" s="116"/>
      <c r="AD26" s="116"/>
      <c r="AE26" s="117"/>
      <c r="AF26" s="79"/>
    </row>
    <row r="27" spans="2:32" ht="12" customHeight="1" x14ac:dyDescent="0.3">
      <c r="B27" s="2">
        <f>B26+1</f>
        <v>16</v>
      </c>
      <c r="C27" s="35" t="s">
        <v>76</v>
      </c>
      <c r="D27" s="35" t="s">
        <v>62</v>
      </c>
      <c r="E27" s="35"/>
      <c r="F27" s="4">
        <v>45691</v>
      </c>
      <c r="G27" s="95">
        <v>2</v>
      </c>
      <c r="H27" s="5">
        <f>H26</f>
        <v>15</v>
      </c>
      <c r="I27" s="6">
        <f t="shared" si="4"/>
        <v>45691</v>
      </c>
      <c r="J27" s="6" cm="1">
        <f t="array" ref="J27">FinishDate(I27,G27,holidays)</f>
        <v>45693</v>
      </c>
      <c r="K27" s="88">
        <f t="shared" si="5"/>
        <v>2</v>
      </c>
      <c r="L27" s="27" cm="1">
        <f t="array" aca="1" ref="L27" ca="1">AutoProgress(I27,J27,holidays,$C$5)</f>
        <v>1</v>
      </c>
      <c r="M27" s="28">
        <f t="shared" ca="1" si="2"/>
        <v>1</v>
      </c>
      <c r="N27" s="7">
        <f t="shared" ca="1" si="6"/>
        <v>0</v>
      </c>
      <c r="O27" s="7">
        <f t="shared" ca="1" si="7"/>
        <v>2</v>
      </c>
      <c r="P27" s="7">
        <f t="shared" ca="1" si="8"/>
        <v>0</v>
      </c>
      <c r="Q27" s="7">
        <f t="shared" ca="1" si="9"/>
        <v>0</v>
      </c>
      <c r="R27" s="125" t="str">
        <f t="shared" si="1"/>
        <v>Kick-Off Meeting (05-Feb)</v>
      </c>
      <c r="S27" s="8" t="str" cm="1">
        <f t="array" aca="1" ref="S27" ca="1">GetProgressLabel(L27,M27)</f>
        <v>100%</v>
      </c>
      <c r="T27" s="131" t="b">
        <v>0</v>
      </c>
      <c r="U27" s="131" t="s">
        <v>155</v>
      </c>
      <c r="V27" s="112">
        <v>0.5</v>
      </c>
      <c r="W27" s="112"/>
      <c r="X27" s="112"/>
      <c r="Y27" s="112"/>
      <c r="Z27" s="112"/>
      <c r="AA27" s="112"/>
      <c r="AB27" s="112"/>
      <c r="AC27" s="112"/>
      <c r="AD27" s="112"/>
      <c r="AE27" s="113"/>
      <c r="AF27" s="78"/>
    </row>
    <row r="28" spans="2:32" ht="12" customHeight="1" x14ac:dyDescent="0.3">
      <c r="B28" s="2">
        <f t="shared" si="10"/>
        <v>17</v>
      </c>
      <c r="C28" s="35" t="s">
        <v>47</v>
      </c>
      <c r="D28" s="35" t="s">
        <v>77</v>
      </c>
      <c r="E28" s="35"/>
      <c r="F28" s="4">
        <v>45734</v>
      </c>
      <c r="G28" s="95">
        <v>2</v>
      </c>
      <c r="H28" s="5">
        <f>H27</f>
        <v>15</v>
      </c>
      <c r="I28" s="6">
        <f t="shared" si="4"/>
        <v>45734</v>
      </c>
      <c r="J28" s="6" cm="1">
        <f t="array" ref="J28">FinishDate(I28,G28,holidays)</f>
        <v>45736</v>
      </c>
      <c r="K28" s="88">
        <f t="shared" si="5"/>
        <v>2</v>
      </c>
      <c r="L28" s="27" cm="1">
        <f t="array" aca="1" ref="L28" ca="1">AutoProgress(I28,J28,holidays,$C$5)</f>
        <v>1</v>
      </c>
      <c r="M28" s="28">
        <f t="shared" ca="1" si="2"/>
        <v>1</v>
      </c>
      <c r="N28" s="7">
        <f t="shared" ca="1" si="6"/>
        <v>0</v>
      </c>
      <c r="O28" s="7">
        <f t="shared" ca="1" si="7"/>
        <v>2</v>
      </c>
      <c r="P28" s="7">
        <f t="shared" ca="1" si="8"/>
        <v>0</v>
      </c>
      <c r="Q28" s="7">
        <f t="shared" ca="1" si="9"/>
        <v>0</v>
      </c>
      <c r="R28" s="125" t="str">
        <f t="shared" si="1"/>
        <v>WS1 (20-Mar)</v>
      </c>
      <c r="S28" s="8" t="str" cm="1">
        <f t="array" aca="1" ref="S28" ca="1">GetProgressLabel(L28,M28)</f>
        <v>100%</v>
      </c>
      <c r="T28" s="131" t="b">
        <v>1</v>
      </c>
      <c r="U28" s="131" t="s">
        <v>155</v>
      </c>
      <c r="V28" s="112">
        <v>2</v>
      </c>
      <c r="W28" s="112"/>
      <c r="X28" s="112"/>
      <c r="Y28" s="112"/>
      <c r="Z28" s="112"/>
      <c r="AA28" s="112"/>
      <c r="AB28" s="112"/>
      <c r="AC28" s="112"/>
      <c r="AD28" s="112"/>
      <c r="AE28" s="113"/>
      <c r="AF28" s="78"/>
    </row>
    <row r="29" spans="2:32" ht="12" customHeight="1" x14ac:dyDescent="0.3">
      <c r="B29" s="2">
        <f t="shared" si="10"/>
        <v>18</v>
      </c>
      <c r="C29" s="35" t="s">
        <v>85</v>
      </c>
      <c r="D29" s="35" t="s">
        <v>78</v>
      </c>
      <c r="E29" s="35"/>
      <c r="F29" s="4">
        <v>45790</v>
      </c>
      <c r="G29" s="95">
        <v>4</v>
      </c>
      <c r="H29" s="5">
        <f>H28</f>
        <v>15</v>
      </c>
      <c r="I29" s="6">
        <f t="shared" si="4"/>
        <v>45790</v>
      </c>
      <c r="J29" s="6" cm="1">
        <f t="array" ref="J29">FinishDate(I29,G29,holidays)</f>
        <v>45794</v>
      </c>
      <c r="K29" s="88">
        <f t="shared" si="5"/>
        <v>4</v>
      </c>
      <c r="L29" s="27" cm="1">
        <f t="array" aca="1" ref="L29" ca="1">AutoProgress(I29,J29,holidays,$C$5)</f>
        <v>1</v>
      </c>
      <c r="M29" s="28">
        <f t="shared" ca="1" si="2"/>
        <v>1</v>
      </c>
      <c r="N29" s="7">
        <f t="shared" ca="1" si="6"/>
        <v>0</v>
      </c>
      <c r="O29" s="7">
        <f t="shared" ca="1" si="7"/>
        <v>4</v>
      </c>
      <c r="P29" s="7">
        <f t="shared" ca="1" si="8"/>
        <v>0</v>
      </c>
      <c r="Q29" s="7">
        <f t="shared" ca="1" si="9"/>
        <v>0</v>
      </c>
      <c r="R29" s="125" t="str">
        <f t="shared" si="1"/>
        <v>WS2 (17-May)</v>
      </c>
      <c r="S29" s="8" t="str" cm="1">
        <f t="array" aca="1" ref="S29" ca="1">GetProgressLabel(L29,M29)</f>
        <v>100%</v>
      </c>
      <c r="T29" s="131" t="b">
        <v>1</v>
      </c>
      <c r="U29" s="131" t="s">
        <v>155</v>
      </c>
      <c r="V29" s="112">
        <v>4</v>
      </c>
      <c r="W29" s="112"/>
      <c r="X29" s="112"/>
      <c r="Y29" s="112"/>
      <c r="Z29" s="112"/>
      <c r="AA29" s="112"/>
      <c r="AB29" s="112"/>
      <c r="AC29" s="112"/>
      <c r="AD29" s="112"/>
      <c r="AE29" s="113"/>
      <c r="AF29" s="78"/>
    </row>
    <row r="30" spans="2:32" ht="12" customHeight="1" x14ac:dyDescent="0.3">
      <c r="B30" s="9">
        <f t="shared" si="10"/>
        <v>19</v>
      </c>
      <c r="C30" s="36" t="s">
        <v>48</v>
      </c>
      <c r="D30" s="36" t="s">
        <v>79</v>
      </c>
      <c r="E30" s="36"/>
      <c r="F30" s="10">
        <v>45824</v>
      </c>
      <c r="G30" s="96">
        <v>2</v>
      </c>
      <c r="H30" s="11">
        <f>H29</f>
        <v>15</v>
      </c>
      <c r="I30" s="12">
        <f t="shared" si="4"/>
        <v>45824</v>
      </c>
      <c r="J30" s="12" cm="1">
        <f t="array" ref="J30">FinishDate(I30,G30,holidays)</f>
        <v>45826</v>
      </c>
      <c r="K30" s="89">
        <f t="shared" si="5"/>
        <v>2</v>
      </c>
      <c r="L30" s="29" cm="1">
        <f t="array" aca="1" ref="L30" ca="1">AutoProgress(I30,J30,holidays,$C$5)</f>
        <v>0</v>
      </c>
      <c r="M30" s="30">
        <f t="shared" ca="1" si="2"/>
        <v>0</v>
      </c>
      <c r="N30" s="13">
        <f t="shared" ca="1" si="6"/>
        <v>0</v>
      </c>
      <c r="O30" s="13">
        <f t="shared" ca="1" si="7"/>
        <v>0</v>
      </c>
      <c r="P30" s="13">
        <f t="shared" ca="1" si="8"/>
        <v>0</v>
      </c>
      <c r="Q30" s="13">
        <f t="shared" ca="1" si="9"/>
        <v>2</v>
      </c>
      <c r="R30" s="126" t="str">
        <f t="shared" si="1"/>
        <v>Final Delivery (18-Jun)</v>
      </c>
      <c r="S30" s="14" t="str" cm="1">
        <f t="array" aca="1" ref="S30" ca="1">GetProgressLabel(L30,M30)</f>
        <v>0%</v>
      </c>
      <c r="T30" s="132" t="b">
        <v>1</v>
      </c>
      <c r="U30" s="132" t="s">
        <v>155</v>
      </c>
      <c r="V30" s="114">
        <v>2</v>
      </c>
      <c r="W30" s="114"/>
      <c r="X30" s="114"/>
      <c r="Y30" s="114"/>
      <c r="Z30" s="114"/>
      <c r="AA30" s="114"/>
      <c r="AB30" s="114"/>
      <c r="AC30" s="114"/>
      <c r="AD30" s="114"/>
      <c r="AE30" s="115"/>
      <c r="AF30" s="78"/>
    </row>
    <row r="31" spans="2:32" ht="12" customHeight="1" x14ac:dyDescent="0.3">
      <c r="B31" s="48">
        <f>B30+1</f>
        <v>20</v>
      </c>
      <c r="C31" s="49" t="s">
        <v>89</v>
      </c>
      <c r="D31" s="49" t="s">
        <v>131</v>
      </c>
      <c r="E31" s="49"/>
      <c r="F31" s="50">
        <f>I31</f>
        <v>45733</v>
      </c>
      <c r="G31" s="97">
        <f>NETWORKDAYS(I31,J31-1,holidays)</f>
        <v>29</v>
      </c>
      <c r="H31" s="51">
        <f>B31</f>
        <v>20</v>
      </c>
      <c r="I31" s="50">
        <f>MIN(I32:I33)</f>
        <v>45733</v>
      </c>
      <c r="J31" s="50">
        <f>MAX(J32:J33)</f>
        <v>45777</v>
      </c>
      <c r="K31" s="90">
        <f t="shared" si="5"/>
        <v>44</v>
      </c>
      <c r="L31" s="53" cm="1">
        <f t="array" aca="1" ref="L31" ca="1">WeightedProgress(L32:L33,G32:G33)</f>
        <v>1</v>
      </c>
      <c r="M31" s="54" cm="1">
        <f t="array" aca="1" ref="M31" ca="1">WeightedProgress(M32:M33,G32:G33)</f>
        <v>1</v>
      </c>
      <c r="N31" s="52">
        <f t="shared" ref="N31" ca="1" si="15">IF(M31&lt;L31,K31,0)</f>
        <v>0</v>
      </c>
      <c r="O31" s="52">
        <f t="shared" ref="O31" ca="1" si="16">IF(M31=1,K31,0)</f>
        <v>44</v>
      </c>
      <c r="P31" s="52">
        <f t="shared" ref="P31" ca="1" si="17">IF(AND(M31&gt;=L31,M31&gt;0,M31&lt;1),K31,0)</f>
        <v>0</v>
      </c>
      <c r="Q31" s="52">
        <f t="shared" ref="Q31" ca="1" si="18">K31-SUM(N31:P31)</f>
        <v>0</v>
      </c>
      <c r="R31" s="127" t="str">
        <f t="shared" si="1"/>
        <v>(P3) STIP Optimization</v>
      </c>
      <c r="S31" s="55" t="str" cm="1">
        <f t="array" aca="1" ref="S31" ca="1">GetProgressLabel(L31,M31)</f>
        <v>100%</v>
      </c>
      <c r="T31" s="133" t="b">
        <v>1</v>
      </c>
      <c r="U31" s="133" t="s">
        <v>155</v>
      </c>
      <c r="V31" s="116">
        <v>0</v>
      </c>
      <c r="W31" s="116"/>
      <c r="X31" s="116"/>
      <c r="Y31" s="116"/>
      <c r="Z31" s="116"/>
      <c r="AA31" s="116"/>
      <c r="AB31" s="116"/>
      <c r="AC31" s="116"/>
      <c r="AD31" s="116"/>
      <c r="AE31" s="117"/>
      <c r="AF31" s="78"/>
    </row>
    <row r="32" spans="2:32" ht="12" customHeight="1" x14ac:dyDescent="0.3">
      <c r="B32" s="2">
        <f>B31+1</f>
        <v>21</v>
      </c>
      <c r="C32" s="35" t="s">
        <v>76</v>
      </c>
      <c r="D32" s="35" t="s">
        <v>76</v>
      </c>
      <c r="E32" s="35"/>
      <c r="F32" s="4">
        <v>45731</v>
      </c>
      <c r="G32" s="95">
        <v>2</v>
      </c>
      <c r="H32" s="5">
        <f>H31</f>
        <v>20</v>
      </c>
      <c r="I32" s="6">
        <f t="shared" si="4"/>
        <v>45733</v>
      </c>
      <c r="J32" s="6" cm="1">
        <f t="array" ref="J32">FinishDate(I32,G32,holidays)</f>
        <v>45735</v>
      </c>
      <c r="K32" s="88">
        <f t="shared" si="5"/>
        <v>2</v>
      </c>
      <c r="L32" s="27" cm="1">
        <f t="array" aca="1" ref="L32" ca="1">AutoProgress(I32,J32,holidays,$C$5)</f>
        <v>1</v>
      </c>
      <c r="M32" s="28">
        <f t="shared" ref="M32:M33" ca="1" si="19">L32</f>
        <v>1</v>
      </c>
      <c r="N32" s="7">
        <f t="shared" ca="1" si="6"/>
        <v>0</v>
      </c>
      <c r="O32" s="7">
        <f t="shared" ca="1" si="7"/>
        <v>2</v>
      </c>
      <c r="P32" s="7">
        <f t="shared" ca="1" si="8"/>
        <v>0</v>
      </c>
      <c r="Q32" s="7">
        <f t="shared" ca="1" si="9"/>
        <v>0</v>
      </c>
      <c r="R32" s="125" t="str">
        <f t="shared" si="1"/>
        <v>Kick-Off meeting (19-Mar)</v>
      </c>
      <c r="S32" s="8" t="str" cm="1">
        <f t="array" aca="1" ref="S32" ca="1">GetProgressLabel(L32,M32)</f>
        <v>100%</v>
      </c>
      <c r="T32" s="131" t="b">
        <v>0</v>
      </c>
      <c r="U32" s="131" t="s">
        <v>155</v>
      </c>
      <c r="V32" s="112">
        <v>0.5</v>
      </c>
      <c r="W32" s="112"/>
      <c r="X32" s="112"/>
      <c r="Y32" s="112"/>
      <c r="Z32" s="112"/>
      <c r="AA32" s="112"/>
      <c r="AB32" s="112"/>
      <c r="AC32" s="112"/>
      <c r="AD32" s="112"/>
      <c r="AE32" s="113"/>
      <c r="AF32" s="78"/>
    </row>
    <row r="33" spans="2:32" ht="12" customHeight="1" x14ac:dyDescent="0.3">
      <c r="B33" s="9">
        <f t="shared" si="10"/>
        <v>22</v>
      </c>
      <c r="C33" s="36" t="s">
        <v>49</v>
      </c>
      <c r="D33" s="36" t="s">
        <v>177</v>
      </c>
      <c r="E33" s="36"/>
      <c r="F33" s="10">
        <v>45775</v>
      </c>
      <c r="G33" s="96">
        <v>2</v>
      </c>
      <c r="H33" s="11">
        <f>H32</f>
        <v>20</v>
      </c>
      <c r="I33" s="12">
        <f t="shared" si="4"/>
        <v>45775</v>
      </c>
      <c r="J33" s="12" cm="1">
        <f t="array" ref="J33">FinishDate(I33,G33,holidays)</f>
        <v>45777</v>
      </c>
      <c r="K33" s="89">
        <f t="shared" si="5"/>
        <v>2</v>
      </c>
      <c r="L33" s="29" cm="1">
        <f t="array" aca="1" ref="L33" ca="1">AutoProgress(I33,J33,holidays,$C$5)</f>
        <v>1</v>
      </c>
      <c r="M33" s="30">
        <f t="shared" ca="1" si="19"/>
        <v>1</v>
      </c>
      <c r="N33" s="13">
        <f t="shared" ca="1" si="6"/>
        <v>0</v>
      </c>
      <c r="O33" s="13">
        <f t="shared" ca="1" si="7"/>
        <v>2</v>
      </c>
      <c r="P33" s="13">
        <f t="shared" ca="1" si="8"/>
        <v>0</v>
      </c>
      <c r="Q33" s="13">
        <f t="shared" ca="1" si="9"/>
        <v>0</v>
      </c>
      <c r="R33" s="126" t="str">
        <f t="shared" si="1"/>
        <v>Config. Recom. (30-Apr)</v>
      </c>
      <c r="S33" s="14" t="str" cm="1">
        <f t="array" aca="1" ref="S33" ca="1">GetProgressLabel(L33,M33)</f>
        <v>100%</v>
      </c>
      <c r="T33" s="132" t="b">
        <v>1</v>
      </c>
      <c r="U33" s="132" t="s">
        <v>155</v>
      </c>
      <c r="V33" s="114">
        <v>0.5</v>
      </c>
      <c r="W33" s="114"/>
      <c r="X33" s="114"/>
      <c r="Y33" s="114"/>
      <c r="Z33" s="114"/>
      <c r="AA33" s="114"/>
      <c r="AB33" s="114"/>
      <c r="AC33" s="114"/>
      <c r="AD33" s="114"/>
      <c r="AE33" s="115"/>
      <c r="AF33" s="78"/>
    </row>
    <row r="34" spans="2:32" ht="12" customHeight="1" x14ac:dyDescent="0.3">
      <c r="B34" s="48">
        <f>B33+1</f>
        <v>23</v>
      </c>
      <c r="C34" s="49" t="s">
        <v>82</v>
      </c>
      <c r="D34" s="49" t="s">
        <v>132</v>
      </c>
      <c r="E34" s="49"/>
      <c r="F34" s="50">
        <f>I34</f>
        <v>45691</v>
      </c>
      <c r="G34" s="97">
        <f>NETWORKDAYS(I34,J34-1,holidays)</f>
        <v>96</v>
      </c>
      <c r="H34" s="51">
        <f>B34</f>
        <v>23</v>
      </c>
      <c r="I34" s="50">
        <f>MIN(I35:I38)</f>
        <v>45691</v>
      </c>
      <c r="J34" s="50">
        <f>MAX(J35:J38)</f>
        <v>45836</v>
      </c>
      <c r="K34" s="90">
        <f t="shared" si="5"/>
        <v>145</v>
      </c>
      <c r="L34" s="53" cm="1">
        <f t="array" aca="1" ref="L34" ca="1">WeightedProgress(L35:L38,G35:G38)</f>
        <v>0.84615384615384615</v>
      </c>
      <c r="M34" s="54" cm="1">
        <f t="array" aca="1" ref="M34" ca="1">WeightedProgress(M35:M38,G35:G38)</f>
        <v>0.84615384615384615</v>
      </c>
      <c r="N34" s="52">
        <f t="shared" ref="N34" ca="1" si="20">IF(M34&lt;L34,K34,0)</f>
        <v>0</v>
      </c>
      <c r="O34" s="52">
        <f t="shared" ref="O34" ca="1" si="21">IF(M34=1,K34,0)</f>
        <v>0</v>
      </c>
      <c r="P34" s="52">
        <f t="shared" ref="P34" ca="1" si="22">IF(AND(M34&gt;=L34,M34&gt;0,M34&lt;1),K34,0)</f>
        <v>145</v>
      </c>
      <c r="Q34" s="52">
        <f t="shared" ref="Q34" ca="1" si="23">K34-SUM(N34:P34)</f>
        <v>0</v>
      </c>
      <c r="R34" s="127" t="str">
        <f t="shared" si="1"/>
        <v xml:space="preserve">(P4) Fraud Risk Analytics </v>
      </c>
      <c r="S34" s="55" t="str" cm="1">
        <f t="array" aca="1" ref="S34" ca="1">GetProgressLabel(L34,M34)</f>
        <v>85% (85%)</v>
      </c>
      <c r="T34" s="133" t="b">
        <v>1</v>
      </c>
      <c r="U34" s="133" t="s">
        <v>155</v>
      </c>
      <c r="V34" s="116">
        <v>0</v>
      </c>
      <c r="W34" s="116"/>
      <c r="X34" s="116"/>
      <c r="Y34" s="116"/>
      <c r="Z34" s="116"/>
      <c r="AA34" s="116"/>
      <c r="AB34" s="116"/>
      <c r="AC34" s="116"/>
      <c r="AD34" s="116"/>
      <c r="AE34" s="117"/>
      <c r="AF34" s="78"/>
    </row>
    <row r="35" spans="2:32" ht="12" customHeight="1" x14ac:dyDescent="0.3">
      <c r="B35" s="2">
        <f>B34+1</f>
        <v>24</v>
      </c>
      <c r="C35" s="35" t="s">
        <v>81</v>
      </c>
      <c r="D35" s="35" t="str">
        <f>C35</f>
        <v>Kick-Off meetings</v>
      </c>
      <c r="E35" s="35"/>
      <c r="F35" s="4">
        <v>45691</v>
      </c>
      <c r="G35" s="95">
        <v>2</v>
      </c>
      <c r="H35" s="5">
        <f>H34</f>
        <v>23</v>
      </c>
      <c r="I35" s="6">
        <f t="shared" si="4"/>
        <v>45691</v>
      </c>
      <c r="J35" s="6" cm="1">
        <f t="array" ref="J35">FinishDate(I35,G35,holidays)</f>
        <v>45693</v>
      </c>
      <c r="K35" s="88">
        <f t="shared" si="5"/>
        <v>2</v>
      </c>
      <c r="L35" s="27" cm="1">
        <f t="array" aca="1" ref="L35" ca="1">AutoProgress(I35,J35,holidays,$C$5)</f>
        <v>1</v>
      </c>
      <c r="M35" s="28">
        <f t="shared" ref="M35:M38" ca="1" si="24">L35</f>
        <v>1</v>
      </c>
      <c r="N35" s="7">
        <f t="shared" ca="1" si="6"/>
        <v>0</v>
      </c>
      <c r="O35" s="7">
        <f t="shared" ca="1" si="7"/>
        <v>2</v>
      </c>
      <c r="P35" s="7">
        <f t="shared" ca="1" si="8"/>
        <v>0</v>
      </c>
      <c r="Q35" s="7">
        <f t="shared" ca="1" si="9"/>
        <v>0</v>
      </c>
      <c r="R35" s="125" t="str">
        <f t="shared" si="1"/>
        <v>Kick-Off meetings (05-Feb)</v>
      </c>
      <c r="S35" s="8" t="str" cm="1">
        <f t="array" aca="1" ref="S35" ca="1">GetProgressLabel(L35,M35)</f>
        <v>100%</v>
      </c>
      <c r="T35" s="131" t="b">
        <v>0</v>
      </c>
      <c r="U35" s="131" t="s">
        <v>155</v>
      </c>
      <c r="V35" s="112">
        <v>0.5</v>
      </c>
      <c r="W35" s="112"/>
      <c r="X35" s="112"/>
      <c r="Y35" s="112"/>
      <c r="Z35" s="112"/>
      <c r="AA35" s="112"/>
      <c r="AB35" s="112"/>
      <c r="AC35" s="112"/>
      <c r="AD35" s="112"/>
      <c r="AE35" s="113"/>
      <c r="AF35" s="78"/>
    </row>
    <row r="36" spans="2:32" ht="12" customHeight="1" x14ac:dyDescent="0.3">
      <c r="B36" s="2">
        <f t="shared" si="10"/>
        <v>25</v>
      </c>
      <c r="C36" s="35" t="s">
        <v>88</v>
      </c>
      <c r="D36" s="35" t="s">
        <v>86</v>
      </c>
      <c r="E36" s="35"/>
      <c r="F36" s="4">
        <v>45751</v>
      </c>
      <c r="G36" s="95">
        <v>4</v>
      </c>
      <c r="H36" s="5">
        <f>H35</f>
        <v>23</v>
      </c>
      <c r="I36" s="6">
        <f t="shared" si="4"/>
        <v>45751</v>
      </c>
      <c r="J36" s="6" cm="1">
        <f t="array" ref="J36">FinishDate(I36,G36,holidays)</f>
        <v>45758</v>
      </c>
      <c r="K36" s="88">
        <f t="shared" si="5"/>
        <v>7</v>
      </c>
      <c r="L36" s="27" cm="1">
        <f t="array" aca="1" ref="L36" ca="1">AutoProgress(I36,J36,holidays,$C$5)</f>
        <v>1</v>
      </c>
      <c r="M36" s="28">
        <f t="shared" ca="1" si="24"/>
        <v>1</v>
      </c>
      <c r="N36" s="7">
        <f t="shared" ca="1" si="6"/>
        <v>0</v>
      </c>
      <c r="O36" s="7">
        <f t="shared" ca="1" si="7"/>
        <v>7</v>
      </c>
      <c r="P36" s="7">
        <f t="shared" ca="1" si="8"/>
        <v>0</v>
      </c>
      <c r="Q36" s="7">
        <f t="shared" ca="1" si="9"/>
        <v>0</v>
      </c>
      <c r="R36" s="125" t="str">
        <f t="shared" si="1"/>
        <v>Metric shortlisting (11-Apr)</v>
      </c>
      <c r="S36" s="8" t="str" cm="1">
        <f t="array" aca="1" ref="S36" ca="1">GetProgressLabel(L36,M36)</f>
        <v>100%</v>
      </c>
      <c r="T36" s="131" t="b">
        <v>0</v>
      </c>
      <c r="U36" s="131" t="s">
        <v>155</v>
      </c>
      <c r="V36" s="112">
        <v>4</v>
      </c>
      <c r="W36" s="112"/>
      <c r="X36" s="112"/>
      <c r="Y36" s="112"/>
      <c r="Z36" s="112"/>
      <c r="AA36" s="112"/>
      <c r="AB36" s="112"/>
      <c r="AC36" s="112"/>
      <c r="AD36" s="112"/>
      <c r="AE36" s="113"/>
      <c r="AF36" s="78"/>
    </row>
    <row r="37" spans="2:32" ht="12" customHeight="1" x14ac:dyDescent="0.3">
      <c r="B37" s="2">
        <f t="shared" si="10"/>
        <v>26</v>
      </c>
      <c r="C37" s="35" t="s">
        <v>50</v>
      </c>
      <c r="D37" s="35" t="s">
        <v>80</v>
      </c>
      <c r="E37" s="35"/>
      <c r="F37" s="4">
        <v>45796</v>
      </c>
      <c r="G37" s="95">
        <v>5</v>
      </c>
      <c r="H37" s="5">
        <f>H36</f>
        <v>23</v>
      </c>
      <c r="I37" s="6">
        <f t="shared" si="4"/>
        <v>45796</v>
      </c>
      <c r="J37" s="6" cm="1">
        <f t="array" ref="J37">FinishDate(I37,G37,holidays)</f>
        <v>45801</v>
      </c>
      <c r="K37" s="88">
        <f t="shared" si="5"/>
        <v>5</v>
      </c>
      <c r="L37" s="27" cm="1">
        <f t="array" aca="1" ref="L37" ca="1">AutoProgress(I37,J37,holidays,$C$5)</f>
        <v>1</v>
      </c>
      <c r="M37" s="28">
        <v>1</v>
      </c>
      <c r="N37" s="7">
        <f t="shared" ca="1" si="6"/>
        <v>0</v>
      </c>
      <c r="O37" s="7">
        <f t="shared" si="7"/>
        <v>5</v>
      </c>
      <c r="P37" s="7">
        <f t="shared" ca="1" si="8"/>
        <v>0</v>
      </c>
      <c r="Q37" s="7">
        <f t="shared" ca="1" si="9"/>
        <v>0</v>
      </c>
      <c r="R37" s="125" t="str">
        <f t="shared" si="1"/>
        <v>Workshop (24-May)</v>
      </c>
      <c r="S37" s="8" t="str" cm="1">
        <f t="array" aca="1" ref="S37" ca="1">GetProgressLabel(L37,M37)</f>
        <v>100%</v>
      </c>
      <c r="T37" s="131" t="b">
        <v>1</v>
      </c>
      <c r="U37" s="131" t="s">
        <v>155</v>
      </c>
      <c r="V37" s="112">
        <v>5</v>
      </c>
      <c r="W37" s="112"/>
      <c r="X37" s="112"/>
      <c r="Y37" s="112"/>
      <c r="Z37" s="112"/>
      <c r="AA37" s="112"/>
      <c r="AB37" s="112"/>
      <c r="AC37" s="112"/>
      <c r="AD37" s="112"/>
      <c r="AE37" s="113"/>
      <c r="AF37" s="78"/>
    </row>
    <row r="38" spans="2:32" ht="12" customHeight="1" x14ac:dyDescent="0.3">
      <c r="B38" s="9">
        <f t="shared" si="10"/>
        <v>27</v>
      </c>
      <c r="C38" s="36" t="s">
        <v>51</v>
      </c>
      <c r="D38" s="36" t="s">
        <v>79</v>
      </c>
      <c r="E38" s="36"/>
      <c r="F38" s="10">
        <v>45834</v>
      </c>
      <c r="G38" s="96">
        <v>2</v>
      </c>
      <c r="H38" s="11">
        <f>H37</f>
        <v>23</v>
      </c>
      <c r="I38" s="12">
        <f t="shared" si="4"/>
        <v>45834</v>
      </c>
      <c r="J38" s="12" cm="1">
        <f t="array" ref="J38">FinishDate(I38,G38,holidays)</f>
        <v>45836</v>
      </c>
      <c r="K38" s="89">
        <f t="shared" si="5"/>
        <v>2</v>
      </c>
      <c r="L38" s="29" cm="1">
        <f t="array" aca="1" ref="L38" ca="1">AutoProgress(I38,J38,holidays,$C$5)</f>
        <v>0</v>
      </c>
      <c r="M38" s="30">
        <f t="shared" ca="1" si="24"/>
        <v>0</v>
      </c>
      <c r="N38" s="13">
        <f t="shared" ca="1" si="6"/>
        <v>0</v>
      </c>
      <c r="O38" s="13">
        <f t="shared" ca="1" si="7"/>
        <v>0</v>
      </c>
      <c r="P38" s="13">
        <f t="shared" ca="1" si="8"/>
        <v>0</v>
      </c>
      <c r="Q38" s="13">
        <f t="shared" ca="1" si="9"/>
        <v>2</v>
      </c>
      <c r="R38" s="126" t="str">
        <f t="shared" si="1"/>
        <v>Final Delivery (28-Jun)</v>
      </c>
      <c r="S38" s="14" t="str" cm="1">
        <f t="array" aca="1" ref="S38" ca="1">GetProgressLabel(L38,M38)</f>
        <v>0%</v>
      </c>
      <c r="T38" s="132" t="b">
        <v>1</v>
      </c>
      <c r="U38" s="132" t="s">
        <v>155</v>
      </c>
      <c r="V38" s="114">
        <v>0.5</v>
      </c>
      <c r="W38" s="114"/>
      <c r="X38" s="114"/>
      <c r="Y38" s="114"/>
      <c r="Z38" s="114"/>
      <c r="AA38" s="114"/>
      <c r="AB38" s="114"/>
      <c r="AC38" s="114"/>
      <c r="AD38" s="114"/>
      <c r="AE38" s="115"/>
      <c r="AF38" s="78"/>
    </row>
    <row r="39" spans="2:32" ht="12" customHeight="1" x14ac:dyDescent="0.3">
      <c r="B39" s="48">
        <f>B38+1</f>
        <v>28</v>
      </c>
      <c r="C39" s="49" t="s">
        <v>52</v>
      </c>
      <c r="D39" s="49" t="s">
        <v>133</v>
      </c>
      <c r="E39" s="49"/>
      <c r="F39" s="50">
        <f>I39</f>
        <v>45733</v>
      </c>
      <c r="G39" s="97">
        <f>NETWORKDAYS(I39,J39-1,holidays)</f>
        <v>78</v>
      </c>
      <c r="H39" s="51">
        <f>B39</f>
        <v>28</v>
      </c>
      <c r="I39" s="50">
        <f>MIN(I40:I44)</f>
        <v>45733</v>
      </c>
      <c r="J39" s="50">
        <f>MAX(J40:J44)</f>
        <v>45854</v>
      </c>
      <c r="K39" s="90">
        <f t="shared" si="5"/>
        <v>121</v>
      </c>
      <c r="L39" s="53" cm="1">
        <f t="array" aca="1" ref="L39" ca="1">WeightedProgress(L40:L44,G40:G44)</f>
        <v>0.5</v>
      </c>
      <c r="M39" s="54" cm="1">
        <f t="array" aca="1" ref="M39" ca="1">WeightedProgress(M40:M44,G40:G44)</f>
        <v>0.5</v>
      </c>
      <c r="N39" s="52">
        <f t="shared" ca="1" si="6"/>
        <v>0</v>
      </c>
      <c r="O39" s="52">
        <f t="shared" ca="1" si="7"/>
        <v>0</v>
      </c>
      <c r="P39" s="52">
        <f t="shared" ca="1" si="8"/>
        <v>121</v>
      </c>
      <c r="Q39" s="52">
        <f t="shared" ca="1" si="9"/>
        <v>0</v>
      </c>
      <c r="R39" s="127" t="str">
        <f t="shared" si="1"/>
        <v>(P5) VPTL – Credit &amp; Debit</v>
      </c>
      <c r="S39" s="55" t="str" cm="1">
        <f t="array" aca="1" ref="S39" ca="1">GetProgressLabel(L39,M39)</f>
        <v>50% (50%)</v>
      </c>
      <c r="T39" s="133" t="b">
        <v>1</v>
      </c>
      <c r="U39" s="133" t="s">
        <v>155</v>
      </c>
      <c r="V39" s="116">
        <v>0</v>
      </c>
      <c r="W39" s="116"/>
      <c r="X39" s="116"/>
      <c r="Y39" s="116"/>
      <c r="Z39" s="116"/>
      <c r="AA39" s="116"/>
      <c r="AB39" s="116"/>
      <c r="AC39" s="116"/>
      <c r="AD39" s="116"/>
      <c r="AE39" s="117"/>
      <c r="AF39" s="78"/>
    </row>
    <row r="40" spans="2:32" ht="12" customHeight="1" x14ac:dyDescent="0.3">
      <c r="B40" s="2">
        <f>B39+1</f>
        <v>29</v>
      </c>
      <c r="C40" s="35" t="s">
        <v>76</v>
      </c>
      <c r="D40" s="35" t="str">
        <f>C40</f>
        <v>Kick-Off meeting</v>
      </c>
      <c r="E40" s="35"/>
      <c r="F40" s="4">
        <v>45733</v>
      </c>
      <c r="G40" s="95">
        <v>2</v>
      </c>
      <c r="H40" s="5">
        <f>H39</f>
        <v>28</v>
      </c>
      <c r="I40" s="6">
        <f t="shared" si="4"/>
        <v>45733</v>
      </c>
      <c r="J40" s="6" cm="1">
        <f t="array" ref="J40">FinishDate(I40,G40,holidays)</f>
        <v>45735</v>
      </c>
      <c r="K40" s="88">
        <f t="shared" si="5"/>
        <v>2</v>
      </c>
      <c r="L40" s="27" cm="1">
        <f t="array" aca="1" ref="L40" ca="1">AutoProgress(I40,J40,holidays,$C$5)</f>
        <v>1</v>
      </c>
      <c r="M40" s="28">
        <f t="shared" ref="M40:M44" ca="1" si="25">L40</f>
        <v>1</v>
      </c>
      <c r="N40" s="7">
        <f t="shared" ca="1" si="6"/>
        <v>0</v>
      </c>
      <c r="O40" s="7">
        <f t="shared" ca="1" si="7"/>
        <v>2</v>
      </c>
      <c r="P40" s="7">
        <f t="shared" ca="1" si="8"/>
        <v>0</v>
      </c>
      <c r="Q40" s="7">
        <f t="shared" ca="1" si="9"/>
        <v>0</v>
      </c>
      <c r="R40" s="125" t="str">
        <f t="shared" si="1"/>
        <v>Kick-Off meeting (19-Mar)</v>
      </c>
      <c r="S40" s="8" t="str" cm="1">
        <f t="array" aca="1" ref="S40" ca="1">GetProgressLabel(L40,M40)</f>
        <v>100%</v>
      </c>
      <c r="T40" s="131" t="b">
        <v>0</v>
      </c>
      <c r="U40" s="131" t="s">
        <v>155</v>
      </c>
      <c r="V40" s="112">
        <v>0.5</v>
      </c>
      <c r="W40" s="112"/>
      <c r="X40" s="112"/>
      <c r="Y40" s="112"/>
      <c r="Z40" s="112"/>
      <c r="AA40" s="112"/>
      <c r="AB40" s="112"/>
      <c r="AC40" s="112"/>
      <c r="AD40" s="112"/>
      <c r="AE40" s="113"/>
      <c r="AF40" s="78"/>
    </row>
    <row r="41" spans="2:32" ht="12" customHeight="1" x14ac:dyDescent="0.3">
      <c r="B41" s="2">
        <f t="shared" si="10"/>
        <v>30</v>
      </c>
      <c r="C41" s="35" t="s">
        <v>53</v>
      </c>
      <c r="D41" s="35" t="s">
        <v>126</v>
      </c>
      <c r="E41" s="35"/>
      <c r="F41" s="4">
        <v>45803</v>
      </c>
      <c r="G41" s="95">
        <v>10</v>
      </c>
      <c r="H41" s="5">
        <f>H40</f>
        <v>28</v>
      </c>
      <c r="I41" s="6">
        <f t="shared" si="4"/>
        <v>45803</v>
      </c>
      <c r="J41" s="6" cm="1">
        <f t="array" ref="J41">FinishDate(I41,G41,holidays)</f>
        <v>45819</v>
      </c>
      <c r="K41" s="88">
        <f t="shared" si="5"/>
        <v>16</v>
      </c>
      <c r="L41" s="27" cm="1">
        <f t="array" aca="1" ref="L41" ca="1">AutoProgress(I41,J41,holidays,$C$5)</f>
        <v>1</v>
      </c>
      <c r="M41" s="28">
        <f t="shared" ca="1" si="25"/>
        <v>1</v>
      </c>
      <c r="N41" s="7">
        <f t="shared" ca="1" si="6"/>
        <v>0</v>
      </c>
      <c r="O41" s="7">
        <f t="shared" ca="1" si="7"/>
        <v>16</v>
      </c>
      <c r="P41" s="7">
        <f t="shared" ca="1" si="8"/>
        <v>0</v>
      </c>
      <c r="Q41" s="7">
        <f t="shared" ca="1" si="9"/>
        <v>0</v>
      </c>
      <c r="R41" s="125" t="str">
        <f t="shared" si="1"/>
        <v>2-week testing (Credit) (11-Jun)</v>
      </c>
      <c r="S41" s="8" t="str" cm="1">
        <f t="array" aca="1" ref="S41" ca="1">GetProgressLabel(L41,M41)</f>
        <v>100%</v>
      </c>
      <c r="T41" s="131" t="b">
        <v>0</v>
      </c>
      <c r="U41" s="131" t="s">
        <v>155</v>
      </c>
      <c r="V41" s="112">
        <v>1.25</v>
      </c>
      <c r="W41" s="112"/>
      <c r="X41" s="112"/>
      <c r="Y41" s="112"/>
      <c r="Z41" s="112"/>
      <c r="AA41" s="112"/>
      <c r="AB41" s="112"/>
      <c r="AC41" s="112"/>
      <c r="AD41" s="112"/>
      <c r="AE41" s="113"/>
      <c r="AF41" s="78"/>
    </row>
    <row r="42" spans="2:32" ht="12" customHeight="1" x14ac:dyDescent="0.3">
      <c r="B42" s="2">
        <f t="shared" si="10"/>
        <v>31</v>
      </c>
      <c r="C42" s="35" t="s">
        <v>54</v>
      </c>
      <c r="D42" s="35" t="s">
        <v>125</v>
      </c>
      <c r="E42" s="35"/>
      <c r="F42" s="4">
        <v>45824</v>
      </c>
      <c r="G42" s="95">
        <v>10</v>
      </c>
      <c r="H42" s="5">
        <f>H41</f>
        <v>28</v>
      </c>
      <c r="I42" s="6">
        <f t="shared" si="4"/>
        <v>45824</v>
      </c>
      <c r="J42" s="6" cm="1">
        <f t="array" ref="J42">FinishDate(I42,G42,holidays)</f>
        <v>45836</v>
      </c>
      <c r="K42" s="88">
        <f t="shared" si="5"/>
        <v>12</v>
      </c>
      <c r="L42" s="27" cm="1">
        <f t="array" aca="1" ref="L42" ca="1">AutoProgress(I42,J42,holidays,$C$5)</f>
        <v>0</v>
      </c>
      <c r="M42" s="28">
        <f t="shared" ca="1" si="25"/>
        <v>0</v>
      </c>
      <c r="N42" s="7">
        <f t="shared" ca="1" si="6"/>
        <v>0</v>
      </c>
      <c r="O42" s="7">
        <f t="shared" ca="1" si="7"/>
        <v>0</v>
      </c>
      <c r="P42" s="7">
        <f t="shared" ca="1" si="8"/>
        <v>0</v>
      </c>
      <c r="Q42" s="7">
        <f t="shared" ca="1" si="9"/>
        <v>12</v>
      </c>
      <c r="R42" s="125" t="str">
        <f t="shared" si="1"/>
        <v>2-week testing (Debit) (28-Jun)</v>
      </c>
      <c r="S42" s="8" t="str" cm="1">
        <f t="array" aca="1" ref="S42" ca="1">GetProgressLabel(L42,M42)</f>
        <v>0%</v>
      </c>
      <c r="T42" s="131" t="b">
        <v>0</v>
      </c>
      <c r="U42" s="131" t="s">
        <v>155</v>
      </c>
      <c r="V42" s="112">
        <v>1.25</v>
      </c>
      <c r="W42" s="112"/>
      <c r="X42" s="112"/>
      <c r="Y42" s="112"/>
      <c r="Z42" s="112"/>
      <c r="AA42" s="112"/>
      <c r="AB42" s="112"/>
      <c r="AC42" s="112"/>
      <c r="AD42" s="112"/>
      <c r="AE42" s="113"/>
      <c r="AF42" s="78"/>
    </row>
    <row r="43" spans="2:32" ht="12" customHeight="1" x14ac:dyDescent="0.3">
      <c r="B43" s="2">
        <f t="shared" si="10"/>
        <v>32</v>
      </c>
      <c r="C43" s="35" t="s">
        <v>83</v>
      </c>
      <c r="D43" s="35" t="s">
        <v>175</v>
      </c>
      <c r="E43" s="35"/>
      <c r="F43" s="4">
        <v>45823</v>
      </c>
      <c r="G43" s="95">
        <v>1</v>
      </c>
      <c r="H43" s="5">
        <f>H42</f>
        <v>28</v>
      </c>
      <c r="I43" s="6">
        <f t="shared" si="4"/>
        <v>45824</v>
      </c>
      <c r="J43" s="6" cm="1">
        <f t="array" ref="J43">FinishDate(I43,G43,holidays)</f>
        <v>45825</v>
      </c>
      <c r="K43" s="88">
        <f t="shared" si="5"/>
        <v>1</v>
      </c>
      <c r="L43" s="27" cm="1">
        <f t="array" aca="1" ref="L43" ca="1">AutoProgress(I43,J43,holidays,$C$5)</f>
        <v>0</v>
      </c>
      <c r="M43" s="28">
        <f t="shared" ca="1" si="25"/>
        <v>0</v>
      </c>
      <c r="N43" s="7">
        <f t="shared" ca="1" si="6"/>
        <v>0</v>
      </c>
      <c r="O43" s="7">
        <f t="shared" ca="1" si="7"/>
        <v>0</v>
      </c>
      <c r="P43" s="7">
        <f t="shared" ca="1" si="8"/>
        <v>0</v>
      </c>
      <c r="Q43" s="7">
        <f t="shared" ca="1" si="9"/>
        <v>1</v>
      </c>
      <c r="R43" s="125" t="str">
        <f t="shared" si="1"/>
        <v>Credit Recom. (17-Jun)</v>
      </c>
      <c r="S43" s="8" t="str" cm="1">
        <f t="array" aca="1" ref="S43" ca="1">GetProgressLabel(L43,M43)</f>
        <v>0%</v>
      </c>
      <c r="T43" s="131" t="b">
        <v>1</v>
      </c>
      <c r="U43" s="131" t="s">
        <v>155</v>
      </c>
      <c r="V43" s="112">
        <v>0.25</v>
      </c>
      <c r="W43" s="112"/>
      <c r="X43" s="112"/>
      <c r="Y43" s="112"/>
      <c r="Z43" s="112"/>
      <c r="AA43" s="112"/>
      <c r="AB43" s="112"/>
      <c r="AC43" s="112"/>
      <c r="AD43" s="112"/>
      <c r="AE43" s="113"/>
      <c r="AF43" s="78"/>
    </row>
    <row r="44" spans="2:32" ht="12" customHeight="1" x14ac:dyDescent="0.3">
      <c r="B44" s="9">
        <f t="shared" si="10"/>
        <v>33</v>
      </c>
      <c r="C44" s="36" t="s">
        <v>84</v>
      </c>
      <c r="D44" s="36" t="s">
        <v>176</v>
      </c>
      <c r="E44" s="36"/>
      <c r="F44" s="10">
        <v>45853</v>
      </c>
      <c r="G44" s="96">
        <v>1</v>
      </c>
      <c r="H44" s="11">
        <f>H43</f>
        <v>28</v>
      </c>
      <c r="I44" s="12">
        <f t="shared" si="4"/>
        <v>45853</v>
      </c>
      <c r="J44" s="12" cm="1">
        <f t="array" ref="J44">FinishDate(I44,G44,holidays)</f>
        <v>45854</v>
      </c>
      <c r="K44" s="89">
        <f t="shared" si="5"/>
        <v>1</v>
      </c>
      <c r="L44" s="29" cm="1">
        <f t="array" aca="1" ref="L44" ca="1">AutoProgress(I44,J44,holidays,$C$5)</f>
        <v>0</v>
      </c>
      <c r="M44" s="30">
        <f t="shared" ca="1" si="25"/>
        <v>0</v>
      </c>
      <c r="N44" s="13">
        <f t="shared" ca="1" si="6"/>
        <v>0</v>
      </c>
      <c r="O44" s="13">
        <f t="shared" ca="1" si="7"/>
        <v>0</v>
      </c>
      <c r="P44" s="13">
        <f t="shared" ca="1" si="8"/>
        <v>0</v>
      </c>
      <c r="Q44" s="13">
        <f t="shared" ca="1" si="9"/>
        <v>1</v>
      </c>
      <c r="R44" s="126" t="str">
        <f t="shared" si="1"/>
        <v>Debit Recom. (16-Jul)</v>
      </c>
      <c r="S44" s="14" t="str" cm="1">
        <f t="array" aca="1" ref="S44" ca="1">GetProgressLabel(L44,M44)</f>
        <v>0%</v>
      </c>
      <c r="T44" s="132" t="b">
        <v>1</v>
      </c>
      <c r="U44" s="132" t="s">
        <v>155</v>
      </c>
      <c r="V44" s="114">
        <v>0.25</v>
      </c>
      <c r="W44" s="114"/>
      <c r="X44" s="114"/>
      <c r="Y44" s="114"/>
      <c r="Z44" s="114"/>
      <c r="AA44" s="114"/>
      <c r="AB44" s="114"/>
      <c r="AC44" s="114"/>
      <c r="AD44" s="114"/>
      <c r="AE44" s="115"/>
      <c r="AF44" s="78"/>
    </row>
    <row r="45" spans="2:32" ht="12" customHeight="1" x14ac:dyDescent="0.3">
      <c r="B45" s="48">
        <f>B44+1</f>
        <v>34</v>
      </c>
      <c r="C45" s="49" t="s">
        <v>87</v>
      </c>
      <c r="D45" s="49" t="s">
        <v>134</v>
      </c>
      <c r="E45" s="49"/>
      <c r="F45" s="50">
        <f>I45</f>
        <v>45691</v>
      </c>
      <c r="G45" s="97">
        <f>NETWORKDAYS(I45,J45-1,holidays)</f>
        <v>162</v>
      </c>
      <c r="H45" s="51">
        <f>B45</f>
        <v>34</v>
      </c>
      <c r="I45" s="50">
        <f>MIN(I46:I50)</f>
        <v>45691</v>
      </c>
      <c r="J45" s="50">
        <f>MAX(J46:J50)</f>
        <v>45934</v>
      </c>
      <c r="K45" s="90">
        <f t="shared" si="5"/>
        <v>243</v>
      </c>
      <c r="L45" s="53" cm="1">
        <f t="array" aca="1" ref="L45" ca="1">WeightedProgress(L46:L50,G46:G50)</f>
        <v>0.45454545454545453</v>
      </c>
      <c r="M45" s="54" cm="1">
        <f t="array" aca="1" ref="M45" ca="1">WeightedProgress(M46:M50,G46:G50)</f>
        <v>0.45454545454545453</v>
      </c>
      <c r="N45" s="52">
        <f t="shared" ca="1" si="6"/>
        <v>0</v>
      </c>
      <c r="O45" s="52">
        <f t="shared" ca="1" si="7"/>
        <v>0</v>
      </c>
      <c r="P45" s="52">
        <f t="shared" ca="1" si="8"/>
        <v>243</v>
      </c>
      <c r="Q45" s="52">
        <f t="shared" ca="1" si="9"/>
        <v>0</v>
      </c>
      <c r="R45" s="127" t="str">
        <f t="shared" si="1"/>
        <v>(P6) Upskilling Workshops</v>
      </c>
      <c r="S45" s="55" t="str" cm="1">
        <f t="array" aca="1" ref="S45" ca="1">GetProgressLabel(L45,M45)</f>
        <v>45% (45%)</v>
      </c>
      <c r="T45" s="133" t="b">
        <v>1</v>
      </c>
      <c r="U45" s="133" t="s">
        <v>155</v>
      </c>
      <c r="V45" s="116">
        <v>0</v>
      </c>
      <c r="W45" s="116"/>
      <c r="X45" s="116"/>
      <c r="Y45" s="116"/>
      <c r="Z45" s="116"/>
      <c r="AA45" s="116"/>
      <c r="AB45" s="116"/>
      <c r="AC45" s="116"/>
      <c r="AD45" s="116"/>
      <c r="AE45" s="117"/>
      <c r="AF45" s="78"/>
    </row>
    <row r="46" spans="2:32" ht="12" customHeight="1" x14ac:dyDescent="0.3">
      <c r="B46" s="15">
        <f>B45+1</f>
        <v>35</v>
      </c>
      <c r="C46" s="37" t="s">
        <v>76</v>
      </c>
      <c r="D46" s="37" t="str">
        <f>C46</f>
        <v>Kick-Off meeting</v>
      </c>
      <c r="E46" s="37"/>
      <c r="F46" s="16">
        <v>45691</v>
      </c>
      <c r="G46" s="98">
        <v>2</v>
      </c>
      <c r="H46" s="17">
        <f>H45</f>
        <v>34</v>
      </c>
      <c r="I46" s="18">
        <f t="shared" si="4"/>
        <v>45691</v>
      </c>
      <c r="J46" s="18" cm="1">
        <f t="array" ref="J46">FinishDate(I46,G46,holidays)</f>
        <v>45693</v>
      </c>
      <c r="K46" s="91">
        <f t="shared" si="5"/>
        <v>2</v>
      </c>
      <c r="L46" s="31" cm="1">
        <f t="array" aca="1" ref="L46" ca="1">AutoProgress(I46,J46,holidays,$C$5)</f>
        <v>1</v>
      </c>
      <c r="M46" s="32">
        <f t="shared" ref="M46:M50" ca="1" si="26">L46</f>
        <v>1</v>
      </c>
      <c r="N46" s="19">
        <f t="shared" ca="1" si="6"/>
        <v>0</v>
      </c>
      <c r="O46" s="19">
        <f t="shared" ca="1" si="7"/>
        <v>2</v>
      </c>
      <c r="P46" s="19">
        <f t="shared" ca="1" si="8"/>
        <v>0</v>
      </c>
      <c r="Q46" s="19">
        <f t="shared" ca="1" si="9"/>
        <v>0</v>
      </c>
      <c r="R46" s="128" t="str">
        <f t="shared" si="1"/>
        <v>Kick-Off meeting (05-Feb)</v>
      </c>
      <c r="S46" s="20" t="str" cm="1">
        <f t="array" aca="1" ref="S46" ca="1">GetProgressLabel(L46,M46)</f>
        <v>100%</v>
      </c>
      <c r="T46" s="134" t="b">
        <v>0</v>
      </c>
      <c r="U46" s="134" t="s">
        <v>155</v>
      </c>
      <c r="V46" s="118">
        <v>0.5</v>
      </c>
      <c r="W46" s="118"/>
      <c r="X46" s="118"/>
      <c r="Y46" s="118"/>
      <c r="Z46" s="118"/>
      <c r="AA46" s="118"/>
      <c r="AB46" s="118"/>
      <c r="AC46" s="118"/>
      <c r="AD46" s="118"/>
      <c r="AE46" s="119"/>
      <c r="AF46" s="78"/>
    </row>
    <row r="47" spans="2:32" ht="12" customHeight="1" x14ac:dyDescent="0.3">
      <c r="B47" s="2">
        <f t="shared" si="10"/>
        <v>36</v>
      </c>
      <c r="C47" s="35" t="s">
        <v>55</v>
      </c>
      <c r="D47" s="35" t="s">
        <v>93</v>
      </c>
      <c r="E47" s="35"/>
      <c r="F47" s="4">
        <v>45736</v>
      </c>
      <c r="G47" s="95">
        <v>2</v>
      </c>
      <c r="H47" s="5">
        <f>H46</f>
        <v>34</v>
      </c>
      <c r="I47" s="6">
        <f t="shared" si="4"/>
        <v>45736</v>
      </c>
      <c r="J47" s="6" cm="1">
        <f t="array" ref="J47">FinishDate(I47,G47,holidays)</f>
        <v>45738</v>
      </c>
      <c r="K47" s="88">
        <f t="shared" si="5"/>
        <v>2</v>
      </c>
      <c r="L47" s="27" cm="1">
        <f t="array" aca="1" ref="L47" ca="1">AutoProgress(I47,J47,holidays,$C$5)</f>
        <v>1</v>
      </c>
      <c r="M47" s="28">
        <f t="shared" ca="1" si="26"/>
        <v>1</v>
      </c>
      <c r="N47" s="7">
        <f t="shared" ca="1" si="6"/>
        <v>0</v>
      </c>
      <c r="O47" s="7">
        <f t="shared" ca="1" si="7"/>
        <v>2</v>
      </c>
      <c r="P47" s="7">
        <f t="shared" ca="1" si="8"/>
        <v>0</v>
      </c>
      <c r="Q47" s="7">
        <f t="shared" ca="1" si="9"/>
        <v>0</v>
      </c>
      <c r="R47" s="125" t="str">
        <f t="shared" si="1"/>
        <v>WS1 (4 mods) (22-Mar)</v>
      </c>
      <c r="S47" s="8" t="str" cm="1">
        <f t="array" aca="1" ref="S47" ca="1">GetProgressLabel(L47,M47)</f>
        <v>100%</v>
      </c>
      <c r="T47" s="131" t="b">
        <v>1</v>
      </c>
      <c r="U47" s="131" t="s">
        <v>155</v>
      </c>
      <c r="V47" s="112">
        <v>2</v>
      </c>
      <c r="W47" s="112"/>
      <c r="X47" s="112"/>
      <c r="Y47" s="112"/>
      <c r="Z47" s="112"/>
      <c r="AA47" s="112"/>
      <c r="AB47" s="112"/>
      <c r="AC47" s="112"/>
      <c r="AD47" s="112"/>
      <c r="AE47" s="113"/>
      <c r="AF47" s="78"/>
    </row>
    <row r="48" spans="2:32" ht="12" customHeight="1" x14ac:dyDescent="0.3">
      <c r="B48" s="2">
        <f t="shared" si="10"/>
        <v>37</v>
      </c>
      <c r="C48" s="35" t="s">
        <v>92</v>
      </c>
      <c r="D48" s="35" t="s">
        <v>94</v>
      </c>
      <c r="E48" s="35"/>
      <c r="F48" s="4">
        <v>45798</v>
      </c>
      <c r="G48" s="95">
        <v>1</v>
      </c>
      <c r="H48" s="5">
        <f>H47</f>
        <v>34</v>
      </c>
      <c r="I48" s="6">
        <f t="shared" si="4"/>
        <v>45798</v>
      </c>
      <c r="J48" s="6" cm="1">
        <f t="array" ref="J48">FinishDate(I48,G48,holidays)</f>
        <v>45799</v>
      </c>
      <c r="K48" s="88">
        <f t="shared" si="5"/>
        <v>1</v>
      </c>
      <c r="L48" s="27" cm="1">
        <f t="array" aca="1" ref="L48" ca="1">AutoProgress(I48,J48,holidays,$C$5)</f>
        <v>1</v>
      </c>
      <c r="M48" s="28">
        <f t="shared" ca="1" si="26"/>
        <v>1</v>
      </c>
      <c r="N48" s="7">
        <f t="shared" ca="1" si="6"/>
        <v>0</v>
      </c>
      <c r="O48" s="7">
        <f t="shared" ca="1" si="7"/>
        <v>1</v>
      </c>
      <c r="P48" s="7">
        <f t="shared" ca="1" si="8"/>
        <v>0</v>
      </c>
      <c r="Q48" s="7">
        <f t="shared" ca="1" si="9"/>
        <v>0</v>
      </c>
      <c r="R48" s="125" t="str">
        <f t="shared" si="1"/>
        <v>WS2 (1 mod) (22-May)</v>
      </c>
      <c r="S48" s="8" t="str" cm="1">
        <f t="array" aca="1" ref="S48" ca="1">GetProgressLabel(L48,M48)</f>
        <v>100%</v>
      </c>
      <c r="T48" s="131" t="b">
        <v>1</v>
      </c>
      <c r="U48" s="131" t="s">
        <v>155</v>
      </c>
      <c r="V48" s="112">
        <v>1</v>
      </c>
      <c r="W48" s="112"/>
      <c r="X48" s="112"/>
      <c r="Y48" s="112"/>
      <c r="Z48" s="112"/>
      <c r="AA48" s="112"/>
      <c r="AB48" s="112"/>
      <c r="AC48" s="112"/>
      <c r="AD48" s="112"/>
      <c r="AE48" s="113"/>
      <c r="AF48" s="78"/>
    </row>
    <row r="49" spans="2:32" ht="12" customHeight="1" x14ac:dyDescent="0.3">
      <c r="B49" s="2">
        <f t="shared" si="10"/>
        <v>38</v>
      </c>
      <c r="C49" s="35" t="s">
        <v>91</v>
      </c>
      <c r="D49" s="35" t="s">
        <v>95</v>
      </c>
      <c r="E49" s="35"/>
      <c r="F49" s="4">
        <v>45853</v>
      </c>
      <c r="G49" s="95">
        <v>3</v>
      </c>
      <c r="H49" s="5">
        <f>H48</f>
        <v>34</v>
      </c>
      <c r="I49" s="6">
        <f t="shared" si="4"/>
        <v>45853</v>
      </c>
      <c r="J49" s="6" cm="1">
        <f t="array" ref="J49">FinishDate(I49,G49,holidays)</f>
        <v>45856</v>
      </c>
      <c r="K49" s="88">
        <f t="shared" si="5"/>
        <v>3</v>
      </c>
      <c r="L49" s="27" cm="1">
        <f t="array" aca="1" ref="L49" ca="1">AutoProgress(I49,J49,holidays,$C$5)</f>
        <v>0</v>
      </c>
      <c r="M49" s="28">
        <f t="shared" ca="1" si="26"/>
        <v>0</v>
      </c>
      <c r="N49" s="7">
        <f t="shared" ca="1" si="6"/>
        <v>0</v>
      </c>
      <c r="O49" s="7">
        <f t="shared" ca="1" si="7"/>
        <v>0</v>
      </c>
      <c r="P49" s="7">
        <f t="shared" ca="1" si="8"/>
        <v>0</v>
      </c>
      <c r="Q49" s="7">
        <f t="shared" ca="1" si="9"/>
        <v>3</v>
      </c>
      <c r="R49" s="125" t="str">
        <f t="shared" si="1"/>
        <v>WS3 (5 mods) (18-Jul)</v>
      </c>
      <c r="S49" s="8" t="str" cm="1">
        <f t="array" aca="1" ref="S49" ca="1">GetProgressLabel(L49,M49)</f>
        <v>0%</v>
      </c>
      <c r="T49" s="131" t="b">
        <v>1</v>
      </c>
      <c r="U49" s="131" t="s">
        <v>155</v>
      </c>
      <c r="V49" s="112">
        <v>3</v>
      </c>
      <c r="W49" s="112"/>
      <c r="X49" s="112"/>
      <c r="Y49" s="112"/>
      <c r="Z49" s="112"/>
      <c r="AA49" s="112"/>
      <c r="AB49" s="112"/>
      <c r="AC49" s="112"/>
      <c r="AD49" s="112"/>
      <c r="AE49" s="113"/>
      <c r="AF49" s="78"/>
    </row>
    <row r="50" spans="2:32" ht="12" customHeight="1" x14ac:dyDescent="0.3">
      <c r="B50" s="9">
        <f t="shared" si="10"/>
        <v>39</v>
      </c>
      <c r="C50" s="36" t="s">
        <v>56</v>
      </c>
      <c r="D50" s="36" t="s">
        <v>96</v>
      </c>
      <c r="E50" s="36"/>
      <c r="F50" s="10">
        <v>45931</v>
      </c>
      <c r="G50" s="96">
        <v>3</v>
      </c>
      <c r="H50" s="11">
        <f>H49</f>
        <v>34</v>
      </c>
      <c r="I50" s="12">
        <f t="shared" si="4"/>
        <v>45931</v>
      </c>
      <c r="J50" s="12" cm="1">
        <f t="array" ref="J50">FinishDate(I50,G50,holidays)</f>
        <v>45934</v>
      </c>
      <c r="K50" s="89">
        <f t="shared" si="5"/>
        <v>3</v>
      </c>
      <c r="L50" s="29" cm="1">
        <f t="array" aca="1" ref="L50" ca="1">AutoProgress(I50,J50,holidays,$C$5)</f>
        <v>0</v>
      </c>
      <c r="M50" s="30">
        <f t="shared" ca="1" si="26"/>
        <v>0</v>
      </c>
      <c r="N50" s="13">
        <f t="shared" ca="1" si="6"/>
        <v>0</v>
      </c>
      <c r="O50" s="13">
        <f t="shared" ca="1" si="7"/>
        <v>0</v>
      </c>
      <c r="P50" s="13">
        <f t="shared" ca="1" si="8"/>
        <v>0</v>
      </c>
      <c r="Q50" s="13">
        <f t="shared" ca="1" si="9"/>
        <v>3</v>
      </c>
      <c r="R50" s="126" t="str">
        <f t="shared" si="1"/>
        <v>WS4 (5 mods) (04-Oct)</v>
      </c>
      <c r="S50" s="14" t="str" cm="1">
        <f t="array" aca="1" ref="S50" ca="1">GetProgressLabel(L50,M50)</f>
        <v>0%</v>
      </c>
      <c r="T50" s="132" t="b">
        <v>1</v>
      </c>
      <c r="U50" s="132" t="s">
        <v>155</v>
      </c>
      <c r="V50" s="114">
        <v>3</v>
      </c>
      <c r="W50" s="114"/>
      <c r="X50" s="114"/>
      <c r="Y50" s="114"/>
      <c r="Z50" s="114"/>
      <c r="AA50" s="114"/>
      <c r="AB50" s="114"/>
      <c r="AC50" s="114"/>
      <c r="AD50" s="114"/>
      <c r="AE50" s="115"/>
      <c r="AF50" s="78"/>
    </row>
    <row r="51" spans="2:32" ht="12" customHeight="1" x14ac:dyDescent="0.3">
      <c r="B51" s="48">
        <f>B50+1</f>
        <v>40</v>
      </c>
      <c r="C51" s="49" t="s">
        <v>98</v>
      </c>
      <c r="D51" s="49" t="s">
        <v>135</v>
      </c>
      <c r="E51" s="49"/>
      <c r="F51" s="50">
        <f>I51</f>
        <v>45719</v>
      </c>
      <c r="G51" s="97">
        <f>NETWORKDAYS(I51,J51-1,holidays)</f>
        <v>72</v>
      </c>
      <c r="H51" s="51">
        <f>B51</f>
        <v>40</v>
      </c>
      <c r="I51" s="50">
        <f>MIN(I52:I56)</f>
        <v>45719</v>
      </c>
      <c r="J51" s="50">
        <f>MAX(J52:J56)</f>
        <v>45829</v>
      </c>
      <c r="K51" s="90">
        <f t="shared" ref="K51:K56" si="27">J51-I51</f>
        <v>110</v>
      </c>
      <c r="L51" s="53" cm="1">
        <f t="array" aca="1" ref="L51" ca="1">WeightedProgress(L52:L56,G52:G56)</f>
        <v>0.8</v>
      </c>
      <c r="M51" s="54" cm="1">
        <f t="array" aca="1" ref="M51" ca="1">WeightedProgress(M52:M56,G52:G56)</f>
        <v>0.8</v>
      </c>
      <c r="N51" s="52">
        <f t="shared" ref="N51:N56" ca="1" si="28">IF(M51&lt;L51,K51,0)</f>
        <v>0</v>
      </c>
      <c r="O51" s="52">
        <f t="shared" ref="O51:O56" ca="1" si="29">IF(M51=1,K51,0)</f>
        <v>0</v>
      </c>
      <c r="P51" s="52">
        <f t="shared" ref="P51:P56" ca="1" si="30">IF(AND(M51&gt;=L51,M51&gt;0,M51&lt;1),K51,0)</f>
        <v>110</v>
      </c>
      <c r="Q51" s="52">
        <f t="shared" ref="Q51:Q56" ca="1" si="31">K51-SUM(N51:P51)</f>
        <v>0</v>
      </c>
      <c r="R51" s="127" t="str">
        <f t="shared" si="1"/>
        <v>(P7) VCAS (Authentication)</v>
      </c>
      <c r="S51" s="55" t="str" cm="1">
        <f t="array" aca="1" ref="S51" ca="1">GetProgressLabel(L51,M51)</f>
        <v>80% (80%)</v>
      </c>
      <c r="T51" s="133" t="b">
        <v>1</v>
      </c>
      <c r="U51" s="133" t="s">
        <v>155</v>
      </c>
      <c r="V51" s="116">
        <v>0</v>
      </c>
      <c r="W51" s="116"/>
      <c r="X51" s="116"/>
      <c r="Y51" s="116"/>
      <c r="Z51" s="116"/>
      <c r="AA51" s="116"/>
      <c r="AB51" s="116"/>
      <c r="AC51" s="116"/>
      <c r="AD51" s="116"/>
      <c r="AE51" s="117"/>
      <c r="AF51" s="78"/>
    </row>
    <row r="52" spans="2:32" ht="12" customHeight="1" x14ac:dyDescent="0.3">
      <c r="B52" s="2">
        <f>B51+1</f>
        <v>41</v>
      </c>
      <c r="C52" s="35" t="s">
        <v>101</v>
      </c>
      <c r="D52" s="35" t="s">
        <v>99</v>
      </c>
      <c r="E52" s="35"/>
      <c r="F52" s="4">
        <v>45717</v>
      </c>
      <c r="G52" s="95">
        <v>10</v>
      </c>
      <c r="H52" s="5">
        <f>H51</f>
        <v>40</v>
      </c>
      <c r="I52" s="6">
        <f t="shared" ref="I52:I56" si="32">IFERROR(WORKDAY(F52-1,1,holidays),0)</f>
        <v>45719</v>
      </c>
      <c r="J52" s="6" cm="1">
        <f t="array" ref="J52">FinishDate(I52,G52,holidays)</f>
        <v>45731</v>
      </c>
      <c r="K52" s="88">
        <f t="shared" si="27"/>
        <v>12</v>
      </c>
      <c r="L52" s="27" cm="1">
        <f t="array" aca="1" ref="L52" ca="1">AutoProgress(I52,J52,holidays,$C$5)</f>
        <v>1</v>
      </c>
      <c r="M52" s="28">
        <f t="shared" ref="M52:M56" ca="1" si="33">L52</f>
        <v>1</v>
      </c>
      <c r="N52" s="7">
        <f t="shared" ca="1" si="28"/>
        <v>0</v>
      </c>
      <c r="O52" s="7">
        <f t="shared" ca="1" si="29"/>
        <v>12</v>
      </c>
      <c r="P52" s="7">
        <f t="shared" ca="1" si="30"/>
        <v>0</v>
      </c>
      <c r="Q52" s="7">
        <f t="shared" ca="1" si="31"/>
        <v>0</v>
      </c>
      <c r="R52" s="125" t="str">
        <f t="shared" si="1"/>
        <v>Business Feasibility (15-Mar)</v>
      </c>
      <c r="S52" s="8" t="str" cm="1">
        <f t="array" aca="1" ref="S52" ca="1">GetProgressLabel(L52,M52)</f>
        <v>100%</v>
      </c>
      <c r="T52" s="131" t="b">
        <v>1</v>
      </c>
      <c r="U52" s="131" t="s">
        <v>155</v>
      </c>
      <c r="V52" s="112">
        <v>8.75</v>
      </c>
      <c r="W52" s="112"/>
      <c r="X52" s="112"/>
      <c r="Y52" s="112"/>
      <c r="Z52" s="112"/>
      <c r="AA52" s="112"/>
      <c r="AB52" s="112"/>
      <c r="AC52" s="112"/>
      <c r="AD52" s="112"/>
      <c r="AE52" s="113"/>
      <c r="AF52" s="78"/>
    </row>
    <row r="53" spans="2:32" ht="12" customHeight="1" x14ac:dyDescent="0.3">
      <c r="B53" s="2">
        <f t="shared" ref="B53:B56" si="34">B52+1</f>
        <v>42</v>
      </c>
      <c r="C53" s="35" t="s">
        <v>102</v>
      </c>
      <c r="D53" s="35" t="s">
        <v>100</v>
      </c>
      <c r="E53" s="35"/>
      <c r="F53" s="4">
        <v>45796</v>
      </c>
      <c r="G53" s="95">
        <v>5</v>
      </c>
      <c r="H53" s="5">
        <f>H52</f>
        <v>40</v>
      </c>
      <c r="I53" s="6">
        <f t="shared" si="32"/>
        <v>45796</v>
      </c>
      <c r="J53" s="6" cm="1">
        <f t="array" ref="J53">FinishDate(I53,G53,holidays)</f>
        <v>45801</v>
      </c>
      <c r="K53" s="88">
        <f t="shared" si="27"/>
        <v>5</v>
      </c>
      <c r="L53" s="27" cm="1">
        <f t="array" aca="1" ref="L53" ca="1">AutoProgress(I53,J53,holidays,$C$5)</f>
        <v>1</v>
      </c>
      <c r="M53" s="28">
        <f t="shared" ca="1" si="33"/>
        <v>1</v>
      </c>
      <c r="N53" s="7">
        <f t="shared" ca="1" si="28"/>
        <v>0</v>
      </c>
      <c r="O53" s="7">
        <f t="shared" ca="1" si="29"/>
        <v>5</v>
      </c>
      <c r="P53" s="7">
        <f t="shared" ca="1" si="30"/>
        <v>0</v>
      </c>
      <c r="Q53" s="7">
        <f t="shared" ca="1" si="31"/>
        <v>0</v>
      </c>
      <c r="R53" s="125" t="str">
        <f t="shared" si="1"/>
        <v>Technical Feasibility (24-May)</v>
      </c>
      <c r="S53" s="8" t="str" cm="1">
        <f t="array" aca="1" ref="S53" ca="1">GetProgressLabel(L53,M53)</f>
        <v>100%</v>
      </c>
      <c r="T53" s="131" t="b">
        <v>1</v>
      </c>
      <c r="U53" s="131" t="s">
        <v>155</v>
      </c>
      <c r="V53" s="112">
        <v>1.25</v>
      </c>
      <c r="W53" s="112"/>
      <c r="X53" s="112"/>
      <c r="Y53" s="112"/>
      <c r="Z53" s="112"/>
      <c r="AA53" s="112"/>
      <c r="AB53" s="112"/>
      <c r="AC53" s="112"/>
      <c r="AD53" s="112"/>
      <c r="AE53" s="113"/>
      <c r="AF53" s="78"/>
    </row>
    <row r="54" spans="2:32" ht="12" customHeight="1" x14ac:dyDescent="0.3">
      <c r="B54" s="2">
        <f t="shared" si="34"/>
        <v>43</v>
      </c>
      <c r="C54" s="35" t="s">
        <v>123</v>
      </c>
      <c r="D54" s="35" t="s">
        <v>124</v>
      </c>
      <c r="E54" s="35"/>
      <c r="F54" s="4">
        <v>45817</v>
      </c>
      <c r="G54" s="95">
        <v>2</v>
      </c>
      <c r="H54" s="5">
        <f>H53</f>
        <v>40</v>
      </c>
      <c r="I54" s="6">
        <f t="shared" si="32"/>
        <v>45817</v>
      </c>
      <c r="J54" s="6" cm="1">
        <f t="array" ref="J54">FinishDate(I54,G54,holidays)</f>
        <v>45819</v>
      </c>
      <c r="K54" s="88">
        <f t="shared" si="27"/>
        <v>2</v>
      </c>
      <c r="L54" s="27" cm="1">
        <f t="array" aca="1" ref="L54" ca="1">AutoProgress(I54,J54,holidays,$C$5)</f>
        <v>1</v>
      </c>
      <c r="M54" s="28">
        <f t="shared" ca="1" si="33"/>
        <v>1</v>
      </c>
      <c r="N54" s="7">
        <f t="shared" ca="1" si="28"/>
        <v>0</v>
      </c>
      <c r="O54" s="7">
        <f t="shared" ca="1" si="29"/>
        <v>2</v>
      </c>
      <c r="P54" s="7">
        <f t="shared" ca="1" si="30"/>
        <v>0</v>
      </c>
      <c r="Q54" s="7">
        <f t="shared" ca="1" si="31"/>
        <v>0</v>
      </c>
      <c r="R54" s="125" t="str">
        <f t="shared" si="1"/>
        <v>Visa's assessment (11-Jun)</v>
      </c>
      <c r="S54" s="8" t="str" cm="1">
        <f t="array" aca="1" ref="S54" ca="1">GetProgressLabel(L54,M54)</f>
        <v>100%</v>
      </c>
      <c r="T54" s="131" t="b">
        <v>1</v>
      </c>
      <c r="U54" s="131" t="s">
        <v>155</v>
      </c>
      <c r="V54" s="112">
        <v>0.5</v>
      </c>
      <c r="W54" s="112"/>
      <c r="X54" s="112"/>
      <c r="Y54" s="112"/>
      <c r="Z54" s="112"/>
      <c r="AA54" s="112"/>
      <c r="AB54" s="112"/>
      <c r="AC54" s="112"/>
      <c r="AD54" s="112"/>
      <c r="AE54" s="113"/>
      <c r="AF54" s="78"/>
    </row>
    <row r="55" spans="2:32" ht="12" customHeight="1" x14ac:dyDescent="0.3">
      <c r="B55" s="2">
        <f t="shared" si="34"/>
        <v>44</v>
      </c>
      <c r="C55" s="35" t="s">
        <v>103</v>
      </c>
      <c r="D55" s="35" t="s">
        <v>128</v>
      </c>
      <c r="E55" s="35"/>
      <c r="F55" s="4">
        <f>J54</f>
        <v>45819</v>
      </c>
      <c r="G55" s="95">
        <v>3</v>
      </c>
      <c r="H55" s="5">
        <f>H54</f>
        <v>40</v>
      </c>
      <c r="I55" s="6">
        <f t="shared" si="32"/>
        <v>45819</v>
      </c>
      <c r="J55" s="6" cm="1">
        <f t="array" ref="J55">FinishDate(I55,G55,holidays)</f>
        <v>45822</v>
      </c>
      <c r="K55" s="88">
        <f t="shared" si="27"/>
        <v>3</v>
      </c>
      <c r="L55" s="27" cm="1">
        <f t="array" aca="1" ref="L55" ca="1">AutoProgress(I55,J55,holidays,$C$5)</f>
        <v>1</v>
      </c>
      <c r="M55" s="28">
        <f t="shared" ca="1" si="33"/>
        <v>1</v>
      </c>
      <c r="N55" s="7">
        <f t="shared" ca="1" si="28"/>
        <v>0</v>
      </c>
      <c r="O55" s="7">
        <f t="shared" ca="1" si="29"/>
        <v>3</v>
      </c>
      <c r="P55" s="7">
        <f t="shared" ca="1" si="30"/>
        <v>0</v>
      </c>
      <c r="Q55" s="7">
        <f t="shared" ca="1" si="31"/>
        <v>0</v>
      </c>
      <c r="R55" s="125" t="str">
        <f t="shared" si="1"/>
        <v>Revise Business feasibility (14-Jun)</v>
      </c>
      <c r="S55" s="8" t="str" cm="1">
        <f t="array" aca="1" ref="S55" ca="1">GetProgressLabel(L55,M55)</f>
        <v>100%</v>
      </c>
      <c r="T55" s="131" t="b">
        <v>0</v>
      </c>
      <c r="U55" s="131" t="s">
        <v>155</v>
      </c>
      <c r="V55" s="112">
        <v>3</v>
      </c>
      <c r="W55" s="112"/>
      <c r="X55" s="112"/>
      <c r="Y55" s="112"/>
      <c r="Z55" s="112"/>
      <c r="AA55" s="112"/>
      <c r="AB55" s="112"/>
      <c r="AC55" s="112"/>
      <c r="AD55" s="112"/>
      <c r="AE55" s="113"/>
      <c r="AF55" s="78"/>
    </row>
    <row r="56" spans="2:32" ht="12" customHeight="1" x14ac:dyDescent="0.3">
      <c r="B56" s="21">
        <f t="shared" si="34"/>
        <v>45</v>
      </c>
      <c r="C56" s="38" t="s">
        <v>104</v>
      </c>
      <c r="D56" s="38" t="s">
        <v>105</v>
      </c>
      <c r="E56" s="38"/>
      <c r="F56" s="22">
        <f>J55</f>
        <v>45822</v>
      </c>
      <c r="G56" s="99">
        <v>5</v>
      </c>
      <c r="H56" s="23">
        <f>H55</f>
        <v>40</v>
      </c>
      <c r="I56" s="24">
        <f t="shared" si="32"/>
        <v>45824</v>
      </c>
      <c r="J56" s="24" cm="1">
        <f t="array" ref="J56">FinishDate(I56,G56,holidays)</f>
        <v>45829</v>
      </c>
      <c r="K56" s="92">
        <f t="shared" si="27"/>
        <v>5</v>
      </c>
      <c r="L56" s="33" cm="1">
        <f t="array" aca="1" ref="L56" ca="1">AutoProgress(I56,J56,holidays,$C$5)</f>
        <v>0</v>
      </c>
      <c r="M56" s="34">
        <f t="shared" ca="1" si="33"/>
        <v>0</v>
      </c>
      <c r="N56" s="25">
        <f t="shared" ca="1" si="28"/>
        <v>0</v>
      </c>
      <c r="O56" s="25">
        <f t="shared" ca="1" si="29"/>
        <v>0</v>
      </c>
      <c r="P56" s="25">
        <f t="shared" ca="1" si="30"/>
        <v>0</v>
      </c>
      <c r="Q56" s="25">
        <f t="shared" ca="1" si="31"/>
        <v>5</v>
      </c>
      <c r="R56" s="129" t="str">
        <f t="shared" si="1"/>
        <v>IT investment (prep) (21-Jun)</v>
      </c>
      <c r="S56" s="26" t="str" cm="1">
        <f t="array" aca="1" ref="S56" ca="1">GetProgressLabel(L56,M56)</f>
        <v>0%</v>
      </c>
      <c r="T56" s="135" t="b">
        <v>1</v>
      </c>
      <c r="U56" s="135" t="s">
        <v>155</v>
      </c>
      <c r="V56" s="120">
        <v>5</v>
      </c>
      <c r="W56" s="120"/>
      <c r="X56" s="120"/>
      <c r="Y56" s="120"/>
      <c r="Z56" s="120"/>
      <c r="AA56" s="120"/>
      <c r="AB56" s="120"/>
      <c r="AC56" s="120"/>
      <c r="AD56" s="120"/>
      <c r="AE56" s="121"/>
      <c r="AF56" s="78"/>
    </row>
    <row r="57" spans="2:32" x14ac:dyDescent="0.3"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</row>
  </sheetData>
  <dataConsolidate/>
  <mergeCells count="16">
    <mergeCell ref="B10:B11"/>
    <mergeCell ref="C10:C11"/>
    <mergeCell ref="D10:D11"/>
    <mergeCell ref="H10:H11"/>
    <mergeCell ref="F10:F11"/>
    <mergeCell ref="T10:T11"/>
    <mergeCell ref="U10:U11"/>
    <mergeCell ref="V10:AE10"/>
    <mergeCell ref="E10:E11"/>
    <mergeCell ref="G10:G11"/>
    <mergeCell ref="I10:I11"/>
    <mergeCell ref="J10:J11"/>
    <mergeCell ref="K10:K11"/>
    <mergeCell ref="L10:L11"/>
    <mergeCell ref="M10:M11"/>
    <mergeCell ref="N10:S10"/>
  </mergeCells>
  <phoneticPr fontId="12" type="noConversion"/>
  <conditionalFormatting sqref="B12:H56">
    <cfRule type="containsBlanks" dxfId="2" priority="18">
      <formula>LEN(TRIM(B12))=0</formula>
    </cfRule>
  </conditionalFormatting>
  <conditionalFormatting sqref="V12:AE56">
    <cfRule type="containsBlanks" dxfId="1" priority="19">
      <formula>LEN(TRIM(V12))=0</formula>
    </cfRule>
  </conditionalFormatting>
  <conditionalFormatting sqref="M12:M56">
    <cfRule type="containsBlanks" dxfId="0" priority="1">
      <formula>LEN(TRIM(M12))=0</formula>
    </cfRule>
  </conditionalFormatting>
  <dataValidations disablePrompts="1" count="7">
    <dataValidation allowBlank="1" showErrorMessage="1" sqref="I12:L56 C5:C8 V12:AF56 N12:S56" xr:uid="{99736726-8813-4FF6-AD55-FAE6A42F85DE}"/>
    <dataValidation type="date" allowBlank="1" showErrorMessage="1" sqref="J12:K56 V12:AF56 N12:S56" xr:uid="{898DF574-9917-464F-9CFB-485A1F7D818E}">
      <formula1>45292</formula1>
      <formula2>54789</formula2>
    </dataValidation>
    <dataValidation type="date" allowBlank="1" showErrorMessage="1" sqref="F13:F56" xr:uid="{F640859D-4FE4-4908-83DB-B1B1C734AB98}">
      <formula1>36526</formula1>
      <formula2>219148</formula2>
    </dataValidation>
    <dataValidation type="whole" allowBlank="1" showErrorMessage="1" sqref="G12:H56" xr:uid="{F1C0E0EE-07BD-4BFA-97C2-757ABC618F4F}">
      <formula1>0</formula1>
      <formula2>1000</formula2>
    </dataValidation>
    <dataValidation type="decimal" allowBlank="1" showErrorMessage="1" sqref="M12:M56" xr:uid="{8414890C-126E-456E-A45F-739C71F1FD88}">
      <formula1>0</formula1>
      <formula2>1</formula2>
    </dataValidation>
    <dataValidation type="list" allowBlank="1" showErrorMessage="1" sqref="U12:U56" xr:uid="{94ABA76F-C987-40B7-A5EA-A3F3F4C04FD5}">
      <formula1>"A,B,C,D,E"</formula1>
    </dataValidation>
    <dataValidation type="list" allowBlank="1" showErrorMessage="1" sqref="T12:T56" xr:uid="{B6B31AE6-32AE-4DAF-8FD5-0ED9A6D662B8}">
      <formula1>"TRUE,FALSE"</formula1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  <ignoredErrors>
    <ignoredError sqref="H2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5" r:id="rId4" name="Button 15">
              <controlPr defaultSize="0" print="0" autoFill="0" autoPict="0" macro="[0]!CreateNewChart">
                <anchor moveWithCells="1" sizeWithCells="1">
                  <from>
                    <xdr:col>3</xdr:col>
                    <xdr:colOff>95250</xdr:colOff>
                    <xdr:row>1</xdr:row>
                    <xdr:rowOff>165100</xdr:rowOff>
                  </from>
                  <to>
                    <xdr:col>3</xdr:col>
                    <xdr:colOff>1536700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5" name="Button 16">
              <controlPr defaultSize="0" print="0" autoFill="0" autoPict="0" macro="[0]!UpdateSummaryChart">
                <anchor moveWithCells="1" sizeWithCells="1">
                  <from>
                    <xdr:col>3</xdr:col>
                    <xdr:colOff>95250</xdr:colOff>
                    <xdr:row>3</xdr:row>
                    <xdr:rowOff>190500</xdr:rowOff>
                  </from>
                  <to>
                    <xdr:col>3</xdr:col>
                    <xdr:colOff>1536700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6" name="Button 21">
              <controlPr defaultSize="0" print="0" autoFill="0" autoPict="0" macro="[0]!UpdateNames">
                <anchor moveWithCells="1" sizeWithCells="1">
                  <from>
                    <xdr:col>3</xdr:col>
                    <xdr:colOff>95250</xdr:colOff>
                    <xdr:row>6</xdr:row>
                    <xdr:rowOff>19050</xdr:rowOff>
                  </from>
                  <to>
                    <xdr:col>3</xdr:col>
                    <xdr:colOff>1536700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4EC7F-BD4D-404A-9EDC-D627BEFEA72D}">
  <sheetPr codeName="Sheet8"/>
  <dimension ref="B2:X32"/>
  <sheetViews>
    <sheetView showGridLines="0" zoomScaleNormal="100" workbookViewId="0">
      <selection activeCell="F36" sqref="F36"/>
    </sheetView>
  </sheetViews>
  <sheetFormatPr defaultColWidth="8" defaultRowHeight="13" x14ac:dyDescent="0.3"/>
  <cols>
    <col min="1" max="1" width="3.5" style="1" customWidth="1"/>
    <col min="2" max="2" width="6.5" style="1" customWidth="1"/>
    <col min="3" max="3" width="30.5" style="1" customWidth="1"/>
    <col min="4" max="6" width="10.5" style="1" customWidth="1"/>
    <col min="7" max="24" width="7.5" style="1" customWidth="1"/>
    <col min="25" max="16384" width="8" style="1"/>
  </cols>
  <sheetData>
    <row r="2" spans="2:24" ht="15" customHeight="1" x14ac:dyDescent="0.3">
      <c r="B2" s="39" t="s">
        <v>106</v>
      </c>
    </row>
    <row r="3" spans="2:24" ht="15" customHeight="1" x14ac:dyDescent="0.3">
      <c r="B3" s="136" t="s">
        <v>107</v>
      </c>
      <c r="C3" s="58" t="str">
        <f t="array" ref="C3:C8">WorkSchedule!C3:C8</f>
        <v>PJ2502_0137</v>
      </c>
    </row>
    <row r="4" spans="2:24" ht="15" customHeight="1" x14ac:dyDescent="0.3">
      <c r="B4" s="137" t="s">
        <v>108</v>
      </c>
      <c r="C4" s="62" t="str">
        <v>Visa Fraud Project</v>
      </c>
    </row>
    <row r="5" spans="2:24" ht="15" customHeight="1" x14ac:dyDescent="0.3">
      <c r="B5" s="138" t="s">
        <v>110</v>
      </c>
      <c r="C5" s="59">
        <f ca="1"/>
        <v>45824</v>
      </c>
    </row>
    <row r="6" spans="2:24" ht="15" customHeight="1" x14ac:dyDescent="0.3">
      <c r="B6" s="138" t="s">
        <v>40</v>
      </c>
      <c r="C6" s="59">
        <v>45667</v>
      </c>
    </row>
    <row r="7" spans="2:24" ht="15" customHeight="1" x14ac:dyDescent="0.3">
      <c r="B7" s="138" t="s">
        <v>90</v>
      </c>
      <c r="C7" s="59">
        <v>46007</v>
      </c>
    </row>
    <row r="8" spans="2:24" ht="15" customHeight="1" x14ac:dyDescent="0.3">
      <c r="B8" s="139" t="s">
        <v>43</v>
      </c>
      <c r="C8" s="66" t="str">
        <v>340 days</v>
      </c>
    </row>
    <row r="9" spans="2:24" ht="15" customHeight="1" x14ac:dyDescent="0.3"/>
    <row r="10" spans="2:24" ht="15" customHeight="1" x14ac:dyDescent="0.3">
      <c r="B10" s="184" t="s">
        <v>156</v>
      </c>
      <c r="C10" s="167" t="s">
        <v>138</v>
      </c>
      <c r="D10" s="167" t="s">
        <v>139</v>
      </c>
      <c r="E10" s="167" t="s">
        <v>157</v>
      </c>
      <c r="F10" s="186" t="s">
        <v>158</v>
      </c>
      <c r="G10" s="140">
        <v>1</v>
      </c>
      <c r="H10" s="140">
        <f>G10+1</f>
        <v>2</v>
      </c>
      <c r="I10" s="140">
        <f t="shared" ref="I10:X10" si="0">H10+1</f>
        <v>3</v>
      </c>
      <c r="J10" s="140">
        <f t="shared" si="0"/>
        <v>4</v>
      </c>
      <c r="K10" s="140">
        <f t="shared" si="0"/>
        <v>5</v>
      </c>
      <c r="L10" s="140">
        <f t="shared" si="0"/>
        <v>6</v>
      </c>
      <c r="M10" s="140">
        <f t="shared" si="0"/>
        <v>7</v>
      </c>
      <c r="N10" s="140">
        <f t="shared" si="0"/>
        <v>8</v>
      </c>
      <c r="O10" s="140">
        <f t="shared" si="0"/>
        <v>9</v>
      </c>
      <c r="P10" s="140">
        <f t="shared" si="0"/>
        <v>10</v>
      </c>
      <c r="Q10" s="140">
        <f t="shared" si="0"/>
        <v>11</v>
      </c>
      <c r="R10" s="140">
        <f t="shared" si="0"/>
        <v>12</v>
      </c>
      <c r="S10" s="140">
        <f t="shared" si="0"/>
        <v>13</v>
      </c>
      <c r="T10" s="140">
        <f t="shared" si="0"/>
        <v>14</v>
      </c>
      <c r="U10" s="140">
        <f t="shared" si="0"/>
        <v>15</v>
      </c>
      <c r="V10" s="140">
        <f t="shared" si="0"/>
        <v>16</v>
      </c>
      <c r="W10" s="140">
        <f t="shared" si="0"/>
        <v>17</v>
      </c>
      <c r="X10" s="141">
        <f t="shared" si="0"/>
        <v>18</v>
      </c>
    </row>
    <row r="11" spans="2:24" ht="15" customHeight="1" x14ac:dyDescent="0.3">
      <c r="B11" s="185"/>
      <c r="C11" s="168"/>
      <c r="D11" s="168"/>
      <c r="E11" s="168"/>
      <c r="F11" s="187"/>
      <c r="G11" s="142">
        <f ca="1">IFERROR(DATE(YEAR($C$6),MONTH($C$6),1),DATE(YEAR(TODAY()),MONTH(TODAY()),1))</f>
        <v>45658</v>
      </c>
      <c r="H11" s="142">
        <f ca="1">EOMONTH(G11,0)+1</f>
        <v>45689</v>
      </c>
      <c r="I11" s="142">
        <f t="shared" ref="I11:X11" ca="1" si="1">EOMONTH(H11,0)+1</f>
        <v>45717</v>
      </c>
      <c r="J11" s="142">
        <f t="shared" ca="1" si="1"/>
        <v>45748</v>
      </c>
      <c r="K11" s="142">
        <f t="shared" ca="1" si="1"/>
        <v>45778</v>
      </c>
      <c r="L11" s="142">
        <f t="shared" ca="1" si="1"/>
        <v>45809</v>
      </c>
      <c r="M11" s="142">
        <f t="shared" ca="1" si="1"/>
        <v>45839</v>
      </c>
      <c r="N11" s="142">
        <f t="shared" ca="1" si="1"/>
        <v>45870</v>
      </c>
      <c r="O11" s="142">
        <f t="shared" ca="1" si="1"/>
        <v>45901</v>
      </c>
      <c r="P11" s="142">
        <f t="shared" ca="1" si="1"/>
        <v>45931</v>
      </c>
      <c r="Q11" s="142">
        <f t="shared" ca="1" si="1"/>
        <v>45962</v>
      </c>
      <c r="R11" s="142">
        <f t="shared" ca="1" si="1"/>
        <v>45992</v>
      </c>
      <c r="S11" s="142">
        <f t="shared" ca="1" si="1"/>
        <v>46023</v>
      </c>
      <c r="T11" s="142">
        <f t="shared" ca="1" si="1"/>
        <v>46054</v>
      </c>
      <c r="U11" s="142">
        <f t="shared" ca="1" si="1"/>
        <v>46082</v>
      </c>
      <c r="V11" s="142">
        <f t="shared" ca="1" si="1"/>
        <v>46113</v>
      </c>
      <c r="W11" s="142">
        <f t="shared" ca="1" si="1"/>
        <v>46143</v>
      </c>
      <c r="X11" s="143">
        <f t="shared" ca="1" si="1"/>
        <v>46174</v>
      </c>
    </row>
    <row r="12" spans="2:24" ht="14" customHeight="1" x14ac:dyDescent="0.3">
      <c r="B12" s="100">
        <v>1</v>
      </c>
      <c r="C12" s="101" t="s">
        <v>140</v>
      </c>
      <c r="D12" s="144" t="s">
        <v>150</v>
      </c>
      <c r="E12" s="145" t="s">
        <v>159</v>
      </c>
      <c r="F12" s="102">
        <f t="shared" ref="F12:F21" si="2">SUM(G12:X12)</f>
        <v>69</v>
      </c>
      <c r="G12" s="104">
        <f t="shared" ref="G12:P21" si="3">IFERROR(SUMPRODUCT(_xlfn.CHOOSECOLS(contribution,$B12),_xlfn.CHOOSECOLS(workingdays,G$10)),0)</f>
        <v>1.5</v>
      </c>
      <c r="H12" s="104">
        <f t="shared" si="3"/>
        <v>3</v>
      </c>
      <c r="I12" s="104">
        <f t="shared" si="3"/>
        <v>15.25</v>
      </c>
      <c r="J12" s="104">
        <f t="shared" si="3"/>
        <v>6</v>
      </c>
      <c r="K12" s="104">
        <f t="shared" si="3"/>
        <v>13.375</v>
      </c>
      <c r="L12" s="104">
        <f t="shared" si="3"/>
        <v>14.625</v>
      </c>
      <c r="M12" s="104">
        <f t="shared" si="3"/>
        <v>4.75</v>
      </c>
      <c r="N12" s="104">
        <f t="shared" si="3"/>
        <v>1.5</v>
      </c>
      <c r="O12" s="104">
        <f t="shared" si="3"/>
        <v>1.5</v>
      </c>
      <c r="P12" s="104">
        <f t="shared" si="3"/>
        <v>4.5</v>
      </c>
      <c r="Q12" s="104">
        <f t="shared" ref="Q12:X21" si="4">IFERROR(SUMPRODUCT(_xlfn.CHOOSECOLS(contribution,$B12),_xlfn.CHOOSECOLS(workingdays,Q$10)),0)</f>
        <v>1.5</v>
      </c>
      <c r="R12" s="104">
        <f t="shared" si="4"/>
        <v>1.5</v>
      </c>
      <c r="S12" s="104">
        <f t="shared" si="4"/>
        <v>0</v>
      </c>
      <c r="T12" s="104">
        <f t="shared" si="4"/>
        <v>0</v>
      </c>
      <c r="U12" s="104">
        <f t="shared" si="4"/>
        <v>0</v>
      </c>
      <c r="V12" s="104">
        <f t="shared" si="4"/>
        <v>0</v>
      </c>
      <c r="W12" s="104">
        <f t="shared" si="4"/>
        <v>0</v>
      </c>
      <c r="X12" s="105">
        <f t="shared" si="4"/>
        <v>0</v>
      </c>
    </row>
    <row r="13" spans="2:24" ht="13" customHeight="1" x14ac:dyDescent="0.3">
      <c r="B13" s="2">
        <v>2</v>
      </c>
      <c r="C13" s="35"/>
      <c r="D13" s="146"/>
      <c r="E13" s="147"/>
      <c r="F13" s="95">
        <f t="shared" si="2"/>
        <v>0</v>
      </c>
      <c r="G13" s="104">
        <f t="shared" si="3"/>
        <v>0</v>
      </c>
      <c r="H13" s="104">
        <f t="shared" si="3"/>
        <v>0</v>
      </c>
      <c r="I13" s="104">
        <f t="shared" si="3"/>
        <v>0</v>
      </c>
      <c r="J13" s="104">
        <f t="shared" si="3"/>
        <v>0</v>
      </c>
      <c r="K13" s="104">
        <f t="shared" si="3"/>
        <v>0</v>
      </c>
      <c r="L13" s="104">
        <f t="shared" si="3"/>
        <v>0</v>
      </c>
      <c r="M13" s="104">
        <f t="shared" si="3"/>
        <v>0</v>
      </c>
      <c r="N13" s="104">
        <f t="shared" si="3"/>
        <v>0</v>
      </c>
      <c r="O13" s="104">
        <f t="shared" si="3"/>
        <v>0</v>
      </c>
      <c r="P13" s="104">
        <f t="shared" si="3"/>
        <v>0</v>
      </c>
      <c r="Q13" s="104">
        <f t="shared" si="4"/>
        <v>0</v>
      </c>
      <c r="R13" s="104">
        <f t="shared" si="4"/>
        <v>0</v>
      </c>
      <c r="S13" s="104">
        <f t="shared" si="4"/>
        <v>0</v>
      </c>
      <c r="T13" s="104">
        <f t="shared" si="4"/>
        <v>0</v>
      </c>
      <c r="U13" s="104">
        <f t="shared" si="4"/>
        <v>0</v>
      </c>
      <c r="V13" s="104">
        <f t="shared" si="4"/>
        <v>0</v>
      </c>
      <c r="W13" s="104">
        <f t="shared" si="4"/>
        <v>0</v>
      </c>
      <c r="X13" s="105">
        <f t="shared" si="4"/>
        <v>0</v>
      </c>
    </row>
    <row r="14" spans="2:24" ht="13" customHeight="1" x14ac:dyDescent="0.3">
      <c r="B14" s="2">
        <v>3</v>
      </c>
      <c r="C14" s="35"/>
      <c r="D14" s="146"/>
      <c r="E14" s="147"/>
      <c r="F14" s="95">
        <f t="shared" si="2"/>
        <v>0</v>
      </c>
      <c r="G14" s="104">
        <f t="shared" si="3"/>
        <v>0</v>
      </c>
      <c r="H14" s="104">
        <f t="shared" si="3"/>
        <v>0</v>
      </c>
      <c r="I14" s="104">
        <f t="shared" si="3"/>
        <v>0</v>
      </c>
      <c r="J14" s="104">
        <f t="shared" si="3"/>
        <v>0</v>
      </c>
      <c r="K14" s="104">
        <f t="shared" si="3"/>
        <v>0</v>
      </c>
      <c r="L14" s="104">
        <f t="shared" si="3"/>
        <v>0</v>
      </c>
      <c r="M14" s="104">
        <f t="shared" si="3"/>
        <v>0</v>
      </c>
      <c r="N14" s="104">
        <f t="shared" si="3"/>
        <v>0</v>
      </c>
      <c r="O14" s="104">
        <f t="shared" si="3"/>
        <v>0</v>
      </c>
      <c r="P14" s="104">
        <f t="shared" si="3"/>
        <v>0</v>
      </c>
      <c r="Q14" s="104">
        <f t="shared" si="4"/>
        <v>0</v>
      </c>
      <c r="R14" s="104">
        <f t="shared" si="4"/>
        <v>0</v>
      </c>
      <c r="S14" s="104">
        <f t="shared" si="4"/>
        <v>0</v>
      </c>
      <c r="T14" s="104">
        <f t="shared" si="4"/>
        <v>0</v>
      </c>
      <c r="U14" s="104">
        <f t="shared" si="4"/>
        <v>0</v>
      </c>
      <c r="V14" s="104">
        <f t="shared" si="4"/>
        <v>0</v>
      </c>
      <c r="W14" s="104">
        <f t="shared" si="4"/>
        <v>0</v>
      </c>
      <c r="X14" s="105">
        <f t="shared" si="4"/>
        <v>0</v>
      </c>
    </row>
    <row r="15" spans="2:24" x14ac:dyDescent="0.3">
      <c r="B15" s="2">
        <f t="shared" ref="B15:B21" si="5">B14+1</f>
        <v>4</v>
      </c>
      <c r="C15" s="35"/>
      <c r="D15" s="146"/>
      <c r="E15" s="147"/>
      <c r="F15" s="95">
        <f t="shared" si="2"/>
        <v>0</v>
      </c>
      <c r="G15" s="104">
        <f t="shared" si="3"/>
        <v>0</v>
      </c>
      <c r="H15" s="104">
        <f t="shared" si="3"/>
        <v>0</v>
      </c>
      <c r="I15" s="104">
        <f t="shared" si="3"/>
        <v>0</v>
      </c>
      <c r="J15" s="104">
        <f t="shared" si="3"/>
        <v>0</v>
      </c>
      <c r="K15" s="104">
        <f t="shared" si="3"/>
        <v>0</v>
      </c>
      <c r="L15" s="104">
        <f t="shared" si="3"/>
        <v>0</v>
      </c>
      <c r="M15" s="104">
        <f t="shared" si="3"/>
        <v>0</v>
      </c>
      <c r="N15" s="104">
        <f t="shared" si="3"/>
        <v>0</v>
      </c>
      <c r="O15" s="104">
        <f t="shared" si="3"/>
        <v>0</v>
      </c>
      <c r="P15" s="104">
        <f t="shared" si="3"/>
        <v>0</v>
      </c>
      <c r="Q15" s="104">
        <f t="shared" si="4"/>
        <v>0</v>
      </c>
      <c r="R15" s="104">
        <f t="shared" si="4"/>
        <v>0</v>
      </c>
      <c r="S15" s="104">
        <f t="shared" si="4"/>
        <v>0</v>
      </c>
      <c r="T15" s="104">
        <f t="shared" si="4"/>
        <v>0</v>
      </c>
      <c r="U15" s="104">
        <f t="shared" si="4"/>
        <v>0</v>
      </c>
      <c r="V15" s="104">
        <f t="shared" si="4"/>
        <v>0</v>
      </c>
      <c r="W15" s="104">
        <f t="shared" si="4"/>
        <v>0</v>
      </c>
      <c r="X15" s="105">
        <f t="shared" si="4"/>
        <v>0</v>
      </c>
    </row>
    <row r="16" spans="2:24" x14ac:dyDescent="0.3">
      <c r="B16" s="2">
        <f t="shared" si="5"/>
        <v>5</v>
      </c>
      <c r="C16" s="35"/>
      <c r="D16" s="146"/>
      <c r="E16" s="147"/>
      <c r="F16" s="95">
        <f t="shared" si="2"/>
        <v>0</v>
      </c>
      <c r="G16" s="104">
        <f t="shared" si="3"/>
        <v>0</v>
      </c>
      <c r="H16" s="104">
        <f t="shared" si="3"/>
        <v>0</v>
      </c>
      <c r="I16" s="104">
        <f t="shared" si="3"/>
        <v>0</v>
      </c>
      <c r="J16" s="104">
        <f t="shared" si="3"/>
        <v>0</v>
      </c>
      <c r="K16" s="104">
        <f t="shared" si="3"/>
        <v>0</v>
      </c>
      <c r="L16" s="104">
        <f t="shared" si="3"/>
        <v>0</v>
      </c>
      <c r="M16" s="104">
        <f t="shared" si="3"/>
        <v>0</v>
      </c>
      <c r="N16" s="104">
        <f t="shared" si="3"/>
        <v>0</v>
      </c>
      <c r="O16" s="104">
        <f t="shared" si="3"/>
        <v>0</v>
      </c>
      <c r="P16" s="104">
        <f t="shared" si="3"/>
        <v>0</v>
      </c>
      <c r="Q16" s="104">
        <f t="shared" si="4"/>
        <v>0</v>
      </c>
      <c r="R16" s="104">
        <f t="shared" si="4"/>
        <v>0</v>
      </c>
      <c r="S16" s="104">
        <f t="shared" si="4"/>
        <v>0</v>
      </c>
      <c r="T16" s="104">
        <f t="shared" si="4"/>
        <v>0</v>
      </c>
      <c r="U16" s="104">
        <f t="shared" si="4"/>
        <v>0</v>
      </c>
      <c r="V16" s="104">
        <f t="shared" si="4"/>
        <v>0</v>
      </c>
      <c r="W16" s="104">
        <f t="shared" si="4"/>
        <v>0</v>
      </c>
      <c r="X16" s="105">
        <f t="shared" si="4"/>
        <v>0</v>
      </c>
    </row>
    <row r="17" spans="2:24" x14ac:dyDescent="0.3">
      <c r="B17" s="2">
        <f t="shared" si="5"/>
        <v>6</v>
      </c>
      <c r="C17" s="35"/>
      <c r="D17" s="146"/>
      <c r="E17" s="147"/>
      <c r="F17" s="95">
        <f t="shared" si="2"/>
        <v>0</v>
      </c>
      <c r="G17" s="104">
        <f t="shared" si="3"/>
        <v>0</v>
      </c>
      <c r="H17" s="104">
        <f t="shared" si="3"/>
        <v>0</v>
      </c>
      <c r="I17" s="104">
        <f t="shared" si="3"/>
        <v>0</v>
      </c>
      <c r="J17" s="104">
        <f t="shared" si="3"/>
        <v>0</v>
      </c>
      <c r="K17" s="104">
        <f t="shared" si="3"/>
        <v>0</v>
      </c>
      <c r="L17" s="104">
        <f t="shared" si="3"/>
        <v>0</v>
      </c>
      <c r="M17" s="104">
        <f t="shared" si="3"/>
        <v>0</v>
      </c>
      <c r="N17" s="104">
        <f t="shared" si="3"/>
        <v>0</v>
      </c>
      <c r="O17" s="104">
        <f t="shared" si="3"/>
        <v>0</v>
      </c>
      <c r="P17" s="104">
        <f t="shared" si="3"/>
        <v>0</v>
      </c>
      <c r="Q17" s="104">
        <f t="shared" si="4"/>
        <v>0</v>
      </c>
      <c r="R17" s="104">
        <f t="shared" si="4"/>
        <v>0</v>
      </c>
      <c r="S17" s="104">
        <f t="shared" si="4"/>
        <v>0</v>
      </c>
      <c r="T17" s="104">
        <f t="shared" si="4"/>
        <v>0</v>
      </c>
      <c r="U17" s="104">
        <f t="shared" si="4"/>
        <v>0</v>
      </c>
      <c r="V17" s="104">
        <f t="shared" si="4"/>
        <v>0</v>
      </c>
      <c r="W17" s="104">
        <f t="shared" si="4"/>
        <v>0</v>
      </c>
      <c r="X17" s="105">
        <f t="shared" si="4"/>
        <v>0</v>
      </c>
    </row>
    <row r="18" spans="2:24" x14ac:dyDescent="0.3">
      <c r="B18" s="2">
        <f t="shared" si="5"/>
        <v>7</v>
      </c>
      <c r="C18" s="35"/>
      <c r="D18" s="146"/>
      <c r="E18" s="147"/>
      <c r="F18" s="95">
        <f t="shared" si="2"/>
        <v>0</v>
      </c>
      <c r="G18" s="104">
        <f t="shared" si="3"/>
        <v>0</v>
      </c>
      <c r="H18" s="104">
        <f t="shared" si="3"/>
        <v>0</v>
      </c>
      <c r="I18" s="104">
        <f t="shared" si="3"/>
        <v>0</v>
      </c>
      <c r="J18" s="104">
        <f t="shared" si="3"/>
        <v>0</v>
      </c>
      <c r="K18" s="104">
        <f t="shared" si="3"/>
        <v>0</v>
      </c>
      <c r="L18" s="104">
        <f t="shared" si="3"/>
        <v>0</v>
      </c>
      <c r="M18" s="104">
        <f t="shared" si="3"/>
        <v>0</v>
      </c>
      <c r="N18" s="104">
        <f t="shared" si="3"/>
        <v>0</v>
      </c>
      <c r="O18" s="104">
        <f t="shared" si="3"/>
        <v>0</v>
      </c>
      <c r="P18" s="104">
        <f t="shared" si="3"/>
        <v>0</v>
      </c>
      <c r="Q18" s="104">
        <f t="shared" si="4"/>
        <v>0</v>
      </c>
      <c r="R18" s="104">
        <f t="shared" si="4"/>
        <v>0</v>
      </c>
      <c r="S18" s="104">
        <f t="shared" si="4"/>
        <v>0</v>
      </c>
      <c r="T18" s="104">
        <f t="shared" si="4"/>
        <v>0</v>
      </c>
      <c r="U18" s="104">
        <f t="shared" si="4"/>
        <v>0</v>
      </c>
      <c r="V18" s="104">
        <f t="shared" si="4"/>
        <v>0</v>
      </c>
      <c r="W18" s="104">
        <f t="shared" si="4"/>
        <v>0</v>
      </c>
      <c r="X18" s="105">
        <f t="shared" si="4"/>
        <v>0</v>
      </c>
    </row>
    <row r="19" spans="2:24" x14ac:dyDescent="0.3">
      <c r="B19" s="2">
        <f t="shared" si="5"/>
        <v>8</v>
      </c>
      <c r="C19" s="35"/>
      <c r="D19" s="146"/>
      <c r="E19" s="147"/>
      <c r="F19" s="95">
        <f t="shared" si="2"/>
        <v>0</v>
      </c>
      <c r="G19" s="104">
        <f t="shared" si="3"/>
        <v>0</v>
      </c>
      <c r="H19" s="104">
        <f t="shared" si="3"/>
        <v>0</v>
      </c>
      <c r="I19" s="104">
        <f t="shared" si="3"/>
        <v>0</v>
      </c>
      <c r="J19" s="104">
        <f t="shared" si="3"/>
        <v>0</v>
      </c>
      <c r="K19" s="104">
        <f t="shared" si="3"/>
        <v>0</v>
      </c>
      <c r="L19" s="104">
        <f t="shared" si="3"/>
        <v>0</v>
      </c>
      <c r="M19" s="104">
        <f t="shared" si="3"/>
        <v>0</v>
      </c>
      <c r="N19" s="104">
        <f t="shared" si="3"/>
        <v>0</v>
      </c>
      <c r="O19" s="104">
        <f t="shared" si="3"/>
        <v>0</v>
      </c>
      <c r="P19" s="104">
        <f t="shared" si="3"/>
        <v>0</v>
      </c>
      <c r="Q19" s="104">
        <f t="shared" si="4"/>
        <v>0</v>
      </c>
      <c r="R19" s="104">
        <f t="shared" si="4"/>
        <v>0</v>
      </c>
      <c r="S19" s="104">
        <f t="shared" si="4"/>
        <v>0</v>
      </c>
      <c r="T19" s="104">
        <f t="shared" si="4"/>
        <v>0</v>
      </c>
      <c r="U19" s="104">
        <f t="shared" si="4"/>
        <v>0</v>
      </c>
      <c r="V19" s="104">
        <f t="shared" si="4"/>
        <v>0</v>
      </c>
      <c r="W19" s="104">
        <f t="shared" si="4"/>
        <v>0</v>
      </c>
      <c r="X19" s="105">
        <f t="shared" si="4"/>
        <v>0</v>
      </c>
    </row>
    <row r="20" spans="2:24" x14ac:dyDescent="0.3">
      <c r="B20" s="2">
        <f t="shared" si="5"/>
        <v>9</v>
      </c>
      <c r="C20" s="35"/>
      <c r="D20" s="146"/>
      <c r="E20" s="147"/>
      <c r="F20" s="95">
        <f t="shared" si="2"/>
        <v>0</v>
      </c>
      <c r="G20" s="104">
        <f t="shared" si="3"/>
        <v>0</v>
      </c>
      <c r="H20" s="104">
        <f t="shared" si="3"/>
        <v>0</v>
      </c>
      <c r="I20" s="104">
        <f t="shared" si="3"/>
        <v>0</v>
      </c>
      <c r="J20" s="104">
        <f t="shared" si="3"/>
        <v>0</v>
      </c>
      <c r="K20" s="104">
        <f t="shared" si="3"/>
        <v>0</v>
      </c>
      <c r="L20" s="104">
        <f t="shared" si="3"/>
        <v>0</v>
      </c>
      <c r="M20" s="104">
        <f t="shared" si="3"/>
        <v>0</v>
      </c>
      <c r="N20" s="104">
        <f t="shared" si="3"/>
        <v>0</v>
      </c>
      <c r="O20" s="104">
        <f t="shared" si="3"/>
        <v>0</v>
      </c>
      <c r="P20" s="104">
        <f t="shared" si="3"/>
        <v>0</v>
      </c>
      <c r="Q20" s="104">
        <f t="shared" si="4"/>
        <v>0</v>
      </c>
      <c r="R20" s="104">
        <f t="shared" si="4"/>
        <v>0</v>
      </c>
      <c r="S20" s="104">
        <f t="shared" si="4"/>
        <v>0</v>
      </c>
      <c r="T20" s="104">
        <f t="shared" si="4"/>
        <v>0</v>
      </c>
      <c r="U20" s="104">
        <f t="shared" si="4"/>
        <v>0</v>
      </c>
      <c r="V20" s="104">
        <f t="shared" si="4"/>
        <v>0</v>
      </c>
      <c r="W20" s="104">
        <f t="shared" si="4"/>
        <v>0</v>
      </c>
      <c r="X20" s="105">
        <f t="shared" si="4"/>
        <v>0</v>
      </c>
    </row>
    <row r="21" spans="2:24" x14ac:dyDescent="0.3">
      <c r="B21" s="21">
        <f t="shared" si="5"/>
        <v>10</v>
      </c>
      <c r="C21" s="38"/>
      <c r="D21" s="148"/>
      <c r="E21" s="149"/>
      <c r="F21" s="99">
        <f t="shared" si="2"/>
        <v>0</v>
      </c>
      <c r="G21" s="106">
        <f t="shared" si="3"/>
        <v>0</v>
      </c>
      <c r="H21" s="106">
        <f t="shared" si="3"/>
        <v>0</v>
      </c>
      <c r="I21" s="106">
        <f t="shared" si="3"/>
        <v>0</v>
      </c>
      <c r="J21" s="106">
        <f t="shared" si="3"/>
        <v>0</v>
      </c>
      <c r="K21" s="106">
        <f t="shared" si="3"/>
        <v>0</v>
      </c>
      <c r="L21" s="106">
        <f t="shared" si="3"/>
        <v>0</v>
      </c>
      <c r="M21" s="106">
        <f t="shared" si="3"/>
        <v>0</v>
      </c>
      <c r="N21" s="106">
        <f t="shared" si="3"/>
        <v>0</v>
      </c>
      <c r="O21" s="106">
        <f t="shared" si="3"/>
        <v>0</v>
      </c>
      <c r="P21" s="106">
        <f t="shared" si="3"/>
        <v>0</v>
      </c>
      <c r="Q21" s="106">
        <f t="shared" si="4"/>
        <v>0</v>
      </c>
      <c r="R21" s="106">
        <f t="shared" si="4"/>
        <v>0</v>
      </c>
      <c r="S21" s="106">
        <f t="shared" si="4"/>
        <v>0</v>
      </c>
      <c r="T21" s="106">
        <f t="shared" si="4"/>
        <v>0</v>
      </c>
      <c r="U21" s="106">
        <f t="shared" si="4"/>
        <v>0</v>
      </c>
      <c r="V21" s="106">
        <f t="shared" si="4"/>
        <v>0</v>
      </c>
      <c r="W21" s="106">
        <f t="shared" si="4"/>
        <v>0</v>
      </c>
      <c r="X21" s="107">
        <f t="shared" si="4"/>
        <v>0</v>
      </c>
    </row>
    <row r="22" spans="2:24" x14ac:dyDescent="0.3">
      <c r="B22" s="188" t="s">
        <v>160</v>
      </c>
      <c r="C22" s="189"/>
      <c r="D22" s="189"/>
      <c r="E22" s="190"/>
      <c r="F22" s="150">
        <f>SUM(F12:F21)</f>
        <v>69</v>
      </c>
      <c r="G22" s="151">
        <f>SUM(G12:G21)</f>
        <v>1.5</v>
      </c>
      <c r="H22" s="151">
        <f t="shared" ref="H22:X22" si="6">SUM(H12:H21)</f>
        <v>3</v>
      </c>
      <c r="I22" s="151">
        <f t="shared" si="6"/>
        <v>15.25</v>
      </c>
      <c r="J22" s="151">
        <f t="shared" si="6"/>
        <v>6</v>
      </c>
      <c r="K22" s="151">
        <f t="shared" si="6"/>
        <v>13.375</v>
      </c>
      <c r="L22" s="151">
        <f t="shared" si="6"/>
        <v>14.625</v>
      </c>
      <c r="M22" s="151">
        <f t="shared" si="6"/>
        <v>4.75</v>
      </c>
      <c r="N22" s="151">
        <f t="shared" si="6"/>
        <v>1.5</v>
      </c>
      <c r="O22" s="151">
        <f t="shared" si="6"/>
        <v>1.5</v>
      </c>
      <c r="P22" s="151">
        <f t="shared" si="6"/>
        <v>4.5</v>
      </c>
      <c r="Q22" s="151">
        <f t="shared" si="6"/>
        <v>1.5</v>
      </c>
      <c r="R22" s="151">
        <f t="shared" si="6"/>
        <v>1.5</v>
      </c>
      <c r="S22" s="151">
        <f t="shared" si="6"/>
        <v>0</v>
      </c>
      <c r="T22" s="151">
        <f t="shared" si="6"/>
        <v>0</v>
      </c>
      <c r="U22" s="151">
        <f t="shared" si="6"/>
        <v>0</v>
      </c>
      <c r="V22" s="151">
        <f t="shared" si="6"/>
        <v>0</v>
      </c>
      <c r="W22" s="151">
        <f t="shared" si="6"/>
        <v>0</v>
      </c>
      <c r="X22" s="152">
        <f t="shared" si="6"/>
        <v>0</v>
      </c>
    </row>
    <row r="23" spans="2:24" x14ac:dyDescent="0.3">
      <c r="G23" s="153"/>
    </row>
    <row r="24" spans="2:24" x14ac:dyDescent="0.3">
      <c r="B24" s="154" t="s">
        <v>161</v>
      </c>
      <c r="C24" s="154"/>
      <c r="D24" s="154"/>
      <c r="G24" s="153"/>
    </row>
    <row r="25" spans="2:24" ht="15" customHeight="1" x14ac:dyDescent="0.3">
      <c r="B25" s="155" t="s">
        <v>162</v>
      </c>
      <c r="C25" s="103" t="s">
        <v>38</v>
      </c>
      <c r="D25" s="156" t="s">
        <v>163</v>
      </c>
      <c r="E25" s="157"/>
      <c r="F25" s="157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</row>
    <row r="26" spans="2:24" ht="14" customHeight="1" x14ac:dyDescent="0.3">
      <c r="B26" s="100" t="s">
        <v>164</v>
      </c>
      <c r="C26" s="101" t="s">
        <v>165</v>
      </c>
      <c r="D26" s="159" cm="1">
        <f t="array" ref="D26">IFERROR(SUM(_xlfn._xlws.FILTER(manday,effort="A")),0)</f>
        <v>0</v>
      </c>
      <c r="E26" s="160"/>
      <c r="F26" s="160"/>
      <c r="G26" s="161"/>
      <c r="H26" s="161"/>
      <c r="I26" s="161"/>
      <c r="J26" s="161"/>
      <c r="K26" s="161"/>
      <c r="L26" s="161"/>
      <c r="M26" s="161"/>
      <c r="N26" s="161"/>
      <c r="O26" s="161"/>
      <c r="P26" s="161"/>
      <c r="Q26" s="161"/>
      <c r="R26" s="161"/>
      <c r="S26" s="161"/>
      <c r="T26" s="161"/>
      <c r="U26" s="161"/>
      <c r="V26" s="161"/>
      <c r="W26" s="161"/>
      <c r="X26" s="161"/>
    </row>
    <row r="27" spans="2:24" ht="13" customHeight="1" x14ac:dyDescent="0.3">
      <c r="B27" s="2" t="s">
        <v>155</v>
      </c>
      <c r="C27" s="35" t="s">
        <v>166</v>
      </c>
      <c r="D27" s="162" cm="1">
        <f t="array" ref="D27">IFERROR(SUM(_xlfn._xlws.FILTER(_xlfn.CHOOSECOLS(manday,_xlfn._xlws.FILTER(members,EffortType="Implement")),effort="B")),0)</f>
        <v>0</v>
      </c>
      <c r="E27" s="163"/>
      <c r="F27" s="163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</row>
    <row r="28" spans="2:24" ht="13" customHeight="1" x14ac:dyDescent="0.3">
      <c r="B28" s="2" t="s">
        <v>167</v>
      </c>
      <c r="C28" s="35" t="s">
        <v>168</v>
      </c>
      <c r="D28" s="162" cm="1">
        <f t="array" ref="D28">IFERROR(SUM(_xlfn._xlws.FILTER(_xlfn.CHOOSECOLS(manday,_xlfn._xlws.FILTER(members,EffortType="Manage")),effort&lt;&gt;"A")),0)</f>
        <v>69</v>
      </c>
      <c r="E28" s="163"/>
      <c r="F28" s="163"/>
      <c r="G28" s="161"/>
      <c r="H28" s="161"/>
      <c r="I28" s="161"/>
      <c r="J28" s="161"/>
      <c r="K28" s="161"/>
      <c r="L28" s="161"/>
      <c r="M28" s="161"/>
      <c r="N28" s="161"/>
      <c r="O28" s="161"/>
      <c r="P28" s="161"/>
      <c r="Q28" s="161"/>
      <c r="R28" s="161"/>
      <c r="S28" s="161"/>
      <c r="T28" s="161"/>
      <c r="U28" s="161"/>
      <c r="V28" s="161"/>
      <c r="W28" s="161"/>
      <c r="X28" s="161"/>
    </row>
    <row r="29" spans="2:24" x14ac:dyDescent="0.3">
      <c r="B29" s="2" t="s">
        <v>154</v>
      </c>
      <c r="C29" s="35" t="s">
        <v>169</v>
      </c>
      <c r="D29" s="162" cm="1">
        <f t="array" ref="D29">IFERROR(SUM(_xlfn._xlws.FILTER(_xlfn.CHOOSECOLS(manday,_xlfn._xlws.FILTER(members,EffortType="Implement")),effort="D")),0)</f>
        <v>0</v>
      </c>
      <c r="E29" s="163"/>
      <c r="F29" s="163"/>
      <c r="G29" s="161"/>
      <c r="H29" s="161"/>
      <c r="I29" s="161"/>
      <c r="J29" s="161"/>
      <c r="K29" s="161"/>
      <c r="L29" s="161"/>
      <c r="M29" s="161"/>
      <c r="N29" s="161"/>
      <c r="O29" s="161"/>
      <c r="P29" s="161"/>
      <c r="Q29" s="161"/>
      <c r="R29" s="161"/>
      <c r="S29" s="161"/>
      <c r="T29" s="161"/>
      <c r="U29" s="161"/>
      <c r="V29" s="161"/>
      <c r="W29" s="161"/>
      <c r="X29" s="161"/>
    </row>
    <row r="30" spans="2:24" x14ac:dyDescent="0.3">
      <c r="B30" s="9" t="s">
        <v>170</v>
      </c>
      <c r="C30" s="36" t="s">
        <v>171</v>
      </c>
      <c r="D30" s="164" cm="1">
        <f t="array" ref="D30">IFERROR(SUM(_xlfn._xlws.FILTER(_xlfn.CHOOSECOLS(manday,_xlfn._xlws.FILTER(members,EffortType="Implement")),effort="E")),0)</f>
        <v>0</v>
      </c>
      <c r="E30" s="163"/>
      <c r="F30" s="163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161"/>
      <c r="R30" s="161"/>
      <c r="S30" s="161"/>
      <c r="T30" s="161"/>
      <c r="U30" s="161"/>
      <c r="V30" s="161"/>
      <c r="W30" s="161"/>
      <c r="X30" s="161"/>
    </row>
    <row r="31" spans="2:24" ht="14" customHeight="1" x14ac:dyDescent="0.3">
      <c r="B31" s="180" t="s">
        <v>172</v>
      </c>
      <c r="C31" s="181"/>
      <c r="D31" s="165">
        <f>SUM(D26:D30)</f>
        <v>69</v>
      </c>
      <c r="E31" s="163"/>
      <c r="F31" s="163"/>
      <c r="G31" s="161"/>
      <c r="H31" s="161"/>
      <c r="I31" s="161"/>
      <c r="J31" s="161"/>
      <c r="K31" s="161"/>
      <c r="L31" s="161"/>
      <c r="M31" s="161"/>
      <c r="N31" s="161"/>
      <c r="O31" s="161"/>
      <c r="P31" s="161"/>
      <c r="Q31" s="161"/>
      <c r="R31" s="161"/>
      <c r="S31" s="161"/>
      <c r="T31" s="161"/>
      <c r="U31" s="161"/>
      <c r="V31" s="161"/>
      <c r="W31" s="161"/>
      <c r="X31" s="161"/>
    </row>
    <row r="32" spans="2:24" ht="14" customHeight="1" x14ac:dyDescent="0.3">
      <c r="B32" s="182" t="s">
        <v>173</v>
      </c>
      <c r="C32" s="183"/>
      <c r="D32" s="166">
        <f>SUM(D26:D30)</f>
        <v>69</v>
      </c>
      <c r="E32" s="163"/>
      <c r="F32" s="163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</row>
  </sheetData>
  <mergeCells count="8">
    <mergeCell ref="E10:E11"/>
    <mergeCell ref="F10:F11"/>
    <mergeCell ref="B22:E22"/>
    <mergeCell ref="B31:C31"/>
    <mergeCell ref="B32:C32"/>
    <mergeCell ref="B10:B11"/>
    <mergeCell ref="C10:C11"/>
    <mergeCell ref="D10:D11"/>
  </mergeCells>
  <dataValidations count="4">
    <dataValidation allowBlank="1" showErrorMessage="1" sqref="C5:C8 D12:D21 D26:D32 E25:X32" xr:uid="{600ADF87-0462-444D-9233-11054CD2FA0A}"/>
    <dataValidation type="date" allowBlank="1" showErrorMessage="1" sqref="D12 D26" xr:uid="{EFC6ED89-7A33-4823-A70C-4E22BFA6AA35}">
      <formula1>45292</formula1>
      <formula2>54789</formula2>
    </dataValidation>
    <dataValidation type="list" allowBlank="1" showInputMessage="1" showErrorMessage="1" sqref="E12:E21" xr:uid="{0BB9FDB1-771D-4DE6-8785-1140BCBCF6DE}">
      <formula1>"Manage,Implement"</formula1>
    </dataValidation>
    <dataValidation type="whole" allowBlank="1" showErrorMessage="1" sqref="F12:F21" xr:uid="{07560B20-B3F6-488F-AC1E-57304D214186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PublicHolidays</vt:lpstr>
      <vt:lpstr>WorkSchedule</vt:lpstr>
      <vt:lpstr>MandaySchedule</vt:lpstr>
      <vt:lpstr>Summary</vt:lpstr>
      <vt:lpstr>duration</vt:lpstr>
      <vt:lpstr>effort</vt:lpstr>
      <vt:lpstr>EffortType</vt:lpstr>
      <vt:lpstr>holidays</vt:lpstr>
      <vt:lpstr>manday</vt:lpstr>
      <vt:lpstr>members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Danusorn Sitdhirasdr</dc:creator>
  <cp:lastModifiedBy>Danusorn Sitdhirasdr</cp:lastModifiedBy>
  <dcterms:created xsi:type="dcterms:W3CDTF">2025-05-06T05:02:15Z</dcterms:created>
  <dcterms:modified xsi:type="dcterms:W3CDTF">2025-06-16T16:08:17Z</dcterms:modified>
</cp:coreProperties>
</file>