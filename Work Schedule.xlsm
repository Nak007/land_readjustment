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pornpol_k_kasikornbank_com/Documents/เดสก์ท็อป/pk_documents/FRA Work Schedule/"/>
    </mc:Choice>
  </mc:AlternateContent>
  <xr:revisionPtr revIDLastSave="310" documentId="13_ncr:1_{509B818B-0F88-4C7D-A413-91188C9F9AA8}" xr6:coauthVersionLast="47" xr6:coauthVersionMax="47" xr10:uidLastSave="{1F24DF51-A5C3-4F5D-B4B5-A4C9D060D600}"/>
  <bookViews>
    <workbookView xWindow="-110" yWindow="-110" windowWidth="19420" windowHeight="11620" tabRatio="707" firstSheet="1" activeTab="44" xr2:uid="{00000000-000D-0000-FFFF-FFFF00000000}"/>
  </bookViews>
  <sheets>
    <sheet name="Team" sheetId="3" state="hidden" r:id="rId1"/>
    <sheet name="schedule" sheetId="5" r:id="rId2"/>
    <sheet name="P0011" sheetId="17" state="hidden" r:id="rId3"/>
    <sheet name="P0012" sheetId="15" state="hidden" r:id="rId4"/>
    <sheet name="P0013" sheetId="16" state="hidden" r:id="rId5"/>
    <sheet name="P0016" sheetId="14" state="hidden" r:id="rId6"/>
    <sheet name="P0017" sheetId="6" state="hidden" r:id="rId7"/>
    <sheet name="P0018" sheetId="10" state="hidden" r:id="rId8"/>
    <sheet name="P0019" sheetId="11" state="hidden" r:id="rId9"/>
    <sheet name="P0020" sheetId="12" state="hidden" r:id="rId10"/>
    <sheet name="P0022" sheetId="18" state="hidden" r:id="rId11"/>
    <sheet name="P0023" sheetId="19" state="hidden" r:id="rId12"/>
    <sheet name="P0024" sheetId="20" state="hidden" r:id="rId13"/>
    <sheet name="P0025" sheetId="21" state="hidden" r:id="rId14"/>
    <sheet name="P0026" sheetId="22" state="hidden" r:id="rId15"/>
    <sheet name="P0027" sheetId="23" state="hidden" r:id="rId16"/>
    <sheet name="P0028" sheetId="24" state="hidden" r:id="rId17"/>
    <sheet name="P0029" sheetId="25" state="hidden" r:id="rId18"/>
    <sheet name="P0030" sheetId="26" state="hidden" r:id="rId19"/>
    <sheet name="P0031" sheetId="27" state="hidden" r:id="rId20"/>
    <sheet name="P0032" sheetId="28" state="hidden" r:id="rId21"/>
    <sheet name="P0033" sheetId="29" state="hidden" r:id="rId22"/>
    <sheet name="P0034" sheetId="30" state="hidden" r:id="rId23"/>
    <sheet name="P0035" sheetId="32" state="hidden" r:id="rId24"/>
    <sheet name="P0036" sheetId="31" state="hidden" r:id="rId25"/>
    <sheet name="P0037" sheetId="33" state="hidden" r:id="rId26"/>
    <sheet name="P0038" sheetId="34" state="hidden" r:id="rId27"/>
    <sheet name="P0039" sheetId="36" state="hidden" r:id="rId28"/>
    <sheet name="P0040" sheetId="39" state="hidden" r:id="rId29"/>
    <sheet name="P0041" sheetId="37" state="hidden" r:id="rId30"/>
    <sheet name="P0042" sheetId="40" state="hidden" r:id="rId31"/>
    <sheet name="P0043" sheetId="41" r:id="rId32"/>
    <sheet name="P0044" sheetId="42" state="hidden" r:id="rId33"/>
    <sheet name="P0045" sheetId="43" state="hidden" r:id="rId34"/>
    <sheet name="P0046" sheetId="45" state="hidden" r:id="rId35"/>
    <sheet name="P0047" sheetId="47" state="hidden" r:id="rId36"/>
    <sheet name="P0048" sheetId="48" state="hidden" r:id="rId37"/>
    <sheet name="P0049" sheetId="49" state="hidden" r:id="rId38"/>
    <sheet name="P0050" sheetId="50" state="hidden" r:id="rId39"/>
    <sheet name="P0052" sheetId="52" state="hidden" r:id="rId40"/>
    <sheet name="P0053" sheetId="53" state="hidden" r:id="rId41"/>
    <sheet name="P0054" sheetId="55" state="hidden" r:id="rId42"/>
    <sheet name="P0055" sheetId="56" r:id="rId43"/>
    <sheet name="P0056" sheetId="57" state="hidden" r:id="rId44"/>
    <sheet name="P0057" sheetId="58" r:id="rId45"/>
    <sheet name="P0058" sheetId="60" r:id="rId46"/>
    <sheet name="P0059" sheetId="61" r:id="rId47"/>
    <sheet name="P0060" sheetId="62" r:id="rId48"/>
    <sheet name="P0061" sheetId="63" r:id="rId49"/>
    <sheet name="P0062" sheetId="64" r:id="rId50"/>
    <sheet name="P0063" sheetId="65" r:id="rId51"/>
    <sheet name="P0064" sheetId="66" r:id="rId52"/>
    <sheet name="P0051" sheetId="51" state="hidden" r:id="rId53"/>
    <sheet name="PublicHolidays" sheetId="2" state="hidden" r:id="rId54"/>
  </sheets>
  <functionGroups builtInGroupCount="19"/>
  <definedNames>
    <definedName name="_xlnm._FilterDatabase" localSheetId="1" hidden="1">schedule!$A$1:$T$21</definedName>
    <definedName name="holidays">PublicHolidays!$B$2:$B$36</definedName>
    <definedName name="ProjectType">{"project","routine"}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8" l="1"/>
  <c r="B3" i="58"/>
  <c r="E8" i="64"/>
  <c r="E6" i="64"/>
  <c r="G61" i="5" l="1" a="1"/>
  <c r="G60" i="5" a="1"/>
  <c r="C3" i="66" a="1"/>
  <c r="C3" i="65" a="1"/>
  <c r="C8" i="60" a="1"/>
  <c r="C3" i="61" a="1"/>
  <c r="C10" i="60" a="1"/>
  <c r="C3" i="64" a="1"/>
  <c r="C3" i="60" a="1"/>
  <c r="C3" i="62" a="1"/>
  <c r="C3" i="63" a="1"/>
  <c r="C3" i="58" a="1"/>
  <c r="C3" i="66" l="1"/>
  <c r="C3" i="65"/>
  <c r="C3" i="58"/>
  <c r="C3" i="63"/>
  <c r="C3" i="62"/>
  <c r="C3" i="60"/>
  <c r="C3" i="64"/>
  <c r="C10" i="60"/>
  <c r="C3" i="61"/>
  <c r="C8" i="60"/>
  <c r="D3" i="66" a="1"/>
  <c r="D3" i="65" a="1"/>
  <c r="D10" i="60" a="1"/>
  <c r="D3" i="58" a="1"/>
  <c r="D3" i="60" a="1"/>
  <c r="D3" i="64" a="1"/>
  <c r="D3" i="61" a="1"/>
  <c r="D8" i="60" a="1"/>
  <c r="D3" i="63" a="1"/>
  <c r="D3" i="62" a="1"/>
  <c r="D3" i="66" l="1"/>
  <c r="B3" i="66"/>
  <c r="D3" i="65"/>
  <c r="E4" i="65" s="1"/>
  <c r="D3" i="62"/>
  <c r="D3" i="63"/>
  <c r="D8" i="60"/>
  <c r="E9" i="60" s="1"/>
  <c r="D3" i="61"/>
  <c r="D3" i="64"/>
  <c r="D3" i="60"/>
  <c r="B3" i="60" s="1"/>
  <c r="D3" i="58"/>
  <c r="D10" i="60"/>
  <c r="B3" i="62"/>
  <c r="B3" i="61"/>
  <c r="C9" i="60" a="1"/>
  <c r="E4" i="66" l="1"/>
  <c r="B8" i="60"/>
  <c r="B3" i="65"/>
  <c r="C9" i="60"/>
  <c r="B10" i="60"/>
  <c r="E11" i="60"/>
  <c r="E4" i="62"/>
  <c r="E4" i="58"/>
  <c r="E4" i="60"/>
  <c r="E4" i="61"/>
  <c r="B3" i="63"/>
  <c r="E4" i="63"/>
  <c r="C4" i="66" a="1"/>
  <c r="C4" i="65" a="1"/>
  <c r="C4" i="60" a="1"/>
  <c r="C11" i="60" a="1"/>
  <c r="C4" i="64" a="1"/>
  <c r="C4" i="61" a="1"/>
  <c r="D9" i="60" a="1"/>
  <c r="C4" i="58" a="1"/>
  <c r="C4" i="62" a="1"/>
  <c r="C4" i="63" a="1"/>
  <c r="C4" i="66" l="1"/>
  <c r="C4" i="65"/>
  <c r="C4" i="63"/>
  <c r="C4" i="62"/>
  <c r="C4" i="58"/>
  <c r="D9" i="60"/>
  <c r="B9" i="60" s="1"/>
  <c r="C4" i="61"/>
  <c r="C4" i="64"/>
  <c r="C11" i="60"/>
  <c r="C4" i="60"/>
  <c r="E5" i="60"/>
  <c r="D4" i="66" a="1"/>
  <c r="D4" i="65" a="1"/>
  <c r="D4" i="62" a="1"/>
  <c r="D4" i="58" a="1"/>
  <c r="D4" i="61" a="1"/>
  <c r="D4" i="64" a="1"/>
  <c r="C5" i="60" a="1"/>
  <c r="D4" i="63" a="1"/>
  <c r="D11" i="60" a="1"/>
  <c r="D4" i="60" a="1"/>
  <c r="D4" i="66" l="1"/>
  <c r="D4" i="65"/>
  <c r="B4" i="65" s="1"/>
  <c r="D4" i="60"/>
  <c r="D11" i="60"/>
  <c r="B11" i="60" s="1"/>
  <c r="D4" i="63"/>
  <c r="E5" i="63" s="1"/>
  <c r="C5" i="60"/>
  <c r="D4" i="64"/>
  <c r="B4" i="64" s="1"/>
  <c r="D4" i="61"/>
  <c r="B4" i="61" s="1"/>
  <c r="D4" i="58"/>
  <c r="E5" i="58" s="1"/>
  <c r="D4" i="62"/>
  <c r="B4" i="60"/>
  <c r="C5" i="63" a="1"/>
  <c r="D5" i="60" a="1"/>
  <c r="C5" i="58" a="1"/>
  <c r="B4" i="66" l="1"/>
  <c r="E6" i="66"/>
  <c r="B4" i="63"/>
  <c r="C5" i="58"/>
  <c r="D5" i="60"/>
  <c r="E6" i="60" s="1"/>
  <c r="C5" i="63"/>
  <c r="B4" i="62"/>
  <c r="E5" i="62"/>
  <c r="E7" i="61"/>
  <c r="E5" i="61"/>
  <c r="E6" i="61"/>
  <c r="E5" i="64"/>
  <c r="B5" i="60"/>
  <c r="C5" i="66" a="1"/>
  <c r="C5" i="65" a="1"/>
  <c r="D5" i="63" a="1"/>
  <c r="C5" i="64" a="1"/>
  <c r="C7" i="61" a="1"/>
  <c r="C6" i="61" a="1"/>
  <c r="C6" i="60" a="1"/>
  <c r="C5" i="61" a="1"/>
  <c r="D5" i="58" a="1"/>
  <c r="C5" i="62" a="1"/>
  <c r="C5" i="66" l="1"/>
  <c r="C5" i="65"/>
  <c r="C5" i="62"/>
  <c r="D5" i="58"/>
  <c r="E6" i="58" s="1"/>
  <c r="C5" i="61"/>
  <c r="C6" i="60"/>
  <c r="C6" i="61"/>
  <c r="C7" i="61"/>
  <c r="C5" i="64"/>
  <c r="D5" i="63"/>
  <c r="E2" i="62"/>
  <c r="E7" i="60"/>
  <c r="D5" i="66" a="1"/>
  <c r="D5" i="65" a="1"/>
  <c r="D6" i="60" a="1"/>
  <c r="D6" i="61" a="1"/>
  <c r="D5" i="61" a="1"/>
  <c r="D7" i="61" a="1"/>
  <c r="D5" i="64" a="1"/>
  <c r="C6" i="58" a="1"/>
  <c r="D5" i="62" a="1"/>
  <c r="C2" i="62" a="1"/>
  <c r="C7" i="60" a="1"/>
  <c r="D5" i="66" l="1"/>
  <c r="D5" i="65"/>
  <c r="C7" i="60"/>
  <c r="C2" i="62"/>
  <c r="H61" i="5" s="1"/>
  <c r="D5" i="62"/>
  <c r="D2" i="62" s="1"/>
  <c r="C6" i="58"/>
  <c r="D5" i="64"/>
  <c r="D7" i="61"/>
  <c r="E8" i="61" s="1"/>
  <c r="D5" i="61"/>
  <c r="B5" i="61" s="1"/>
  <c r="D6" i="61"/>
  <c r="D6" i="60"/>
  <c r="J61" i="5"/>
  <c r="B5" i="62"/>
  <c r="B2" i="62" s="1" a="1"/>
  <c r="B2" i="62" s="1"/>
  <c r="G61" i="5" s="1"/>
  <c r="E6" i="63"/>
  <c r="B5" i="63"/>
  <c r="B5" i="64"/>
  <c r="B7" i="61"/>
  <c r="B6" i="61"/>
  <c r="C8" i="61" a="1"/>
  <c r="D7" i="60" a="1"/>
  <c r="C6" i="63" a="1"/>
  <c r="D6" i="58" a="1"/>
  <c r="B5" i="66" l="1"/>
  <c r="B5" i="65"/>
  <c r="C6" i="63"/>
  <c r="D6" i="58"/>
  <c r="D7" i="60"/>
  <c r="D2" i="60" s="1"/>
  <c r="C8" i="61"/>
  <c r="B6" i="60"/>
  <c r="F2" i="62" a="1"/>
  <c r="F2" i="62" s="1"/>
  <c r="K61" i="5" s="1"/>
  <c r="I61" i="5"/>
  <c r="C6" i="66" a="1"/>
  <c r="D8" i="61" a="1"/>
  <c r="C6" i="64" a="1"/>
  <c r="D6" i="63" a="1"/>
  <c r="E7" i="58" l="1"/>
  <c r="B6" i="58"/>
  <c r="C6" i="66"/>
  <c r="B7" i="60"/>
  <c r="B2" i="60" s="1" a="1"/>
  <c r="B2" i="60" s="1"/>
  <c r="D6" i="63"/>
  <c r="E7" i="63" s="1"/>
  <c r="C6" i="64"/>
  <c r="D8" i="61"/>
  <c r="B8" i="61"/>
  <c r="D6" i="66" a="1"/>
  <c r="D6" i="64" a="1"/>
  <c r="C7" i="63" a="1"/>
  <c r="C7" i="58" a="1"/>
  <c r="C7" i="58" l="1"/>
  <c r="D6" i="66"/>
  <c r="B6" i="66" s="1"/>
  <c r="C7" i="63"/>
  <c r="D6" i="64"/>
  <c r="E9" i="61"/>
  <c r="B6" i="63"/>
  <c r="C9" i="61" a="1"/>
  <c r="D7" i="63" a="1"/>
  <c r="D7" i="58" a="1"/>
  <c r="D7" i="58" l="1"/>
  <c r="E8" i="58" s="1"/>
  <c r="B7" i="58"/>
  <c r="D7" i="63"/>
  <c r="C9" i="61"/>
  <c r="E7" i="64"/>
  <c r="B6" i="64"/>
  <c r="E2" i="61"/>
  <c r="D9" i="61" a="1"/>
  <c r="C7" i="64" a="1"/>
  <c r="C2" i="61" a="1"/>
  <c r="C8" i="58" a="1"/>
  <c r="C8" i="58" l="1"/>
  <c r="C2" i="61"/>
  <c r="H60" i="5" s="1"/>
  <c r="C7" i="64"/>
  <c r="D9" i="61"/>
  <c r="D2" i="61" s="1"/>
  <c r="E8" i="63"/>
  <c r="B7" i="63"/>
  <c r="J60" i="5"/>
  <c r="B9" i="61"/>
  <c r="B2" i="61" s="1" a="1"/>
  <c r="B2" i="61" s="1"/>
  <c r="G60" i="5" s="1"/>
  <c r="E2" i="60"/>
  <c r="C8" i="63" a="1"/>
  <c r="C2" i="60" a="1"/>
  <c r="D7" i="64" a="1"/>
  <c r="D8" i="58" a="1"/>
  <c r="D8" i="58" l="1"/>
  <c r="E9" i="58" s="1"/>
  <c r="B8" i="58"/>
  <c r="D7" i="64"/>
  <c r="C2" i="60"/>
  <c r="C8" i="63"/>
  <c r="F2" i="61" a="1"/>
  <c r="F2" i="61" s="1"/>
  <c r="K60" i="5" s="1"/>
  <c r="I60" i="5"/>
  <c r="D8" i="63" a="1"/>
  <c r="C9" i="58" a="1"/>
  <c r="C9" i="58" l="1"/>
  <c r="D8" i="63"/>
  <c r="E9" i="63" s="1"/>
  <c r="B7" i="64"/>
  <c r="C8" i="64" a="1"/>
  <c r="D9" i="58" a="1"/>
  <c r="D9" i="58" l="1"/>
  <c r="B9" i="58" s="1"/>
  <c r="C8" i="64"/>
  <c r="D8" i="64" a="1"/>
  <c r="E10" i="58" l="1"/>
  <c r="D8" i="64"/>
  <c r="E9" i="64" s="1"/>
  <c r="B8" i="64"/>
  <c r="C9" i="64" a="1"/>
  <c r="C10" i="58" a="1"/>
  <c r="C10" i="58" l="1"/>
  <c r="E2" i="66"/>
  <c r="E2" i="65"/>
  <c r="C9" i="64"/>
  <c r="E2" i="64"/>
  <c r="E2" i="11"/>
  <c r="C2" i="66" a="1"/>
  <c r="C2" i="65" a="1"/>
  <c r="D9" i="64" a="1"/>
  <c r="C3" i="47" a="1"/>
  <c r="C12" i="47" a="1"/>
  <c r="C10" i="40" a="1"/>
  <c r="C3" i="55" a="1"/>
  <c r="C9" i="63" a="1"/>
  <c r="C14" i="47" a="1"/>
  <c r="C8" i="49" a="1"/>
  <c r="C3" i="49" a="1"/>
  <c r="C3" i="48" a="1"/>
  <c r="C2" i="64" a="1"/>
  <c r="C10" i="47" a="1"/>
  <c r="C3" i="51" a="1"/>
  <c r="C6" i="49" a="1"/>
  <c r="C19" i="36" a="1"/>
  <c r="C3" i="52" a="1"/>
  <c r="C3" i="56" a="1"/>
  <c r="C3" i="43" a="1"/>
  <c r="C3" i="57" a="1"/>
  <c r="C3" i="45" a="1"/>
  <c r="C3" i="50" a="1"/>
  <c r="C3" i="53" a="1"/>
  <c r="D10" i="58" a="1"/>
  <c r="D10" i="58" l="1"/>
  <c r="E11" i="58" s="1"/>
  <c r="B10" i="58"/>
  <c r="D2" i="66"/>
  <c r="C2" i="66"/>
  <c r="C2" i="65"/>
  <c r="D2" i="65"/>
  <c r="C2" i="64"/>
  <c r="D9" i="64"/>
  <c r="D2" i="64" s="1"/>
  <c r="E2" i="58"/>
  <c r="C9" i="63"/>
  <c r="B8" i="63"/>
  <c r="E2" i="63"/>
  <c r="C3" i="57"/>
  <c r="C3" i="56"/>
  <c r="C3" i="55"/>
  <c r="C8" i="49"/>
  <c r="C6" i="49"/>
  <c r="C3" i="50"/>
  <c r="C3" i="52"/>
  <c r="C3" i="53"/>
  <c r="C14" i="47"/>
  <c r="C12" i="47"/>
  <c r="C10" i="47"/>
  <c r="C3" i="51"/>
  <c r="C3" i="49"/>
  <c r="C3" i="48"/>
  <c r="C3" i="47"/>
  <c r="C10" i="40"/>
  <c r="C3" i="45"/>
  <c r="C3" i="43"/>
  <c r="C19" i="36"/>
  <c r="G41" i="5" a="1"/>
  <c r="D3" i="55" a="1"/>
  <c r="D10" i="47" a="1"/>
  <c r="D10" i="40" a="1"/>
  <c r="D3" i="47" a="1"/>
  <c r="C3" i="42" a="1"/>
  <c r="C2" i="63" a="1"/>
  <c r="D3" i="43" a="1"/>
  <c r="D3" i="52" a="1"/>
  <c r="D19" i="36" a="1"/>
  <c r="D3" i="56" a="1"/>
  <c r="D8" i="49" a="1"/>
  <c r="C4" i="39" a="1"/>
  <c r="D3" i="48" a="1"/>
  <c r="D3" i="49" a="1"/>
  <c r="D3" i="45" a="1"/>
  <c r="D9" i="63" a="1"/>
  <c r="D3" i="50" a="1"/>
  <c r="C13" i="36" a="1"/>
  <c r="D3" i="51" a="1"/>
  <c r="D12" i="47" a="1"/>
  <c r="C18" i="36" a="1"/>
  <c r="C3" i="41" a="1"/>
  <c r="D6" i="49" a="1"/>
  <c r="D14" i="47" a="1"/>
  <c r="C3" i="39" a="1"/>
  <c r="C3" i="40" a="1"/>
  <c r="D24" i="36" a="1"/>
  <c r="D3" i="53" a="1"/>
  <c r="D3" i="57" a="1"/>
  <c r="C11" i="58" a="1"/>
  <c r="C2" i="58" a="1"/>
  <c r="C11" i="58" l="1"/>
  <c r="F2" i="66" a="1"/>
  <c r="F2" i="66" s="1"/>
  <c r="B2" i="65" a="1"/>
  <c r="B2" i="65" s="1"/>
  <c r="F2" i="64" a="1"/>
  <c r="F2" i="64" s="1"/>
  <c r="K63" i="5" s="1"/>
  <c r="B9" i="64"/>
  <c r="B2" i="64" s="1" a="1"/>
  <c r="B2" i="64" s="1"/>
  <c r="G63" i="5" s="1" a="1"/>
  <c r="B2" i="66" a="1"/>
  <c r="B2" i="66" s="1"/>
  <c r="F2" i="65" a="1"/>
  <c r="F2" i="65" s="1"/>
  <c r="H63" i="5"/>
  <c r="J63" i="5"/>
  <c r="I63" i="5"/>
  <c r="C2" i="58"/>
  <c r="H58" i="5" s="1"/>
  <c r="J58" i="5"/>
  <c r="D9" i="63"/>
  <c r="D2" i="63" s="1"/>
  <c r="C2" i="63"/>
  <c r="D3" i="57"/>
  <c r="D3" i="50"/>
  <c r="E4" i="50" s="1"/>
  <c r="D6" i="49"/>
  <c r="D8" i="49"/>
  <c r="E9" i="49" s="1"/>
  <c r="D3" i="55"/>
  <c r="E4" i="55" s="1"/>
  <c r="D3" i="56"/>
  <c r="B3" i="56" s="1"/>
  <c r="D3" i="53"/>
  <c r="D14" i="47"/>
  <c r="E15" i="47" s="1"/>
  <c r="D3" i="52"/>
  <c r="E4" i="52" s="1"/>
  <c r="D12" i="47"/>
  <c r="D10" i="47"/>
  <c r="D3" i="51"/>
  <c r="B3" i="51" s="1"/>
  <c r="D3" i="49"/>
  <c r="D24" i="36"/>
  <c r="D3" i="48"/>
  <c r="E4" i="48" s="1"/>
  <c r="D3" i="47"/>
  <c r="D10" i="40"/>
  <c r="B10" i="40" s="1"/>
  <c r="D3" i="45"/>
  <c r="E4" i="45" s="1"/>
  <c r="D3" i="43"/>
  <c r="E4" i="43" s="1"/>
  <c r="D19" i="36"/>
  <c r="B19" i="36" s="1"/>
  <c r="C3" i="42"/>
  <c r="C18" i="36"/>
  <c r="C3" i="40"/>
  <c r="C3" i="41"/>
  <c r="C13" i="36"/>
  <c r="J41" i="5"/>
  <c r="C4" i="39"/>
  <c r="C3" i="39"/>
  <c r="E2" i="39"/>
  <c r="E5" i="34"/>
  <c r="E7" i="34"/>
  <c r="C9" i="49" a="1"/>
  <c r="C5" i="34" a="1"/>
  <c r="C10" i="31" a="1"/>
  <c r="C7" i="34" a="1"/>
  <c r="C4" i="45" a="1"/>
  <c r="C3" i="34" a="1"/>
  <c r="C15" i="47" a="1"/>
  <c r="D13" i="36" a="1"/>
  <c r="D3" i="40" a="1"/>
  <c r="C4" i="55" a="1"/>
  <c r="C3" i="37" a="1"/>
  <c r="C11" i="31" a="1"/>
  <c r="C3" i="36" a="1"/>
  <c r="C4" i="50" a="1"/>
  <c r="C5" i="39" a="1"/>
  <c r="C2" i="39" a="1"/>
  <c r="D18" i="36" a="1"/>
  <c r="D4" i="39" a="1"/>
  <c r="C4" i="37" a="1"/>
  <c r="C12" i="31" a="1"/>
  <c r="D3" i="41" a="1"/>
  <c r="C14" i="34" a="1"/>
  <c r="C13" i="47" a="1"/>
  <c r="C20" i="25" a="1"/>
  <c r="C19" i="25" a="1"/>
  <c r="C4" i="34" a="1"/>
  <c r="C9" i="31" a="1"/>
  <c r="C4" i="36" a="1"/>
  <c r="D3" i="42" a="1"/>
  <c r="D11" i="58" a="1"/>
  <c r="D11" i="58" l="1"/>
  <c r="D2" i="58" s="1"/>
  <c r="B11" i="58"/>
  <c r="B2" i="58" s="1" a="1"/>
  <c r="B2" i="58" s="1"/>
  <c r="G65" i="5" a="1"/>
  <c r="G65" i="5" s="1"/>
  <c r="G64" i="5" a="1"/>
  <c r="K64" i="5" s="1"/>
  <c r="G63" i="5"/>
  <c r="K65" i="5"/>
  <c r="H65" i="5"/>
  <c r="I65" i="5"/>
  <c r="J65" i="5"/>
  <c r="B3" i="41"/>
  <c r="F2" i="58" a="1"/>
  <c r="F2" i="58" s="1"/>
  <c r="K58" i="5" s="1"/>
  <c r="I58" i="5"/>
  <c r="G58" i="5" a="1"/>
  <c r="F2" i="63" a="1"/>
  <c r="F2" i="63" s="1"/>
  <c r="B8" i="49"/>
  <c r="B9" i="63"/>
  <c r="B2" i="63" s="1" a="1"/>
  <c r="B2" i="63" s="1"/>
  <c r="B3" i="53"/>
  <c r="B3" i="55"/>
  <c r="E4" i="57"/>
  <c r="B3" i="52"/>
  <c r="B3" i="57"/>
  <c r="B3" i="50"/>
  <c r="C9" i="49"/>
  <c r="C4" i="50"/>
  <c r="E4" i="56"/>
  <c r="E7" i="49"/>
  <c r="B6" i="49"/>
  <c r="C4" i="55"/>
  <c r="C15" i="47"/>
  <c r="E4" i="53"/>
  <c r="B3" i="48"/>
  <c r="C13" i="47"/>
  <c r="E11" i="47"/>
  <c r="E4" i="51"/>
  <c r="B3" i="49"/>
  <c r="E4" i="49"/>
  <c r="B3" i="43"/>
  <c r="B24" i="36"/>
  <c r="B3" i="45"/>
  <c r="C4" i="45"/>
  <c r="E4" i="47"/>
  <c r="D3" i="41"/>
  <c r="D18" i="36"/>
  <c r="E20" i="36" s="1"/>
  <c r="D3" i="42"/>
  <c r="B3" i="42" s="1"/>
  <c r="D3" i="40"/>
  <c r="D4" i="39"/>
  <c r="D13" i="36"/>
  <c r="E14" i="36" s="1"/>
  <c r="C2" i="39"/>
  <c r="H41" i="5" s="1"/>
  <c r="C5" i="39"/>
  <c r="C20" i="25"/>
  <c r="C10" i="31"/>
  <c r="C3" i="37"/>
  <c r="C4" i="37"/>
  <c r="C14" i="34"/>
  <c r="C19" i="25"/>
  <c r="C11" i="31"/>
  <c r="C12" i="31"/>
  <c r="C9" i="31"/>
  <c r="C3" i="36"/>
  <c r="C4" i="36"/>
  <c r="C3" i="34"/>
  <c r="C5" i="34"/>
  <c r="C7" i="34"/>
  <c r="C4" i="34"/>
  <c r="D3" i="39" a="1"/>
  <c r="D4" i="50" a="1"/>
  <c r="D4" i="36" a="1"/>
  <c r="D10" i="31" a="1"/>
  <c r="C4" i="56" a="1"/>
  <c r="D3" i="36" a="1"/>
  <c r="D4" i="34" a="1"/>
  <c r="D7" i="34" a="1"/>
  <c r="C4" i="47" a="1"/>
  <c r="C4" i="49" a="1"/>
  <c r="C14" i="36" a="1"/>
  <c r="D9" i="49" a="1"/>
  <c r="C20" i="36" a="1"/>
  <c r="D13" i="47" a="1"/>
  <c r="D4" i="55" a="1"/>
  <c r="D4" i="45" a="1"/>
  <c r="C4" i="48" a="1"/>
  <c r="C4" i="53" a="1"/>
  <c r="D9" i="31" a="1"/>
  <c r="C4" i="51" a="1"/>
  <c r="D11" i="31" a="1"/>
  <c r="C4" i="57" a="1"/>
  <c r="D3" i="37" a="1"/>
  <c r="C7" i="49" a="1"/>
  <c r="D4" i="37" a="1"/>
  <c r="C11" i="47" a="1"/>
  <c r="D20" i="25" a="1"/>
  <c r="D5" i="34" a="1"/>
  <c r="D19" i="25" a="1"/>
  <c r="D12" i="31" a="1"/>
  <c r="D3" i="34" a="1"/>
  <c r="C4" i="52" a="1"/>
  <c r="D5" i="39" a="1"/>
  <c r="D15" i="47" a="1"/>
  <c r="C4" i="43" a="1"/>
  <c r="D14" i="34" a="1"/>
  <c r="G58" i="5" l="1"/>
  <c r="G64" i="5"/>
  <c r="H64" i="5"/>
  <c r="I64" i="5"/>
  <c r="J64" i="5"/>
  <c r="G62" i="5" a="1"/>
  <c r="G62" i="5"/>
  <c r="G59" i="5" a="1"/>
  <c r="I62" i="5"/>
  <c r="J62" i="5"/>
  <c r="K62" i="5"/>
  <c r="H62" i="5"/>
  <c r="G59" i="5"/>
  <c r="I59" i="5"/>
  <c r="H59" i="5"/>
  <c r="J59" i="5"/>
  <c r="F2" i="60" a="1"/>
  <c r="F2" i="60" s="1"/>
  <c r="K59" i="5" s="1"/>
  <c r="C4" i="57"/>
  <c r="D9" i="49"/>
  <c r="B9" i="49" s="1"/>
  <c r="D4" i="50"/>
  <c r="E5" i="50" s="1"/>
  <c r="C4" i="56"/>
  <c r="C7" i="49"/>
  <c r="D4" i="55"/>
  <c r="C4" i="53"/>
  <c r="D15" i="47"/>
  <c r="E16" i="47" s="1"/>
  <c r="C4" i="52"/>
  <c r="D13" i="47"/>
  <c r="C11" i="47"/>
  <c r="C4" i="51"/>
  <c r="C4" i="49"/>
  <c r="C4" i="48"/>
  <c r="C4" i="47"/>
  <c r="D4" i="45"/>
  <c r="C4" i="43"/>
  <c r="C20" i="36"/>
  <c r="B3" i="40"/>
  <c r="E4" i="41"/>
  <c r="E4" i="42"/>
  <c r="E4" i="40"/>
  <c r="B13" i="36"/>
  <c r="C14" i="36"/>
  <c r="D3" i="39"/>
  <c r="D5" i="39"/>
  <c r="D20" i="25"/>
  <c r="D10" i="31"/>
  <c r="D4" i="37"/>
  <c r="D3" i="37"/>
  <c r="B3" i="37" s="1"/>
  <c r="D14" i="34"/>
  <c r="D19" i="25"/>
  <c r="D11" i="31"/>
  <c r="D12" i="31"/>
  <c r="B12" i="31" s="1"/>
  <c r="D9" i="31"/>
  <c r="D3" i="36"/>
  <c r="D4" i="36"/>
  <c r="E5" i="36" s="1"/>
  <c r="D4" i="34"/>
  <c r="E6" i="34" s="1"/>
  <c r="D7" i="34"/>
  <c r="D5" i="34"/>
  <c r="D3" i="34"/>
  <c r="D14" i="36" a="1"/>
  <c r="D4" i="49" a="1"/>
  <c r="D4" i="53" a="1"/>
  <c r="D4" i="48" a="1"/>
  <c r="C5" i="50" a="1"/>
  <c r="D4" i="47" a="1"/>
  <c r="D20" i="36" a="1"/>
  <c r="C4" i="41" a="1"/>
  <c r="D7" i="49" a="1"/>
  <c r="D4" i="56" a="1"/>
  <c r="D4" i="43" a="1"/>
  <c r="C5" i="36" a="1"/>
  <c r="D4" i="57" a="1"/>
  <c r="C4" i="42" a="1"/>
  <c r="C16" i="47" a="1"/>
  <c r="D11" i="47" a="1"/>
  <c r="C6" i="34" a="1"/>
  <c r="D4" i="52" a="1"/>
  <c r="C4" i="40" a="1"/>
  <c r="D4" i="51" a="1"/>
  <c r="B4" i="50" l="1"/>
  <c r="D4" i="57"/>
  <c r="B4" i="57" s="1"/>
  <c r="C5" i="50"/>
  <c r="D7" i="49"/>
  <c r="B7" i="49" s="1"/>
  <c r="D4" i="56"/>
  <c r="E5" i="55"/>
  <c r="B4" i="55"/>
  <c r="C16" i="47"/>
  <c r="D4" i="53"/>
  <c r="D4" i="52"/>
  <c r="B4" i="52" s="1"/>
  <c r="D11" i="47"/>
  <c r="B11" i="47" s="1"/>
  <c r="D4" i="51"/>
  <c r="B4" i="51" s="1"/>
  <c r="D4" i="49"/>
  <c r="D4" i="48"/>
  <c r="E5" i="48" s="1"/>
  <c r="D4" i="47"/>
  <c r="E5" i="45"/>
  <c r="B4" i="45"/>
  <c r="D4" i="43"/>
  <c r="E5" i="43" s="1"/>
  <c r="D20" i="36"/>
  <c r="E22" i="36" s="1"/>
  <c r="C4" i="41"/>
  <c r="C4" i="42"/>
  <c r="C4" i="40"/>
  <c r="D14" i="36"/>
  <c r="E15" i="36" s="1"/>
  <c r="D2" i="39"/>
  <c r="B2" i="39" a="1"/>
  <c r="B2" i="39" s="1"/>
  <c r="G41" i="5" s="1"/>
  <c r="B4" i="36"/>
  <c r="B14" i="34"/>
  <c r="E15" i="34"/>
  <c r="B4" i="34"/>
  <c r="C5" i="36"/>
  <c r="E8" i="34"/>
  <c r="E10" i="34" s="1"/>
  <c r="E9" i="34"/>
  <c r="C6" i="34"/>
  <c r="D6" i="34" a="1"/>
  <c r="D16" i="47" a="1"/>
  <c r="D5" i="50" a="1"/>
  <c r="D4" i="40" a="1"/>
  <c r="C9" i="34" a="1"/>
  <c r="C8" i="34" a="1"/>
  <c r="C22" i="36" a="1"/>
  <c r="C15" i="36" a="1"/>
  <c r="C5" i="43" a="1"/>
  <c r="D5" i="36" a="1"/>
  <c r="D4" i="42" a="1"/>
  <c r="C15" i="34" a="1"/>
  <c r="C5" i="55" a="1"/>
  <c r="C5" i="45" a="1"/>
  <c r="D4" i="41" a="1"/>
  <c r="E5" i="53" l="1"/>
  <c r="E5" i="57"/>
  <c r="D5" i="50"/>
  <c r="B5" i="50" s="1"/>
  <c r="E5" i="56"/>
  <c r="C5" i="55"/>
  <c r="B4" i="53"/>
  <c r="D16" i="47"/>
  <c r="E17" i="47" s="1"/>
  <c r="E5" i="52"/>
  <c r="B4" i="48"/>
  <c r="B4" i="49"/>
  <c r="E5" i="51"/>
  <c r="E5" i="49"/>
  <c r="E2" i="49" s="1"/>
  <c r="B4" i="43"/>
  <c r="B4" i="47"/>
  <c r="E5" i="47"/>
  <c r="C5" i="43"/>
  <c r="C22" i="36"/>
  <c r="C5" i="45"/>
  <c r="B20" i="36"/>
  <c r="E21" i="36"/>
  <c r="D4" i="41"/>
  <c r="E5" i="41" s="1"/>
  <c r="D4" i="42"/>
  <c r="D4" i="40"/>
  <c r="C15" i="36"/>
  <c r="F2" i="39" a="1"/>
  <c r="F2" i="39" s="1"/>
  <c r="K41" i="5" s="1"/>
  <c r="I41" i="5"/>
  <c r="C15" i="34"/>
  <c r="D5" i="36"/>
  <c r="C9" i="34"/>
  <c r="C8" i="34"/>
  <c r="D6" i="34"/>
  <c r="D15" i="34" a="1"/>
  <c r="C5" i="49" a="1"/>
  <c r="C17" i="47" a="1"/>
  <c r="C5" i="47" a="1"/>
  <c r="D5" i="55" a="1"/>
  <c r="C5" i="48" a="1"/>
  <c r="C5" i="56" a="1"/>
  <c r="D22" i="36" a="1"/>
  <c r="C5" i="53" a="1"/>
  <c r="C21" i="36" a="1"/>
  <c r="C5" i="52" a="1"/>
  <c r="D5" i="45" a="1"/>
  <c r="D5" i="43" a="1"/>
  <c r="D15" i="36" a="1"/>
  <c r="D9" i="34" a="1"/>
  <c r="C5" i="57" a="1"/>
  <c r="C10" i="34" a="1"/>
  <c r="D8" i="34" a="1"/>
  <c r="C5" i="51" a="1"/>
  <c r="C5" i="53" l="1"/>
  <c r="C5" i="57"/>
  <c r="E6" i="50"/>
  <c r="C5" i="56"/>
  <c r="D5" i="55"/>
  <c r="B5" i="55" s="1"/>
  <c r="C17" i="47"/>
  <c r="C5" i="52"/>
  <c r="C5" i="51"/>
  <c r="C5" i="48"/>
  <c r="C5" i="49"/>
  <c r="B4" i="41"/>
  <c r="E5" i="42"/>
  <c r="B4" i="42"/>
  <c r="D22" i="36"/>
  <c r="D5" i="43"/>
  <c r="E6" i="43" s="1"/>
  <c r="C5" i="47"/>
  <c r="D5" i="45"/>
  <c r="E6" i="45" s="1"/>
  <c r="C21" i="36"/>
  <c r="B4" i="40"/>
  <c r="E6" i="36"/>
  <c r="E5" i="40"/>
  <c r="B5" i="36"/>
  <c r="D15" i="36"/>
  <c r="D15" i="34"/>
  <c r="C10" i="34"/>
  <c r="D8" i="34"/>
  <c r="E12" i="34" s="1"/>
  <c r="D9" i="34"/>
  <c r="E13" i="34" s="1"/>
  <c r="E4" i="23"/>
  <c r="E2" i="23"/>
  <c r="E2" i="22"/>
  <c r="E2" i="17"/>
  <c r="E2" i="15"/>
  <c r="E2" i="14"/>
  <c r="C4" i="29" a="1"/>
  <c r="C6" i="36" a="1"/>
  <c r="C3" i="31" a="1"/>
  <c r="C3" i="32" a="1"/>
  <c r="D5" i="49" a="1"/>
  <c r="C3" i="29" a="1"/>
  <c r="C5" i="28" a="1"/>
  <c r="D5" i="53" a="1"/>
  <c r="C2" i="14" a="1"/>
  <c r="C3" i="15" a="1"/>
  <c r="C3" i="16" a="1"/>
  <c r="C3" i="19" a="1"/>
  <c r="C6" i="50" a="1"/>
  <c r="C8" i="31" a="1"/>
  <c r="C6" i="28" a="1"/>
  <c r="C11" i="10" a="1"/>
  <c r="C2" i="17" a="1"/>
  <c r="C12" i="28" a="1"/>
  <c r="C11" i="29" a="1"/>
  <c r="C3" i="17" a="1"/>
  <c r="C11" i="30" a="1"/>
  <c r="C3" i="22" a="1"/>
  <c r="C3" i="18" a="1"/>
  <c r="C6" i="45" a="1"/>
  <c r="C7" i="18" a="1"/>
  <c r="C2" i="22" a="1"/>
  <c r="C4" i="31" a="1"/>
  <c r="C2" i="16" a="1"/>
  <c r="C3" i="20" a="1"/>
  <c r="C3" i="14" a="1"/>
  <c r="C6" i="43" a="1"/>
  <c r="C14" i="18" a="1"/>
  <c r="C16" i="18" a="1"/>
  <c r="D10" i="34" a="1"/>
  <c r="D5" i="48" a="1"/>
  <c r="C4" i="16" a="1"/>
  <c r="C2" i="15" a="1"/>
  <c r="H22" i="5" a="1"/>
  <c r="C5" i="42" a="1"/>
  <c r="C3" i="25" a="1"/>
  <c r="C15" i="18" a="1"/>
  <c r="C3" i="26" a="1"/>
  <c r="C5" i="40" a="1"/>
  <c r="C3" i="27" a="1"/>
  <c r="C6" i="20" a="1"/>
  <c r="C13" i="28" a="1"/>
  <c r="C9" i="10" a="1"/>
  <c r="C12" i="34" a="1"/>
  <c r="D5" i="56" a="1"/>
  <c r="C16" i="36" a="1"/>
  <c r="D5" i="52" a="1"/>
  <c r="D21" i="36" a="1"/>
  <c r="C3" i="23" a="1"/>
  <c r="C5" i="17" a="1"/>
  <c r="C3" i="21" a="1"/>
  <c r="C2" i="23" a="1"/>
  <c r="C3" i="24" a="1"/>
  <c r="C5" i="41" a="1"/>
  <c r="D5" i="57" a="1"/>
  <c r="C13" i="29" a="1"/>
  <c r="I8" i="5" a="1"/>
  <c r="D17" i="47" a="1"/>
  <c r="C6" i="29" a="1"/>
  <c r="D5" i="51" a="1"/>
  <c r="C10" i="29" a="1"/>
  <c r="C3" i="33" a="1"/>
  <c r="D5" i="47" a="1"/>
  <c r="D5" i="53" l="1"/>
  <c r="B5" i="53" s="1"/>
  <c r="C5" i="41"/>
  <c r="D5" i="57"/>
  <c r="B5" i="57" s="1"/>
  <c r="C6" i="50"/>
  <c r="D5" i="56"/>
  <c r="B5" i="56" s="1"/>
  <c r="E6" i="55"/>
  <c r="D17" i="47"/>
  <c r="E18" i="47" s="1"/>
  <c r="D5" i="52"/>
  <c r="D5" i="51"/>
  <c r="B5" i="51" s="1"/>
  <c r="D5" i="49"/>
  <c r="D2" i="49" s="1"/>
  <c r="D5" i="48"/>
  <c r="E6" i="48" s="1"/>
  <c r="B5" i="43"/>
  <c r="C5" i="42"/>
  <c r="C6" i="45"/>
  <c r="D5" i="47"/>
  <c r="C6" i="43"/>
  <c r="B22" i="36"/>
  <c r="E23" i="36"/>
  <c r="D21" i="36"/>
  <c r="C6" i="36"/>
  <c r="C5" i="40"/>
  <c r="B15" i="36"/>
  <c r="C16" i="36"/>
  <c r="B9" i="34"/>
  <c r="E16" i="34"/>
  <c r="C12" i="34"/>
  <c r="D10" i="34"/>
  <c r="E11" i="34"/>
  <c r="C11" i="30"/>
  <c r="C8" i="31"/>
  <c r="C3" i="33"/>
  <c r="C3" i="32"/>
  <c r="C3" i="31"/>
  <c r="C4" i="31"/>
  <c r="C13" i="29"/>
  <c r="C13" i="28"/>
  <c r="C12" i="28"/>
  <c r="C11" i="29"/>
  <c r="C10" i="29"/>
  <c r="C4" i="29"/>
  <c r="C6" i="28"/>
  <c r="C3" i="29"/>
  <c r="C6" i="29"/>
  <c r="C5" i="28"/>
  <c r="C3" i="27"/>
  <c r="C15" i="18"/>
  <c r="C14" i="18"/>
  <c r="C16" i="18"/>
  <c r="C3" i="26"/>
  <c r="C3" i="25"/>
  <c r="C3" i="24"/>
  <c r="C3" i="23"/>
  <c r="C2" i="23"/>
  <c r="C6" i="20"/>
  <c r="H22" i="5"/>
  <c r="C11" i="10"/>
  <c r="C3" i="22"/>
  <c r="C2" i="22"/>
  <c r="C3" i="21"/>
  <c r="C9" i="10"/>
  <c r="C3" i="20"/>
  <c r="C3" i="19"/>
  <c r="C7" i="18"/>
  <c r="C3" i="18"/>
  <c r="C3" i="17"/>
  <c r="C5" i="17"/>
  <c r="C3" i="16"/>
  <c r="C2" i="17"/>
  <c r="C3" i="15"/>
  <c r="C4" i="16"/>
  <c r="C2" i="15"/>
  <c r="C2" i="16"/>
  <c r="I8" i="5"/>
  <c r="C3" i="14"/>
  <c r="C2" i="14"/>
  <c r="E2" i="12"/>
  <c r="E2" i="10"/>
  <c r="E2" i="6"/>
  <c r="D3" i="21" a="1"/>
  <c r="D3" i="20" a="1"/>
  <c r="D3" i="17" a="1"/>
  <c r="C2" i="12" a="1"/>
  <c r="D3" i="19" a="1"/>
  <c r="D6" i="50" a="1"/>
  <c r="C18" i="47" a="1"/>
  <c r="D5" i="28" a="1"/>
  <c r="I22" i="5" a="1"/>
  <c r="D15" i="18" a="1"/>
  <c r="C13" i="34" a="1"/>
  <c r="D3" i="27" a="1"/>
  <c r="D3" i="29" a="1"/>
  <c r="D3" i="18" a="1"/>
  <c r="C3" i="11" a="1"/>
  <c r="C2" i="11" a="1"/>
  <c r="D3" i="33" a="1"/>
  <c r="D3" i="15" a="1"/>
  <c r="D6" i="43" a="1"/>
  <c r="D12" i="34" a="1"/>
  <c r="D6" i="45" a="1"/>
  <c r="D12" i="28" a="1"/>
  <c r="D6" i="20" a="1"/>
  <c r="D3" i="24" a="1"/>
  <c r="C3" i="12" a="1"/>
  <c r="D5" i="42" a="1"/>
  <c r="H9" i="5" a="1"/>
  <c r="C3" i="6" a="1"/>
  <c r="D4" i="29" a="1"/>
  <c r="D5" i="41" a="1"/>
  <c r="C11" i="34" a="1"/>
  <c r="C6" i="55" a="1"/>
  <c r="D5" i="40" a="1"/>
  <c r="D9" i="10" a="1"/>
  <c r="D11" i="10" a="1"/>
  <c r="D5" i="17" a="1"/>
  <c r="C6" i="48" a="1"/>
  <c r="D11" i="29" a="1"/>
  <c r="D3" i="31" a="1"/>
  <c r="D13" i="29" a="1"/>
  <c r="D4" i="31" a="1"/>
  <c r="H11" i="5" a="1"/>
  <c r="D13" i="28" a="1"/>
  <c r="D3" i="25" a="1"/>
  <c r="C3" i="10" a="1"/>
  <c r="C3" i="30" a="1"/>
  <c r="D6" i="29" a="1"/>
  <c r="H15" i="5" a="1"/>
  <c r="D3" i="23" a="1"/>
  <c r="D3" i="32" a="1"/>
  <c r="D11" i="30" a="1"/>
  <c r="D4" i="16" a="1"/>
  <c r="D10" i="29" a="1"/>
  <c r="D3" i="26" a="1"/>
  <c r="C2" i="10" a="1"/>
  <c r="D6" i="28" a="1"/>
  <c r="D16" i="36" a="1"/>
  <c r="H10" i="5" a="1"/>
  <c r="D3" i="14" a="1"/>
  <c r="D14" i="18" a="1"/>
  <c r="D3" i="22" a="1"/>
  <c r="H16" i="5" a="1"/>
  <c r="C2" i="6" a="1"/>
  <c r="D16" i="18" a="1"/>
  <c r="D6" i="36" a="1"/>
  <c r="D8" i="31" a="1"/>
  <c r="D3" i="16" a="1"/>
  <c r="E6" i="53" l="1"/>
  <c r="D5" i="41"/>
  <c r="E6" i="57"/>
  <c r="D6" i="50"/>
  <c r="B6" i="50" s="1"/>
  <c r="E6" i="56"/>
  <c r="C6" i="55"/>
  <c r="C18" i="47"/>
  <c r="E6" i="52"/>
  <c r="B5" i="52"/>
  <c r="B5" i="48"/>
  <c r="E6" i="51"/>
  <c r="C6" i="48"/>
  <c r="B5" i="49"/>
  <c r="B2" i="49" s="1" a="1"/>
  <c r="B2" i="49" s="1"/>
  <c r="D5" i="42"/>
  <c r="E6" i="42" s="1"/>
  <c r="B5" i="47"/>
  <c r="E6" i="47"/>
  <c r="D6" i="45"/>
  <c r="E7" i="45" s="1"/>
  <c r="D6" i="43"/>
  <c r="E7" i="43" s="1"/>
  <c r="B21" i="36"/>
  <c r="D6" i="36"/>
  <c r="D5" i="40"/>
  <c r="D16" i="36"/>
  <c r="E17" i="36" s="1"/>
  <c r="C13" i="34"/>
  <c r="C11" i="34"/>
  <c r="D12" i="34"/>
  <c r="B12" i="34" s="1"/>
  <c r="D11" i="30"/>
  <c r="E12" i="30" s="1"/>
  <c r="D8" i="31"/>
  <c r="D3" i="33"/>
  <c r="D3" i="32"/>
  <c r="E4" i="32" s="1"/>
  <c r="D4" i="31"/>
  <c r="D3" i="31"/>
  <c r="B3" i="31" s="1"/>
  <c r="D13" i="29"/>
  <c r="E14" i="29" s="1"/>
  <c r="D13" i="28"/>
  <c r="B13" i="28" s="1"/>
  <c r="D12" i="28"/>
  <c r="B12" i="28" s="1"/>
  <c r="D11" i="29"/>
  <c r="D10" i="29"/>
  <c r="B10" i="29" s="1"/>
  <c r="C3" i="30"/>
  <c r="D4" i="29"/>
  <c r="D6" i="28"/>
  <c r="D3" i="29"/>
  <c r="D6" i="29"/>
  <c r="B6" i="29" s="1"/>
  <c r="D5" i="28"/>
  <c r="B5" i="28" s="1"/>
  <c r="D3" i="27"/>
  <c r="B3" i="27" s="1"/>
  <c r="D16" i="18"/>
  <c r="D14" i="18"/>
  <c r="D15" i="18"/>
  <c r="D3" i="26"/>
  <c r="E4" i="26" s="1"/>
  <c r="D3" i="25"/>
  <c r="D3" i="24"/>
  <c r="B3" i="24" s="1"/>
  <c r="D3" i="23"/>
  <c r="D6" i="20"/>
  <c r="D11" i="10"/>
  <c r="D3" i="22"/>
  <c r="B3" i="22" s="1"/>
  <c r="D3" i="21"/>
  <c r="D9" i="10"/>
  <c r="E10" i="10" s="1"/>
  <c r="D3" i="20"/>
  <c r="B3" i="20" s="1"/>
  <c r="D3" i="19"/>
  <c r="E4" i="19" s="1"/>
  <c r="D3" i="18"/>
  <c r="E4" i="18" s="1"/>
  <c r="I22" i="5"/>
  <c r="D3" i="15"/>
  <c r="B3" i="15" s="1"/>
  <c r="D3" i="16"/>
  <c r="B3" i="16" s="1"/>
  <c r="D5" i="17"/>
  <c r="B5" i="17" s="1"/>
  <c r="D4" i="16"/>
  <c r="E5" i="16" s="1"/>
  <c r="D3" i="17"/>
  <c r="D3" i="14"/>
  <c r="C3" i="12"/>
  <c r="C2" i="12"/>
  <c r="C2" i="11"/>
  <c r="C3" i="11"/>
  <c r="C3" i="10"/>
  <c r="C2" i="10"/>
  <c r="C2" i="6"/>
  <c r="C3" i="6"/>
  <c r="H15" i="5"/>
  <c r="H10" i="5"/>
  <c r="H11" i="5"/>
  <c r="H16" i="5"/>
  <c r="H9" i="5"/>
  <c r="C6" i="47" a="1"/>
  <c r="C6" i="56" a="1"/>
  <c r="C6" i="52" a="1"/>
  <c r="C7" i="43" a="1"/>
  <c r="I16" i="5" a="1"/>
  <c r="C6" i="42" a="1"/>
  <c r="C5" i="33" a="1"/>
  <c r="D13" i="34" a="1"/>
  <c r="C6" i="53" a="1"/>
  <c r="D3" i="11" a="1"/>
  <c r="C12" i="30" a="1"/>
  <c r="C4" i="18" a="1"/>
  <c r="C17" i="36" a="1"/>
  <c r="C4" i="33" a="1"/>
  <c r="C4" i="32" a="1"/>
  <c r="D3" i="30" a="1"/>
  <c r="I10" i="5" a="1"/>
  <c r="C23" i="36" a="1"/>
  <c r="D6" i="55" a="1"/>
  <c r="D3" i="12" a="1"/>
  <c r="C13" i="18" a="1"/>
  <c r="D6" i="48" a="1"/>
  <c r="D18" i="47" a="1"/>
  <c r="I15" i="5" a="1"/>
  <c r="D3" i="6" a="1"/>
  <c r="C5" i="16" a="1"/>
  <c r="I11" i="5" a="1"/>
  <c r="C6" i="57" a="1"/>
  <c r="C14" i="29" a="1"/>
  <c r="C6" i="51" a="1"/>
  <c r="C7" i="45" a="1"/>
  <c r="I9" i="5" a="1"/>
  <c r="C13" i="31" a="1"/>
  <c r="D11" i="34" a="1"/>
  <c r="C10" i="10" a="1"/>
  <c r="D3" i="10" a="1"/>
  <c r="B5" i="41" l="1"/>
  <c r="E6" i="41"/>
  <c r="C6" i="53"/>
  <c r="C6" i="57"/>
  <c r="E7" i="50"/>
  <c r="C6" i="56"/>
  <c r="D6" i="55"/>
  <c r="B6" i="55" s="1"/>
  <c r="D18" i="47"/>
  <c r="C6" i="52"/>
  <c r="C6" i="51"/>
  <c r="D6" i="48"/>
  <c r="E7" i="48" s="1"/>
  <c r="B6" i="43"/>
  <c r="C7" i="43"/>
  <c r="B5" i="42"/>
  <c r="C6" i="42"/>
  <c r="C6" i="47"/>
  <c r="C7" i="45"/>
  <c r="E2" i="45"/>
  <c r="B6" i="45"/>
  <c r="C23" i="36"/>
  <c r="E6" i="40"/>
  <c r="C17" i="36"/>
  <c r="B5" i="40"/>
  <c r="E7" i="36"/>
  <c r="E12" i="29"/>
  <c r="B16" i="36"/>
  <c r="C12" i="30"/>
  <c r="D11" i="34"/>
  <c r="D13" i="34"/>
  <c r="C13" i="31"/>
  <c r="C4" i="33"/>
  <c r="C5" i="33"/>
  <c r="B3" i="33"/>
  <c r="C4" i="32"/>
  <c r="B3" i="29"/>
  <c r="B3" i="32"/>
  <c r="B4" i="31"/>
  <c r="E5" i="31"/>
  <c r="C14" i="29"/>
  <c r="D3" i="30"/>
  <c r="B3" i="30" s="1"/>
  <c r="E4" i="27"/>
  <c r="E5" i="29"/>
  <c r="E4" i="25"/>
  <c r="C13" i="18"/>
  <c r="E4" i="22"/>
  <c r="E4" i="24"/>
  <c r="B3" i="23"/>
  <c r="E5" i="23"/>
  <c r="C10" i="10"/>
  <c r="E7" i="20"/>
  <c r="E4" i="21"/>
  <c r="B3" i="19"/>
  <c r="E4" i="20"/>
  <c r="B3" i="18"/>
  <c r="C4" i="18"/>
  <c r="E4" i="17"/>
  <c r="E4" i="14"/>
  <c r="C5" i="16"/>
  <c r="B3" i="17"/>
  <c r="B4" i="16"/>
  <c r="E4" i="15"/>
  <c r="I10" i="5"/>
  <c r="I9" i="5"/>
  <c r="I11" i="5"/>
  <c r="I15" i="5"/>
  <c r="I16" i="5"/>
  <c r="D3" i="11"/>
  <c r="B3" i="14"/>
  <c r="D3" i="12"/>
  <c r="D3" i="10"/>
  <c r="D3" i="6"/>
  <c r="C6" i="41" a="1"/>
  <c r="D6" i="56" a="1"/>
  <c r="C7" i="36" a="1"/>
  <c r="C4" i="14" a="1"/>
  <c r="D6" i="53" a="1"/>
  <c r="D5" i="16" a="1"/>
  <c r="C4" i="21" a="1"/>
  <c r="D6" i="52" a="1"/>
  <c r="D7" i="43" a="1"/>
  <c r="D7" i="45" a="1"/>
  <c r="D12" i="30" a="1"/>
  <c r="D4" i="32" a="1"/>
  <c r="C12" i="29" a="1"/>
  <c r="D13" i="18" a="1"/>
  <c r="C3" i="28" a="1"/>
  <c r="C7" i="48" a="1"/>
  <c r="D5" i="33" a="1"/>
  <c r="C7" i="50" a="1"/>
  <c r="C4" i="27" a="1"/>
  <c r="C5" i="31" a="1"/>
  <c r="C4" i="25" a="1"/>
  <c r="D13" i="31" a="1"/>
  <c r="C2" i="49" a="1"/>
  <c r="D23" i="36" a="1"/>
  <c r="D6" i="42" a="1"/>
  <c r="D4" i="33" a="1"/>
  <c r="D14" i="29" a="1"/>
  <c r="C4" i="15" a="1"/>
  <c r="C5" i="29" a="1"/>
  <c r="C2" i="45" a="1"/>
  <c r="D4" i="18" a="1"/>
  <c r="D6" i="57" a="1"/>
  <c r="C4" i="30" a="1"/>
  <c r="C4" i="22" a="1"/>
  <c r="D6" i="47" a="1"/>
  <c r="C4" i="26" a="1"/>
  <c r="C4" i="19" a="1"/>
  <c r="D17" i="36" a="1"/>
  <c r="C4" i="24" a="1"/>
  <c r="C4" i="20" a="1"/>
  <c r="D6" i="51" a="1"/>
  <c r="D10" i="10" a="1"/>
  <c r="C4" i="17" a="1"/>
  <c r="C4" i="23" a="1"/>
  <c r="C6" i="40" a="1"/>
  <c r="C6" i="41" l="1"/>
  <c r="D6" i="53"/>
  <c r="E2" i="41"/>
  <c r="D6" i="57"/>
  <c r="E7" i="57" s="1"/>
  <c r="C7" i="50"/>
  <c r="D6" i="56"/>
  <c r="E7" i="55"/>
  <c r="D6" i="52"/>
  <c r="B6" i="48"/>
  <c r="D6" i="51"/>
  <c r="B6" i="51" s="1"/>
  <c r="C2" i="49"/>
  <c r="C7" i="48"/>
  <c r="D7" i="43"/>
  <c r="B7" i="43" s="1"/>
  <c r="D6" i="42"/>
  <c r="D6" i="47"/>
  <c r="D7" i="45"/>
  <c r="D2" i="45" s="1"/>
  <c r="C2" i="45"/>
  <c r="D23" i="36"/>
  <c r="C6" i="40"/>
  <c r="D17" i="36"/>
  <c r="C7" i="36"/>
  <c r="E2" i="42"/>
  <c r="C12" i="29"/>
  <c r="B13" i="34"/>
  <c r="D12" i="30"/>
  <c r="E13" i="30" s="1"/>
  <c r="D13" i="31"/>
  <c r="B13" i="31" s="1"/>
  <c r="D4" i="33"/>
  <c r="B4" i="33" s="1"/>
  <c r="D5" i="33"/>
  <c r="D4" i="32"/>
  <c r="E5" i="32" s="1"/>
  <c r="C5" i="31"/>
  <c r="D14" i="29"/>
  <c r="B14" i="29" s="1"/>
  <c r="C4" i="30"/>
  <c r="C5" i="29"/>
  <c r="C3" i="28"/>
  <c r="C4" i="27"/>
  <c r="D13" i="18"/>
  <c r="B13" i="18" s="1"/>
  <c r="C4" i="26"/>
  <c r="C4" i="25"/>
  <c r="C4" i="22"/>
  <c r="C4" i="24"/>
  <c r="C4" i="23"/>
  <c r="D10" i="10"/>
  <c r="C4" i="21"/>
  <c r="C4" i="20"/>
  <c r="C4" i="19"/>
  <c r="E4" i="12"/>
  <c r="D4" i="18"/>
  <c r="B4" i="18" s="1"/>
  <c r="C4" i="14"/>
  <c r="C4" i="17"/>
  <c r="E4" i="6"/>
  <c r="E4" i="10"/>
  <c r="E4" i="11"/>
  <c r="C4" i="15"/>
  <c r="D5" i="16"/>
  <c r="B5" i="16" s="1"/>
  <c r="B3" i="6"/>
  <c r="B3" i="10"/>
  <c r="D6" i="41" a="1"/>
  <c r="D4" i="17" a="1"/>
  <c r="D7" i="48" a="1"/>
  <c r="C7" i="55" a="1"/>
  <c r="D4" i="27" a="1"/>
  <c r="D4" i="30" a="1"/>
  <c r="D7" i="50" a="1"/>
  <c r="C2" i="41" a="1"/>
  <c r="D7" i="36" a="1"/>
  <c r="D4" i="26" a="1"/>
  <c r="C4" i="11" a="1"/>
  <c r="D4" i="14" a="1"/>
  <c r="D4" i="19" a="1"/>
  <c r="C4" i="6" a="1"/>
  <c r="D3" i="28" a="1"/>
  <c r="D6" i="40" a="1"/>
  <c r="D4" i="25" a="1"/>
  <c r="C2" i="42" a="1"/>
  <c r="C5" i="32" a="1"/>
  <c r="C7" i="57" a="1"/>
  <c r="D12" i="29" a="1"/>
  <c r="C4" i="12" a="1"/>
  <c r="D4" i="21" a="1"/>
  <c r="D4" i="23" a="1"/>
  <c r="D4" i="24" a="1"/>
  <c r="D4" i="15" a="1"/>
  <c r="C4" i="10" a="1"/>
  <c r="C13" i="30" a="1"/>
  <c r="D4" i="22" a="1"/>
  <c r="D5" i="29" a="1"/>
  <c r="D5" i="31" a="1"/>
  <c r="C16" i="34" a="1"/>
  <c r="D4" i="20" a="1"/>
  <c r="D6" i="41" l="1"/>
  <c r="B6" i="41" s="1"/>
  <c r="C7" i="57"/>
  <c r="E7" i="53"/>
  <c r="B6" i="53"/>
  <c r="C2" i="41"/>
  <c r="B6" i="57"/>
  <c r="D7" i="50"/>
  <c r="B7" i="50" s="1"/>
  <c r="E7" i="56"/>
  <c r="C7" i="55"/>
  <c r="E2" i="55"/>
  <c r="B6" i="52"/>
  <c r="E7" i="52"/>
  <c r="E2" i="52" s="1"/>
  <c r="D7" i="48"/>
  <c r="E8" i="48" s="1"/>
  <c r="B23" i="36"/>
  <c r="E24" i="36"/>
  <c r="F2" i="49" a="1"/>
  <c r="F2" i="49" s="1"/>
  <c r="G50" i="5" s="1" a="1"/>
  <c r="E8" i="43"/>
  <c r="E7" i="47"/>
  <c r="F2" i="45" a="1"/>
  <c r="F2" i="45" s="1"/>
  <c r="B7" i="45"/>
  <c r="B2" i="45" s="1" a="1"/>
  <c r="B2" i="45" s="1"/>
  <c r="B17" i="36"/>
  <c r="D6" i="40"/>
  <c r="E7" i="40" s="1"/>
  <c r="D7" i="36"/>
  <c r="C2" i="42"/>
  <c r="D12" i="29"/>
  <c r="B12" i="29" s="1"/>
  <c r="E2" i="37"/>
  <c r="C16" i="34"/>
  <c r="E2" i="34"/>
  <c r="C13" i="30"/>
  <c r="B5" i="33"/>
  <c r="E6" i="33"/>
  <c r="C5" i="32"/>
  <c r="B4" i="32"/>
  <c r="D5" i="31"/>
  <c r="D4" i="30"/>
  <c r="D5" i="29"/>
  <c r="D3" i="28"/>
  <c r="D4" i="27"/>
  <c r="E5" i="27" s="1"/>
  <c r="D4" i="26"/>
  <c r="D4" i="25"/>
  <c r="D4" i="22"/>
  <c r="D4" i="24"/>
  <c r="B4" i="24" s="1"/>
  <c r="D4" i="23"/>
  <c r="D4" i="21"/>
  <c r="D4" i="20"/>
  <c r="E5" i="20" s="1"/>
  <c r="D4" i="19"/>
  <c r="C4" i="12"/>
  <c r="E5" i="18"/>
  <c r="E2" i="18" s="1"/>
  <c r="C4" i="11"/>
  <c r="C4" i="10"/>
  <c r="C4" i="6"/>
  <c r="D4" i="17"/>
  <c r="D4" i="14"/>
  <c r="B4" i="14" s="1"/>
  <c r="E6" i="16"/>
  <c r="D4" i="15"/>
  <c r="C5" i="18" a="1"/>
  <c r="C6" i="33" a="1"/>
  <c r="D16" i="34" a="1"/>
  <c r="D4" i="10" a="1"/>
  <c r="C6" i="16" a="1"/>
  <c r="C2" i="52" a="1"/>
  <c r="C5" i="20" a="1"/>
  <c r="D5" i="32" a="1"/>
  <c r="C7" i="53" a="1"/>
  <c r="D13" i="30" a="1"/>
  <c r="C2" i="55" a="1"/>
  <c r="D7" i="57" a="1"/>
  <c r="C2" i="37" a="1"/>
  <c r="C7" i="40" a="1"/>
  <c r="C7" i="56" a="1"/>
  <c r="C2" i="18" a="1"/>
  <c r="C7" i="47" a="1"/>
  <c r="D7" i="55" a="1"/>
  <c r="D4" i="6" a="1"/>
  <c r="C8" i="48" a="1"/>
  <c r="D4" i="12" a="1"/>
  <c r="D4" i="11" a="1"/>
  <c r="C8" i="43" a="1"/>
  <c r="C7" i="52" a="1"/>
  <c r="D2" i="41" l="1"/>
  <c r="F2" i="41" a="1"/>
  <c r="F2" i="41" s="1"/>
  <c r="D7" i="57"/>
  <c r="E8" i="57" s="1"/>
  <c r="B2" i="41" a="1"/>
  <c r="B2" i="41" s="1"/>
  <c r="C7" i="53"/>
  <c r="E8" i="50"/>
  <c r="C7" i="56"/>
  <c r="E2" i="56"/>
  <c r="C2" i="55"/>
  <c r="D7" i="55"/>
  <c r="B7" i="55" s="1"/>
  <c r="B7" i="48"/>
  <c r="G50" i="5"/>
  <c r="I50" i="5"/>
  <c r="J50" i="5"/>
  <c r="H50" i="5"/>
  <c r="K50" i="5"/>
  <c r="C2" i="52"/>
  <c r="C8" i="48"/>
  <c r="C7" i="52"/>
  <c r="C8" i="43"/>
  <c r="C7" i="47"/>
  <c r="G47" i="5" a="1"/>
  <c r="G47" i="5" s="1"/>
  <c r="C7" i="40"/>
  <c r="B6" i="40"/>
  <c r="E8" i="36"/>
  <c r="D2" i="42"/>
  <c r="F2" i="42" s="1" a="1"/>
  <c r="F2" i="42" s="1"/>
  <c r="B2" i="42" a="1"/>
  <c r="B2" i="42" s="1"/>
  <c r="C2" i="37"/>
  <c r="B4" i="27"/>
  <c r="D16" i="34"/>
  <c r="D2" i="34" s="1"/>
  <c r="D13" i="30"/>
  <c r="C6" i="33"/>
  <c r="D5" i="32"/>
  <c r="B5" i="29"/>
  <c r="B5" i="31"/>
  <c r="E6" i="31"/>
  <c r="E2" i="31" s="1"/>
  <c r="B3" i="28"/>
  <c r="E7" i="29"/>
  <c r="E4" i="28"/>
  <c r="B4" i="20"/>
  <c r="E5" i="26"/>
  <c r="E7" i="26"/>
  <c r="E5" i="25"/>
  <c r="B4" i="22"/>
  <c r="E5" i="22"/>
  <c r="E5" i="24"/>
  <c r="B4" i="23"/>
  <c r="C5" i="20"/>
  <c r="E5" i="19"/>
  <c r="C2" i="18"/>
  <c r="E5" i="21"/>
  <c r="B4" i="19"/>
  <c r="B2" i="15" a="1"/>
  <c r="B2" i="15" s="1"/>
  <c r="D4" i="12"/>
  <c r="E5" i="12" s="1"/>
  <c r="D2" i="15"/>
  <c r="F2" i="15" s="1" a="1"/>
  <c r="C5" i="18"/>
  <c r="C6" i="16"/>
  <c r="D4" i="6"/>
  <c r="B4" i="6" s="1"/>
  <c r="D4" i="10"/>
  <c r="D4" i="11"/>
  <c r="E5" i="14"/>
  <c r="D2" i="17"/>
  <c r="B4" i="17"/>
  <c r="B2" i="17" s="1" a="1"/>
  <c r="B2" i="17" s="1"/>
  <c r="C6" i="31" a="1"/>
  <c r="C5" i="26" a="1"/>
  <c r="C8" i="36" a="1"/>
  <c r="D6" i="33" a="1"/>
  <c r="C5" i="24" a="1"/>
  <c r="D5" i="18" a="1"/>
  <c r="C2" i="56" a="1"/>
  <c r="C5" i="30" a="1"/>
  <c r="C5" i="27" a="1"/>
  <c r="C5" i="23" a="1"/>
  <c r="C7" i="26" a="1"/>
  <c r="D5" i="20" a="1"/>
  <c r="C5" i="19" a="1"/>
  <c r="D7" i="56" a="1"/>
  <c r="D8" i="43" a="1"/>
  <c r="C8" i="57" a="1"/>
  <c r="D7" i="40" a="1"/>
  <c r="D7" i="47" a="1"/>
  <c r="C5" i="14" a="1"/>
  <c r="C5" i="12" a="1"/>
  <c r="C5" i="21" a="1"/>
  <c r="D6" i="16" a="1"/>
  <c r="C2" i="34" a="1"/>
  <c r="D8" i="48" a="1"/>
  <c r="C4" i="28" a="1"/>
  <c r="D7" i="53" a="1"/>
  <c r="C5" i="22" a="1"/>
  <c r="C8" i="50" a="1"/>
  <c r="C7" i="29" a="1"/>
  <c r="C7" i="31" a="1"/>
  <c r="D7" i="52" a="1"/>
  <c r="C5" i="25" a="1"/>
  <c r="B7" i="57" l="1"/>
  <c r="G44" i="5" a="1"/>
  <c r="J44" i="5" s="1"/>
  <c r="C8" i="57"/>
  <c r="D7" i="53"/>
  <c r="B7" i="53" s="1"/>
  <c r="I44" i="5"/>
  <c r="H44" i="5"/>
  <c r="K44" i="5"/>
  <c r="G44" i="5"/>
  <c r="C8" i="50"/>
  <c r="D7" i="56"/>
  <c r="B7" i="56" s="1"/>
  <c r="C2" i="56"/>
  <c r="E8" i="55"/>
  <c r="J47" i="5"/>
  <c r="H47" i="5"/>
  <c r="I47" i="5"/>
  <c r="K47" i="5"/>
  <c r="D8" i="48"/>
  <c r="B8" i="48" s="1"/>
  <c r="D7" i="52"/>
  <c r="B7" i="52" s="1"/>
  <c r="D8" i="43"/>
  <c r="E9" i="43" s="1"/>
  <c r="D7" i="47"/>
  <c r="E8" i="47" s="1"/>
  <c r="D7" i="40"/>
  <c r="E8" i="40" s="1"/>
  <c r="G45" i="5" a="1"/>
  <c r="H45" i="5" s="1"/>
  <c r="C8" i="36"/>
  <c r="B2" i="37" a="1"/>
  <c r="B2" i="37" s="1"/>
  <c r="G42" i="5" s="1" a="1"/>
  <c r="D2" i="37"/>
  <c r="F2" i="37" s="1" a="1"/>
  <c r="F2" i="37" s="1"/>
  <c r="B2" i="34" a="1"/>
  <c r="B2" i="34" s="1"/>
  <c r="C2" i="34"/>
  <c r="D6" i="33"/>
  <c r="E6" i="32"/>
  <c r="C6" i="31"/>
  <c r="C7" i="31"/>
  <c r="C5" i="30"/>
  <c r="C7" i="29"/>
  <c r="C4" i="28"/>
  <c r="C5" i="27"/>
  <c r="C7" i="26"/>
  <c r="C5" i="26"/>
  <c r="E2" i="27"/>
  <c r="C5" i="25"/>
  <c r="C5" i="22"/>
  <c r="C5" i="24"/>
  <c r="C5" i="23"/>
  <c r="D5" i="20"/>
  <c r="B5" i="20" s="1"/>
  <c r="C5" i="21"/>
  <c r="B4" i="10"/>
  <c r="F2" i="15"/>
  <c r="G13" i="5" s="1" a="1"/>
  <c r="C5" i="19"/>
  <c r="C5" i="12"/>
  <c r="D5" i="18"/>
  <c r="C5" i="14"/>
  <c r="D6" i="16"/>
  <c r="E5" i="11"/>
  <c r="E5" i="10"/>
  <c r="E5" i="6"/>
  <c r="F2" i="17" a="1"/>
  <c r="C5" i="11" a="1"/>
  <c r="D5" i="30" a="1"/>
  <c r="C7" i="20" a="1"/>
  <c r="D5" i="25" a="1"/>
  <c r="C5" i="10" a="1"/>
  <c r="D4" i="28" a="1"/>
  <c r="D5" i="27" a="1"/>
  <c r="C8" i="47" a="1"/>
  <c r="C7" i="33" a="1"/>
  <c r="C9" i="43" a="1"/>
  <c r="D5" i="14" a="1"/>
  <c r="C2" i="27" a="1"/>
  <c r="C9" i="48" a="1"/>
  <c r="D8" i="57" a="1"/>
  <c r="D7" i="31" a="1"/>
  <c r="D5" i="24" a="1"/>
  <c r="D5" i="21" a="1"/>
  <c r="D5" i="19" a="1"/>
  <c r="D7" i="29" a="1"/>
  <c r="D5" i="12" a="1"/>
  <c r="D5" i="23" a="1"/>
  <c r="C5" i="6" a="1"/>
  <c r="C8" i="40" a="1"/>
  <c r="D7" i="26" a="1"/>
  <c r="C6" i="18" a="1"/>
  <c r="D8" i="36" a="1"/>
  <c r="C6" i="32" a="1"/>
  <c r="C8" i="55" a="1"/>
  <c r="D5" i="26" a="1"/>
  <c r="D8" i="50" a="1"/>
  <c r="D6" i="31" a="1"/>
  <c r="D5" i="22" a="1"/>
  <c r="D8" i="57" l="1"/>
  <c r="E9" i="57" s="1"/>
  <c r="E8" i="53"/>
  <c r="D8" i="50"/>
  <c r="B8" i="50" s="1"/>
  <c r="E8" i="56"/>
  <c r="C8" i="55"/>
  <c r="C9" i="48"/>
  <c r="C8" i="47"/>
  <c r="B8" i="43"/>
  <c r="C9" i="43"/>
  <c r="C8" i="40"/>
  <c r="B7" i="40"/>
  <c r="I45" i="5"/>
  <c r="J45" i="5"/>
  <c r="G45" i="5"/>
  <c r="K45" i="5"/>
  <c r="D8" i="36"/>
  <c r="I42" i="5"/>
  <c r="J42" i="5"/>
  <c r="K42" i="5"/>
  <c r="G42" i="5"/>
  <c r="H42" i="5"/>
  <c r="F2" i="34" a="1"/>
  <c r="F2" i="34" s="1"/>
  <c r="C7" i="33"/>
  <c r="E2" i="33"/>
  <c r="B6" i="33"/>
  <c r="C6" i="32"/>
  <c r="D6" i="31"/>
  <c r="D7" i="31"/>
  <c r="B7" i="31" s="1"/>
  <c r="D5" i="30"/>
  <c r="D7" i="29"/>
  <c r="D4" i="28"/>
  <c r="C2" i="27"/>
  <c r="D5" i="26"/>
  <c r="D7" i="26"/>
  <c r="D5" i="27"/>
  <c r="D2" i="27" s="1"/>
  <c r="D5" i="25"/>
  <c r="D5" i="22"/>
  <c r="E6" i="22" s="1"/>
  <c r="D5" i="24"/>
  <c r="D5" i="23"/>
  <c r="E6" i="23" s="1"/>
  <c r="C7" i="20"/>
  <c r="D5" i="21"/>
  <c r="D5" i="19"/>
  <c r="E7" i="19" s="1"/>
  <c r="D5" i="12"/>
  <c r="E6" i="12" s="1"/>
  <c r="C6" i="18"/>
  <c r="B5" i="18"/>
  <c r="I13" i="5"/>
  <c r="J13" i="5"/>
  <c r="H13" i="5"/>
  <c r="K13" i="5"/>
  <c r="G13" i="5"/>
  <c r="C5" i="6"/>
  <c r="C5" i="10"/>
  <c r="C5" i="11"/>
  <c r="F2" i="17"/>
  <c r="D5" i="14"/>
  <c r="E7" i="16"/>
  <c r="B6" i="16"/>
  <c r="D5" i="11" a="1"/>
  <c r="C8" i="53" a="1"/>
  <c r="D8" i="55" a="1"/>
  <c r="D7" i="33" a="1"/>
  <c r="D8" i="47" a="1"/>
  <c r="C6" i="22" a="1"/>
  <c r="D9" i="48" a="1"/>
  <c r="D9" i="43" a="1"/>
  <c r="D7" i="20" a="1"/>
  <c r="D6" i="32" a="1"/>
  <c r="D5" i="10" a="1"/>
  <c r="D5" i="6" a="1"/>
  <c r="C8" i="56" a="1"/>
  <c r="C9" i="57" a="1"/>
  <c r="D8" i="40" a="1"/>
  <c r="C6" i="12" a="1"/>
  <c r="C2" i="33" a="1"/>
  <c r="C6" i="23" a="1"/>
  <c r="C7" i="16" a="1"/>
  <c r="B8" i="57" l="1"/>
  <c r="C9" i="57"/>
  <c r="C8" i="53"/>
  <c r="E2" i="57"/>
  <c r="E9" i="50"/>
  <c r="C8" i="56"/>
  <c r="D8" i="55"/>
  <c r="D2" i="55" s="1"/>
  <c r="F2" i="55" s="1" a="1"/>
  <c r="F2" i="55" s="1"/>
  <c r="G54" i="5" a="1"/>
  <c r="D9" i="48"/>
  <c r="E10" i="48" s="1"/>
  <c r="D8" i="47"/>
  <c r="E9" i="47" s="1"/>
  <c r="D9" i="43"/>
  <c r="B9" i="43" s="1"/>
  <c r="D8" i="40"/>
  <c r="E9" i="40" s="1"/>
  <c r="E9" i="36"/>
  <c r="D2" i="31"/>
  <c r="B2" i="31" a="1"/>
  <c r="B2" i="31" s="1"/>
  <c r="G39" i="5" a="1"/>
  <c r="D7" i="33"/>
  <c r="D2" i="33" s="1"/>
  <c r="C2" i="33"/>
  <c r="D6" i="32"/>
  <c r="E6" i="30"/>
  <c r="E6" i="26"/>
  <c r="E8" i="26"/>
  <c r="B4" i="28"/>
  <c r="B7" i="29"/>
  <c r="E8" i="29"/>
  <c r="F2" i="27" a="1"/>
  <c r="F2" i="27" s="1"/>
  <c r="E7" i="28"/>
  <c r="B5" i="27"/>
  <c r="B2" i="27" s="1" a="1"/>
  <c r="B2" i="27" s="1"/>
  <c r="E6" i="25"/>
  <c r="C6" i="23"/>
  <c r="B5" i="22"/>
  <c r="C6" i="22"/>
  <c r="B5" i="24"/>
  <c r="E6" i="24"/>
  <c r="B5" i="23"/>
  <c r="D7" i="20"/>
  <c r="E6" i="21"/>
  <c r="E7" i="21"/>
  <c r="B5" i="19"/>
  <c r="B5" i="14"/>
  <c r="E6" i="14"/>
  <c r="C6" i="12"/>
  <c r="C7" i="16"/>
  <c r="D5" i="11"/>
  <c r="D5" i="10"/>
  <c r="D5" i="6"/>
  <c r="B5" i="6" s="1"/>
  <c r="D6" i="22" a="1"/>
  <c r="C6" i="25" a="1"/>
  <c r="C9" i="47" a="1"/>
  <c r="C9" i="50" a="1"/>
  <c r="C6" i="26" a="1"/>
  <c r="D7" i="16" a="1"/>
  <c r="C2" i="57" a="1"/>
  <c r="C9" i="40" a="1"/>
  <c r="C10" i="48" a="1"/>
  <c r="C6" i="30" a="1"/>
  <c r="D6" i="23" a="1"/>
  <c r="C9" i="36" a="1"/>
  <c r="C6" i="19" a="1"/>
  <c r="D9" i="57" a="1"/>
  <c r="D8" i="56" a="1"/>
  <c r="D6" i="12" a="1"/>
  <c r="C7" i="21" a="1"/>
  <c r="C6" i="21" a="1"/>
  <c r="D8" i="53" a="1"/>
  <c r="C8" i="26" a="1"/>
  <c r="C7" i="28" a="1"/>
  <c r="C8" i="29" a="1"/>
  <c r="B8" i="55" l="1"/>
  <c r="B2" i="55" s="1" a="1"/>
  <c r="B2" i="55" s="1"/>
  <c r="G55" i="5" s="1" a="1"/>
  <c r="H55" i="5"/>
  <c r="K55" i="5"/>
  <c r="I55" i="5"/>
  <c r="J55" i="5"/>
  <c r="D9" i="57"/>
  <c r="B9" i="57" s="1"/>
  <c r="B2" i="57" s="1" a="1"/>
  <c r="B2" i="57" s="1"/>
  <c r="D8" i="53"/>
  <c r="C2" i="57"/>
  <c r="C9" i="50"/>
  <c r="D8" i="56"/>
  <c r="D2" i="56" s="1"/>
  <c r="F2" i="56" s="1" a="1"/>
  <c r="F2" i="56" s="1"/>
  <c r="C10" i="48"/>
  <c r="C9" i="47"/>
  <c r="E10" i="43"/>
  <c r="B8" i="40"/>
  <c r="C9" i="40"/>
  <c r="C9" i="36"/>
  <c r="G32" i="5" a="1"/>
  <c r="G32" i="5" s="1"/>
  <c r="J39" i="5"/>
  <c r="G39" i="5"/>
  <c r="I39" i="5"/>
  <c r="H39" i="5"/>
  <c r="K39" i="5"/>
  <c r="B7" i="33"/>
  <c r="B2" i="33" s="1" a="1"/>
  <c r="B2" i="33" s="1"/>
  <c r="F2" i="33" a="1"/>
  <c r="F2" i="33" s="1"/>
  <c r="C6" i="30"/>
  <c r="C8" i="26"/>
  <c r="C6" i="26"/>
  <c r="C8" i="29"/>
  <c r="C7" i="28"/>
  <c r="C6" i="25"/>
  <c r="D6" i="23"/>
  <c r="E7" i="23" s="1"/>
  <c r="D6" i="22"/>
  <c r="B6" i="22" s="1"/>
  <c r="D7" i="16"/>
  <c r="D2" i="16" s="1"/>
  <c r="F2" i="16" s="1" a="1"/>
  <c r="F2" i="16" s="1"/>
  <c r="E8" i="20"/>
  <c r="B7" i="20"/>
  <c r="C6" i="21"/>
  <c r="C7" i="21"/>
  <c r="C6" i="19"/>
  <c r="D6" i="12"/>
  <c r="E7" i="12" s="1"/>
  <c r="G12" i="5" a="1"/>
  <c r="G12" i="5" s="1"/>
  <c r="E6" i="11"/>
  <c r="E6" i="6"/>
  <c r="E6" i="10"/>
  <c r="B5" i="10"/>
  <c r="D6" i="19" a="1"/>
  <c r="D9" i="50" a="1"/>
  <c r="C8" i="20" a="1"/>
  <c r="C7" i="23" a="1"/>
  <c r="D9" i="47" a="1"/>
  <c r="C6" i="10" a="1"/>
  <c r="D8" i="26" a="1"/>
  <c r="C7" i="32" a="1"/>
  <c r="D9" i="40" a="1"/>
  <c r="D6" i="25" a="1"/>
  <c r="D6" i="21" a="1"/>
  <c r="D10" i="48" a="1"/>
  <c r="C7" i="12" a="1"/>
  <c r="C10" i="43" a="1"/>
  <c r="D7" i="21" a="1"/>
  <c r="D6" i="26" a="1"/>
  <c r="D7" i="28" a="1"/>
  <c r="D6" i="30" a="1"/>
  <c r="C6" i="6" a="1"/>
  <c r="D9" i="36" a="1"/>
  <c r="C6" i="11" a="1"/>
  <c r="D8" i="29" a="1"/>
  <c r="G55" i="5" l="1"/>
  <c r="D2" i="57"/>
  <c r="F2" i="57" s="1" a="1"/>
  <c r="F2" i="57" s="1"/>
  <c r="B8" i="53"/>
  <c r="E9" i="53"/>
  <c r="D9" i="50"/>
  <c r="B9" i="50" s="1"/>
  <c r="B8" i="56"/>
  <c r="B2" i="56" s="1" a="1"/>
  <c r="B2" i="56" s="1"/>
  <c r="D10" i="48"/>
  <c r="B10" i="48" s="1"/>
  <c r="B2" i="48" s="1" a="1"/>
  <c r="B2" i="48" s="1"/>
  <c r="D9" i="47"/>
  <c r="B2" i="47" s="1" a="1"/>
  <c r="B2" i="47" s="1"/>
  <c r="E2" i="51"/>
  <c r="C10" i="43"/>
  <c r="D9" i="40"/>
  <c r="D2" i="40" s="1"/>
  <c r="D9" i="36"/>
  <c r="E10" i="36" s="1"/>
  <c r="J32" i="5"/>
  <c r="I32" i="5"/>
  <c r="K32" i="5"/>
  <c r="H32" i="5"/>
  <c r="G38" i="5" a="1"/>
  <c r="I38" i="5" s="1"/>
  <c r="C7" i="32"/>
  <c r="E2" i="32"/>
  <c r="D6" i="30"/>
  <c r="D6" i="26"/>
  <c r="D8" i="26"/>
  <c r="E9" i="26" s="1"/>
  <c r="D8" i="29"/>
  <c r="D7" i="28"/>
  <c r="D6" i="25"/>
  <c r="C7" i="23"/>
  <c r="E7" i="22"/>
  <c r="C8" i="20"/>
  <c r="D6" i="21"/>
  <c r="D7" i="21"/>
  <c r="D6" i="19"/>
  <c r="B6" i="19" s="1"/>
  <c r="C7" i="12"/>
  <c r="B7" i="16"/>
  <c r="B2" i="16" s="1" a="1"/>
  <c r="B2" i="16" s="1"/>
  <c r="J12" i="5"/>
  <c r="H12" i="5"/>
  <c r="I12" i="5"/>
  <c r="K12" i="5"/>
  <c r="C6" i="6"/>
  <c r="C6" i="11"/>
  <c r="C6" i="10"/>
  <c r="C2" i="32" a="1"/>
  <c r="C9" i="53" a="1"/>
  <c r="C9" i="26" a="1"/>
  <c r="D6" i="11" a="1"/>
  <c r="D7" i="32" a="1"/>
  <c r="D7" i="12" a="1"/>
  <c r="C2" i="51" a="1"/>
  <c r="D10" i="43" a="1"/>
  <c r="D8" i="20" a="1"/>
  <c r="C10" i="36" a="1"/>
  <c r="D6" i="10" a="1"/>
  <c r="D7" i="23" a="1"/>
  <c r="C7" i="22" a="1"/>
  <c r="D6" i="6" a="1"/>
  <c r="G56" i="5" l="1" a="1"/>
  <c r="G56" i="5"/>
  <c r="G57" i="5" a="1"/>
  <c r="C9" i="53"/>
  <c r="E10" i="50"/>
  <c r="I56" i="5"/>
  <c r="J56" i="5"/>
  <c r="K56" i="5"/>
  <c r="H56" i="5"/>
  <c r="B9" i="40"/>
  <c r="C2" i="51"/>
  <c r="D2" i="51"/>
  <c r="D10" i="43"/>
  <c r="E11" i="43" s="1"/>
  <c r="E11" i="40"/>
  <c r="B9" i="36"/>
  <c r="C10" i="36"/>
  <c r="H38" i="5"/>
  <c r="G38" i="5"/>
  <c r="K38" i="5"/>
  <c r="J38" i="5"/>
  <c r="B8" i="26"/>
  <c r="C2" i="32"/>
  <c r="D7" i="32"/>
  <c r="E7" i="30"/>
  <c r="E9" i="29"/>
  <c r="E2" i="29" s="1"/>
  <c r="C9" i="26"/>
  <c r="E8" i="28"/>
  <c r="B8" i="29"/>
  <c r="E7" i="25"/>
  <c r="D7" i="23"/>
  <c r="E8" i="23" s="1"/>
  <c r="C7" i="22"/>
  <c r="D8" i="20"/>
  <c r="E9" i="20" s="1"/>
  <c r="E9" i="21"/>
  <c r="E8" i="21"/>
  <c r="D7" i="12"/>
  <c r="E8" i="12" s="1"/>
  <c r="D6" i="10"/>
  <c r="D6" i="11"/>
  <c r="D6" i="6"/>
  <c r="B6" i="6" s="1"/>
  <c r="C8" i="21" a="1"/>
  <c r="D9" i="26" a="1"/>
  <c r="C9" i="20" a="1"/>
  <c r="C9" i="21" a="1"/>
  <c r="D6" i="18" a="1"/>
  <c r="C6" i="24" a="1"/>
  <c r="D7" i="22" a="1"/>
  <c r="C7" i="19" a="1"/>
  <c r="C11" i="43" a="1"/>
  <c r="D10" i="36" a="1"/>
  <c r="C9" i="29" a="1"/>
  <c r="C2" i="29" a="1"/>
  <c r="C10" i="50" a="1"/>
  <c r="C7" i="30" a="1"/>
  <c r="C8" i="12" a="1"/>
  <c r="D9" i="53" a="1"/>
  <c r="C11" i="40" a="1"/>
  <c r="C8" i="23" a="1"/>
  <c r="C7" i="25" a="1"/>
  <c r="G57" i="5" l="1"/>
  <c r="J57" i="5"/>
  <c r="H57" i="5"/>
  <c r="I57" i="5"/>
  <c r="K57" i="5"/>
  <c r="D9" i="53"/>
  <c r="E10" i="53" s="1"/>
  <c r="C10" i="50"/>
  <c r="F2" i="51" a="1"/>
  <c r="F2" i="51" s="1"/>
  <c r="B2" i="51" a="1"/>
  <c r="B2" i="51" s="1"/>
  <c r="G52" i="5" s="1" a="1"/>
  <c r="B10" i="43"/>
  <c r="C11" i="43"/>
  <c r="D2" i="48"/>
  <c r="C11" i="40"/>
  <c r="E2" i="40"/>
  <c r="D10" i="36"/>
  <c r="B2" i="32" a="1"/>
  <c r="B2" i="32" s="1"/>
  <c r="D2" i="32"/>
  <c r="F2" i="32" s="1" a="1"/>
  <c r="F2" i="32" s="1"/>
  <c r="C7" i="30"/>
  <c r="C9" i="29"/>
  <c r="D9" i="26"/>
  <c r="E10" i="26" s="1"/>
  <c r="C2" i="29"/>
  <c r="C7" i="25"/>
  <c r="B8" i="20"/>
  <c r="C8" i="23"/>
  <c r="D7" i="22"/>
  <c r="B7" i="22" s="1"/>
  <c r="C6" i="24"/>
  <c r="C9" i="20"/>
  <c r="C8" i="21"/>
  <c r="C9" i="21"/>
  <c r="C7" i="19"/>
  <c r="C8" i="12"/>
  <c r="D6" i="18"/>
  <c r="E7" i="6"/>
  <c r="E7" i="11"/>
  <c r="E7" i="10"/>
  <c r="D6" i="24" a="1"/>
  <c r="D11" i="40" a="1"/>
  <c r="D9" i="21" a="1"/>
  <c r="C2" i="40" a="1"/>
  <c r="C7" i="6" a="1"/>
  <c r="C7" i="10" a="1"/>
  <c r="D7" i="19" a="1"/>
  <c r="D8" i="12" a="1"/>
  <c r="D8" i="21" a="1"/>
  <c r="D7" i="25" a="1"/>
  <c r="D7" i="30" a="1"/>
  <c r="D10" i="50" a="1"/>
  <c r="C7" i="11" a="1"/>
  <c r="D11" i="43" a="1"/>
  <c r="D8" i="23" a="1"/>
  <c r="C10" i="53" a="1"/>
  <c r="C2" i="31" a="1"/>
  <c r="D9" i="29" a="1"/>
  <c r="D9" i="20" a="1"/>
  <c r="C10" i="26" a="1"/>
  <c r="B9" i="53" l="1"/>
  <c r="C10" i="53"/>
  <c r="E2" i="53"/>
  <c r="D10" i="50"/>
  <c r="B10" i="50" s="1"/>
  <c r="I52" i="5"/>
  <c r="J52" i="5"/>
  <c r="K52" i="5"/>
  <c r="G52" i="5"/>
  <c r="H52" i="5"/>
  <c r="D11" i="43"/>
  <c r="E2" i="48"/>
  <c r="C2" i="40"/>
  <c r="D11" i="40"/>
  <c r="E12" i="36"/>
  <c r="B10" i="36"/>
  <c r="E11" i="36"/>
  <c r="G36" i="5" a="1"/>
  <c r="D7" i="30"/>
  <c r="E8" i="30" s="1"/>
  <c r="D9" i="29"/>
  <c r="B9" i="26"/>
  <c r="C2" i="31"/>
  <c r="C10" i="26"/>
  <c r="D7" i="25"/>
  <c r="D8" i="23"/>
  <c r="E9" i="23" s="1"/>
  <c r="D2" i="22"/>
  <c r="F2" i="22" s="1" a="1"/>
  <c r="F2" i="22" s="1"/>
  <c r="B2" i="22" a="1"/>
  <c r="B2" i="22" s="1"/>
  <c r="D6" i="24"/>
  <c r="D9" i="20"/>
  <c r="D9" i="21"/>
  <c r="D8" i="21"/>
  <c r="D7" i="19"/>
  <c r="E8" i="19" s="1"/>
  <c r="D8" i="12"/>
  <c r="E9" i="12" s="1"/>
  <c r="B6" i="18"/>
  <c r="C7" i="11"/>
  <c r="C7" i="10"/>
  <c r="C7" i="6"/>
  <c r="G14" i="5" a="1"/>
  <c r="G14" i="5" s="1"/>
  <c r="C12" i="36" a="1"/>
  <c r="C2" i="53" a="1"/>
  <c r="C8" i="19" a="1"/>
  <c r="C11" i="36" a="1"/>
  <c r="D7" i="18" a="1"/>
  <c r="C9" i="12" a="1"/>
  <c r="C9" i="23" a="1"/>
  <c r="D7" i="6" a="1"/>
  <c r="D7" i="10" a="1"/>
  <c r="D10" i="53" a="1"/>
  <c r="C10" i="23" a="1"/>
  <c r="D7" i="11" a="1"/>
  <c r="D10" i="26" a="1"/>
  <c r="C7" i="24" a="1"/>
  <c r="C2" i="48" a="1"/>
  <c r="D10" i="53" l="1"/>
  <c r="C2" i="53"/>
  <c r="H54" i="5" s="1"/>
  <c r="J54" i="5"/>
  <c r="E11" i="50"/>
  <c r="E12" i="43"/>
  <c r="E2" i="36"/>
  <c r="B11" i="43"/>
  <c r="C2" i="48"/>
  <c r="F2" i="48" s="1" a="1"/>
  <c r="F2" i="48" s="1"/>
  <c r="B11" i="40"/>
  <c r="B2" i="40" s="1" a="1"/>
  <c r="B2" i="40" s="1"/>
  <c r="C12" i="36"/>
  <c r="C11" i="36"/>
  <c r="D2" i="29"/>
  <c r="F2" i="29" s="1" a="1"/>
  <c r="F2" i="29" s="1"/>
  <c r="B2" i="29" a="1"/>
  <c r="B2" i="29" s="1"/>
  <c r="H36" i="5"/>
  <c r="I36" i="5"/>
  <c r="G36" i="5"/>
  <c r="J36" i="5"/>
  <c r="K36" i="5"/>
  <c r="D10" i="26"/>
  <c r="B10" i="26" s="1"/>
  <c r="F2" i="31" a="1"/>
  <c r="F2" i="31" s="1"/>
  <c r="G37" i="5" s="1" a="1"/>
  <c r="C9" i="23"/>
  <c r="E8" i="25"/>
  <c r="B8" i="23"/>
  <c r="G27" i="5" a="1"/>
  <c r="C10" i="23"/>
  <c r="B6" i="24"/>
  <c r="C7" i="24"/>
  <c r="E10" i="20"/>
  <c r="E2" i="20" s="1"/>
  <c r="B9" i="20"/>
  <c r="C8" i="19"/>
  <c r="E10" i="21"/>
  <c r="B7" i="19"/>
  <c r="C9" i="12"/>
  <c r="D7" i="18"/>
  <c r="H14" i="5"/>
  <c r="J14" i="5"/>
  <c r="I14" i="5"/>
  <c r="K14" i="5"/>
  <c r="D7" i="6"/>
  <c r="B7" i="6" s="1"/>
  <c r="D7" i="10"/>
  <c r="D7" i="11"/>
  <c r="D9" i="23" a="1"/>
  <c r="D9" i="12" a="1"/>
  <c r="D10" i="23" a="1"/>
  <c r="D7" i="24" a="1"/>
  <c r="D11" i="36" a="1"/>
  <c r="C8" i="28" a="1"/>
  <c r="C10" i="20" a="1"/>
  <c r="C11" i="50" a="1"/>
  <c r="D12" i="36" a="1"/>
  <c r="C10" i="21" a="1"/>
  <c r="C8" i="25" a="1"/>
  <c r="C2" i="20" a="1"/>
  <c r="C12" i="43" a="1"/>
  <c r="B10" i="53" l="1"/>
  <c r="B2" i="53" s="1" a="1"/>
  <c r="B2" i="53" s="1"/>
  <c r="G54" i="5" s="1"/>
  <c r="D2" i="53"/>
  <c r="C11" i="50"/>
  <c r="G43" i="5" a="1"/>
  <c r="C12" i="43"/>
  <c r="G49" i="5" a="1"/>
  <c r="I49" i="5" s="1"/>
  <c r="F2" i="40" a="1"/>
  <c r="F2" i="40" s="1"/>
  <c r="K43" i="5" s="1"/>
  <c r="I43" i="5"/>
  <c r="D12" i="36"/>
  <c r="D11" i="36"/>
  <c r="G34" i="5" a="1"/>
  <c r="G34" i="5" s="1"/>
  <c r="G37" i="5"/>
  <c r="H37" i="5"/>
  <c r="I37" i="5"/>
  <c r="J37" i="5"/>
  <c r="K37" i="5"/>
  <c r="C8" i="28"/>
  <c r="C8" i="25"/>
  <c r="D9" i="23"/>
  <c r="B9" i="23" s="1"/>
  <c r="G27" i="5"/>
  <c r="J27" i="5"/>
  <c r="H27" i="5"/>
  <c r="K27" i="5"/>
  <c r="I27" i="5"/>
  <c r="D10" i="23"/>
  <c r="D7" i="24"/>
  <c r="E8" i="24" s="1"/>
  <c r="C10" i="20"/>
  <c r="C10" i="21"/>
  <c r="C2" i="20"/>
  <c r="D9" i="12"/>
  <c r="B2" i="12" s="1" a="1"/>
  <c r="B2" i="12" s="1"/>
  <c r="B7" i="18"/>
  <c r="E8" i="18"/>
  <c r="E8" i="10"/>
  <c r="E8" i="11"/>
  <c r="E8" i="6"/>
  <c r="D10" i="20" a="1"/>
  <c r="C8" i="11" a="1"/>
  <c r="D8" i="28" a="1"/>
  <c r="D8" i="19" a="1"/>
  <c r="D10" i="21" a="1"/>
  <c r="C8" i="24" a="1"/>
  <c r="C8" i="10" a="1"/>
  <c r="C8" i="6" a="1"/>
  <c r="C8" i="18" a="1"/>
  <c r="D12" i="43" a="1"/>
  <c r="D11" i="50" a="1"/>
  <c r="D8" i="25" a="1"/>
  <c r="F2" i="53" l="1" a="1"/>
  <c r="F2" i="53" s="1"/>
  <c r="K54" i="5" s="1"/>
  <c r="I54" i="5"/>
  <c r="D11" i="50"/>
  <c r="B11" i="50" s="1"/>
  <c r="J43" i="5"/>
  <c r="H43" i="5"/>
  <c r="G43" i="5"/>
  <c r="G49" i="5"/>
  <c r="D2" i="36"/>
  <c r="D12" i="43"/>
  <c r="B2" i="43" s="1" a="1"/>
  <c r="B2" i="43" s="1"/>
  <c r="B2" i="36" a="1"/>
  <c r="B2" i="36" s="1"/>
  <c r="H49" i="5"/>
  <c r="K49" i="5"/>
  <c r="J49" i="5"/>
  <c r="J34" i="5"/>
  <c r="K34" i="5"/>
  <c r="I34" i="5"/>
  <c r="H34" i="5"/>
  <c r="D8" i="28"/>
  <c r="E11" i="28" s="1"/>
  <c r="D8" i="25"/>
  <c r="E10" i="25" s="1"/>
  <c r="D2" i="12"/>
  <c r="B2" i="23" a="1"/>
  <c r="B2" i="23" s="1"/>
  <c r="C8" i="24"/>
  <c r="D10" i="20"/>
  <c r="D2" i="20" s="1"/>
  <c r="F2" i="20" s="1" a="1"/>
  <c r="F2" i="20" s="1"/>
  <c r="D10" i="21"/>
  <c r="D11" i="21" s="1"/>
  <c r="D8" i="19"/>
  <c r="C8" i="18"/>
  <c r="C8" i="6"/>
  <c r="C8" i="11"/>
  <c r="C8" i="10"/>
  <c r="C11" i="28" a="1"/>
  <c r="C11" i="21" a="1"/>
  <c r="D8" i="18" a="1"/>
  <c r="D8" i="6" a="1"/>
  <c r="D8" i="24" a="1"/>
  <c r="C10" i="25" a="1"/>
  <c r="D8" i="11" a="1"/>
  <c r="D8" i="10" a="1"/>
  <c r="E12" i="50" l="1"/>
  <c r="C11" i="28"/>
  <c r="B8" i="28"/>
  <c r="E9" i="28"/>
  <c r="C10" i="25"/>
  <c r="E2" i="26"/>
  <c r="D8" i="24"/>
  <c r="E9" i="24" s="1"/>
  <c r="B10" i="20"/>
  <c r="B2" i="20" s="1" a="1"/>
  <c r="B2" i="20" s="1"/>
  <c r="G25" i="5" s="1" a="1"/>
  <c r="G25" i="5" s="1"/>
  <c r="C11" i="21"/>
  <c r="E2" i="21"/>
  <c r="D2" i="21"/>
  <c r="B8" i="19"/>
  <c r="E2" i="19"/>
  <c r="D8" i="18"/>
  <c r="D8" i="10"/>
  <c r="D8" i="11"/>
  <c r="E9" i="11" s="1"/>
  <c r="D8" i="6"/>
  <c r="E9" i="6" s="1"/>
  <c r="C9" i="6" a="1"/>
  <c r="C2" i="26" a="1"/>
  <c r="C2" i="19" a="1"/>
  <c r="C2" i="21" a="1"/>
  <c r="C12" i="50" a="1"/>
  <c r="D11" i="28" a="1"/>
  <c r="D10" i="25" a="1"/>
  <c r="C9" i="28" a="1"/>
  <c r="C9" i="11" a="1"/>
  <c r="C12" i="50" l="1"/>
  <c r="E2" i="50"/>
  <c r="D2" i="52"/>
  <c r="F2" i="52" s="1" a="1"/>
  <c r="F2" i="52" s="1"/>
  <c r="B2" i="52" a="1"/>
  <c r="B2" i="52" s="1"/>
  <c r="D11" i="28"/>
  <c r="B11" i="28" s="1"/>
  <c r="C9" i="28"/>
  <c r="D10" i="25"/>
  <c r="E9" i="18"/>
  <c r="E10" i="18"/>
  <c r="C2" i="26"/>
  <c r="D2" i="23"/>
  <c r="D2" i="10"/>
  <c r="B2" i="10" a="1"/>
  <c r="B2" i="10" s="1"/>
  <c r="B2" i="21" a="1"/>
  <c r="B2" i="21" s="1"/>
  <c r="C2" i="21"/>
  <c r="B8" i="6"/>
  <c r="C2" i="19"/>
  <c r="B8" i="18"/>
  <c r="C9" i="6"/>
  <c r="C9" i="11"/>
  <c r="D12" i="50" a="1"/>
  <c r="D9" i="6" a="1"/>
  <c r="D9" i="11" a="1"/>
  <c r="D9" i="28" a="1"/>
  <c r="C9" i="18" a="1"/>
  <c r="C10" i="18" a="1"/>
  <c r="D12" i="50" l="1"/>
  <c r="B12" i="50" s="1"/>
  <c r="G53" i="5" a="1"/>
  <c r="I53" i="5" s="1"/>
  <c r="E2" i="47"/>
  <c r="D9" i="28"/>
  <c r="E10" i="28" s="1"/>
  <c r="E11" i="25"/>
  <c r="E9" i="25"/>
  <c r="C10" i="18"/>
  <c r="D2" i="26"/>
  <c r="B2" i="26" a="1"/>
  <c r="B2" i="26" s="1"/>
  <c r="F2" i="23" a="1"/>
  <c r="F2" i="23" s="1"/>
  <c r="G26" i="5" a="1"/>
  <c r="H26" i="5" s="1"/>
  <c r="F2" i="21" a="1"/>
  <c r="F2" i="21" s="1"/>
  <c r="D2" i="19"/>
  <c r="F2" i="19" s="1" a="1"/>
  <c r="F2" i="19" s="1"/>
  <c r="C9" i="18"/>
  <c r="D9" i="11"/>
  <c r="D9" i="6"/>
  <c r="E10" i="6" s="1"/>
  <c r="C10" i="28" a="1"/>
  <c r="C2" i="47" a="1"/>
  <c r="C10" i="6" a="1"/>
  <c r="C9" i="25" a="1"/>
  <c r="C11" i="25" a="1"/>
  <c r="D9" i="18" a="1"/>
  <c r="D10" i="18" a="1"/>
  <c r="B2" i="50" l="1" a="1"/>
  <c r="B2" i="50" s="1"/>
  <c r="D2" i="50"/>
  <c r="H53" i="5"/>
  <c r="K53" i="5"/>
  <c r="J53" i="5"/>
  <c r="G53" i="5"/>
  <c r="D2" i="47"/>
  <c r="C2" i="47"/>
  <c r="K26" i="5"/>
  <c r="C10" i="28"/>
  <c r="B9" i="28"/>
  <c r="C9" i="25"/>
  <c r="C11" i="25"/>
  <c r="D10" i="18"/>
  <c r="F2" i="26" a="1"/>
  <c r="F2" i="26" s="1"/>
  <c r="G31" i="5" s="1" a="1"/>
  <c r="G28" i="5" a="1"/>
  <c r="I26" i="5"/>
  <c r="J26" i="5"/>
  <c r="G26" i="5"/>
  <c r="D9" i="18"/>
  <c r="B9" i="6"/>
  <c r="B2" i="19" a="1"/>
  <c r="B2" i="19" s="1"/>
  <c r="G24" i="5" s="1" a="1"/>
  <c r="C10" i="6"/>
  <c r="B2" i="11" a="1"/>
  <c r="B2" i="11" s="1"/>
  <c r="D2" i="11"/>
  <c r="F2" i="12" a="1"/>
  <c r="D10" i="6" a="1"/>
  <c r="D11" i="25" a="1"/>
  <c r="D9" i="25" a="1"/>
  <c r="D10" i="28" a="1"/>
  <c r="F2" i="47" l="1" a="1"/>
  <c r="F2" i="47" s="1"/>
  <c r="G48" i="5" s="1" a="1"/>
  <c r="D10" i="28"/>
  <c r="D11" i="25"/>
  <c r="E12" i="25" s="1"/>
  <c r="D9" i="25"/>
  <c r="B10" i="18"/>
  <c r="E11" i="18"/>
  <c r="J31" i="5"/>
  <c r="H31" i="5"/>
  <c r="G31" i="5"/>
  <c r="I31" i="5"/>
  <c r="K31" i="5"/>
  <c r="J28" i="5"/>
  <c r="G28" i="5"/>
  <c r="H28" i="5"/>
  <c r="I28" i="5"/>
  <c r="K28" i="5"/>
  <c r="G24" i="5"/>
  <c r="H24" i="5"/>
  <c r="I24" i="5"/>
  <c r="J24" i="5"/>
  <c r="K24" i="5"/>
  <c r="B9" i="18"/>
  <c r="F2" i="12"/>
  <c r="G21" i="5" s="1" a="1"/>
  <c r="D10" i="6"/>
  <c r="B10" i="6" s="1"/>
  <c r="F2" i="11" a="1"/>
  <c r="C11" i="18" a="1"/>
  <c r="C12" i="25" a="1"/>
  <c r="G48" i="5" l="1"/>
  <c r="K48" i="5"/>
  <c r="H48" i="5"/>
  <c r="I48" i="5"/>
  <c r="J48" i="5"/>
  <c r="E2" i="28"/>
  <c r="C12" i="25"/>
  <c r="C11" i="18"/>
  <c r="B2" i="6" a="1"/>
  <c r="B2" i="6" s="1"/>
  <c r="F2" i="11"/>
  <c r="D2" i="6"/>
  <c r="I21" i="5"/>
  <c r="J21" i="5"/>
  <c r="K21" i="5"/>
  <c r="H21" i="5"/>
  <c r="G21" i="5"/>
  <c r="C9" i="24" a="1"/>
  <c r="C2" i="28" a="1"/>
  <c r="D12" i="25" a="1"/>
  <c r="C2" i="28" l="1"/>
  <c r="D12" i="25"/>
  <c r="E13" i="25" s="1"/>
  <c r="C9" i="24"/>
  <c r="F2" i="10" a="1"/>
  <c r="F2" i="10" s="1"/>
  <c r="G20" i="5" a="1"/>
  <c r="G20" i="5" s="1"/>
  <c r="F2" i="6" a="1"/>
  <c r="C13" i="25" a="1"/>
  <c r="D9" i="24" a="1"/>
  <c r="D2" i="28" l="1"/>
  <c r="F2" i="28" s="1" a="1"/>
  <c r="F2" i="28" s="1"/>
  <c r="B2" i="28" a="1"/>
  <c r="B2" i="28" s="1"/>
  <c r="C13" i="25"/>
  <c r="D9" i="24"/>
  <c r="E10" i="24" s="1"/>
  <c r="G19" i="5" a="1"/>
  <c r="H19" i="5" s="1"/>
  <c r="F2" i="6"/>
  <c r="H20" i="5"/>
  <c r="J20" i="5"/>
  <c r="I20" i="5"/>
  <c r="K20" i="5"/>
  <c r="D13" i="25" a="1"/>
  <c r="C2" i="36" a="1"/>
  <c r="C2" i="36" l="1"/>
  <c r="G33" i="5" a="1"/>
  <c r="D13" i="25"/>
  <c r="E14" i="25" s="1"/>
  <c r="K19" i="5"/>
  <c r="I19" i="5"/>
  <c r="J19" i="5"/>
  <c r="G19" i="5"/>
  <c r="G18" i="5" a="1"/>
  <c r="G18" i="5" s="1"/>
  <c r="C14" i="25" a="1"/>
  <c r="C10" i="24" a="1"/>
  <c r="H33" i="5" l="1"/>
  <c r="K33" i="5"/>
  <c r="J33" i="5"/>
  <c r="I33" i="5"/>
  <c r="G33" i="5"/>
  <c r="C14" i="25"/>
  <c r="C10" i="24"/>
  <c r="J18" i="5"/>
  <c r="H18" i="5"/>
  <c r="I18" i="5"/>
  <c r="K18" i="5"/>
  <c r="C6" i="14" a="1"/>
  <c r="D10" i="24" a="1"/>
  <c r="D14" i="25" a="1"/>
  <c r="F2" i="36" l="1" a="1"/>
  <c r="F2" i="36" s="1"/>
  <c r="G40" i="5" s="1" a="1"/>
  <c r="D14" i="25"/>
  <c r="E15" i="25" s="1"/>
  <c r="D10" i="24"/>
  <c r="C6" i="14"/>
  <c r="D6" i="14" a="1"/>
  <c r="C15" i="25" a="1"/>
  <c r="J40" i="5" l="1"/>
  <c r="H40" i="5"/>
  <c r="G40" i="5"/>
  <c r="I40" i="5"/>
  <c r="K40" i="5"/>
  <c r="C15" i="25"/>
  <c r="D6" i="14"/>
  <c r="D15" i="25" a="1"/>
  <c r="C7" i="14" a="1"/>
  <c r="D15" i="25" l="1"/>
  <c r="E16" i="25" s="1"/>
  <c r="E2" i="24"/>
  <c r="C7" i="14"/>
  <c r="D7" i="14" a="1"/>
  <c r="C16" i="25" a="1"/>
  <c r="C2" i="24" a="1"/>
  <c r="C16" i="25" l="1"/>
  <c r="C2" i="24"/>
  <c r="D7" i="14"/>
  <c r="D16" i="25" a="1"/>
  <c r="D16" i="25" l="1"/>
  <c r="E17" i="25" s="1"/>
  <c r="B2" i="24" a="1"/>
  <c r="B2" i="24" s="1"/>
  <c r="D2" i="24"/>
  <c r="F2" i="24" s="1" a="1"/>
  <c r="F2" i="24" s="1"/>
  <c r="E8" i="14"/>
  <c r="C17" i="25" a="1"/>
  <c r="C8" i="14" a="1"/>
  <c r="C17" i="25" l="1"/>
  <c r="G29" i="5" a="1"/>
  <c r="G29" i="5" s="1"/>
  <c r="C8" i="14"/>
  <c r="D8" i="14" a="1"/>
  <c r="D17" i="25" a="1"/>
  <c r="D17" i="25" l="1"/>
  <c r="E18" i="25" s="1"/>
  <c r="E2" i="25" s="1"/>
  <c r="K29" i="5"/>
  <c r="J29" i="5"/>
  <c r="H29" i="5"/>
  <c r="I29" i="5"/>
  <c r="D8" i="14"/>
  <c r="C9" i="14" a="1"/>
  <c r="C2" i="25" a="1"/>
  <c r="C18" i="25" a="1"/>
  <c r="C2" i="25" l="1"/>
  <c r="C18" i="25"/>
  <c r="C9" i="14"/>
  <c r="D18" i="25" a="1"/>
  <c r="D9" i="14" a="1"/>
  <c r="D18" i="25" l="1"/>
  <c r="D2" i="25" s="1"/>
  <c r="D9" i="14"/>
  <c r="E10" i="14" s="1"/>
  <c r="C10" i="14" a="1"/>
  <c r="F2" i="25" l="1" a="1"/>
  <c r="F2" i="25" s="1"/>
  <c r="B2" i="25" a="1"/>
  <c r="B2" i="25" s="1"/>
  <c r="C10" i="14"/>
  <c r="D10" i="14" a="1"/>
  <c r="G30" i="5" l="1" a="1"/>
  <c r="G30" i="5" s="1"/>
  <c r="D10" i="14"/>
  <c r="E11" i="14" s="1"/>
  <c r="C11" i="14" a="1"/>
  <c r="K30" i="5" l="1"/>
  <c r="I30" i="5"/>
  <c r="J30" i="5"/>
  <c r="H30" i="5"/>
  <c r="C11" i="14"/>
  <c r="D11" i="14" a="1"/>
  <c r="D11" i="14" l="1"/>
  <c r="D2" i="14" l="1"/>
  <c r="B2" i="14" a="1"/>
  <c r="B2" i="14" s="1"/>
  <c r="F2" i="14" l="1" a="1"/>
  <c r="F2" i="14" s="1"/>
  <c r="G17" i="5" s="1" a="1"/>
  <c r="G17" i="5" s="1"/>
  <c r="K17" i="5" l="1"/>
  <c r="J17" i="5"/>
  <c r="H17" i="5"/>
  <c r="I17" i="5"/>
  <c r="D11" i="18" a="1"/>
  <c r="D11" i="18" l="1"/>
  <c r="E12" i="18" l="1"/>
  <c r="B11" i="18"/>
  <c r="C12" i="18" a="1"/>
  <c r="C12" i="18" l="1"/>
  <c r="D12" i="18" a="1"/>
  <c r="D12" i="18" l="1"/>
  <c r="D2" i="18" s="1"/>
  <c r="B12" i="18" l="1"/>
  <c r="B2" i="18" s="1" a="1"/>
  <c r="B2" i="18" s="1"/>
  <c r="G23" i="5" s="1"/>
  <c r="F2" i="18" a="1"/>
  <c r="F2" i="18" s="1"/>
  <c r="C8" i="30" a="1"/>
  <c r="H23" i="5" l="1" a="1"/>
  <c r="C8" i="30"/>
  <c r="D8" i="30" a="1"/>
  <c r="J23" i="5" l="1"/>
  <c r="H23" i="5"/>
  <c r="I23" i="5"/>
  <c r="K23" i="5"/>
  <c r="D8" i="30"/>
  <c r="E9" i="30" s="1"/>
  <c r="C9" i="30" a="1"/>
  <c r="C9" i="30" l="1"/>
  <c r="D9" i="30" a="1"/>
  <c r="C14" i="30" a="1"/>
  <c r="D9" i="30" l="1"/>
  <c r="C14" i="30"/>
  <c r="E2" i="30"/>
  <c r="C2" i="30" a="1"/>
  <c r="D14" i="30" a="1"/>
  <c r="C2" i="30" l="1"/>
  <c r="D14" i="30"/>
  <c r="B2" i="30" l="1" a="1"/>
  <c r="B2" i="30" s="1"/>
  <c r="D2" i="30"/>
  <c r="F2" i="30" s="1" a="1"/>
  <c r="F2" i="30" s="1"/>
  <c r="G35" i="5" l="1" a="1"/>
  <c r="J35" i="5" l="1"/>
  <c r="G35" i="5"/>
  <c r="I35" i="5"/>
  <c r="H35" i="5"/>
  <c r="K35" i="5"/>
  <c r="E2" i="43"/>
  <c r="D2" i="43"/>
  <c r="C2" i="43" a="1"/>
  <c r="C2" i="43" l="1"/>
  <c r="F2" i="43" s="1" a="1"/>
  <c r="F2" i="43" s="1"/>
  <c r="G46" i="5" l="1" a="1"/>
  <c r="G46" i="5" s="1"/>
  <c r="J46" i="5" l="1"/>
  <c r="H46" i="5"/>
  <c r="I46" i="5"/>
  <c r="K46" i="5"/>
  <c r="C2" i="50" a="1"/>
  <c r="C2" i="50" l="1"/>
  <c r="F2" i="50" s="1" a="1"/>
  <c r="F2" i="50" s="1"/>
  <c r="G51" i="5" l="1" a="1"/>
  <c r="J51" i="5" l="1"/>
  <c r="H51" i="5"/>
  <c r="G51" i="5"/>
  <c r="I51" i="5"/>
  <c r="K5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tc={1E636047-90E2-4C26-8C7B-3AB9732F6EC0}</author>
  </authors>
  <commentList>
    <comment ref="C13" authorId="0" shapeId="0" xr:uid="{00000000-0006-0000-01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 
Suspect Withdrawal QR  Rule 9 (AE)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<sst xmlns="http://schemas.openxmlformats.org/spreadsheetml/2006/main" count="1251" uniqueCount="671">
  <si>
    <t>firstname</t>
  </si>
  <si>
    <t>surname</t>
  </si>
  <si>
    <t>nickname</t>
  </si>
  <si>
    <t>Danusorn</t>
  </si>
  <si>
    <t>Sitdhirasdr</t>
  </si>
  <si>
    <t>NAK</t>
  </si>
  <si>
    <t>Piti</t>
  </si>
  <si>
    <t>Piyachaturawat</t>
  </si>
  <si>
    <t>TER</t>
  </si>
  <si>
    <t>Pornpol</t>
  </si>
  <si>
    <t>Kong-im</t>
  </si>
  <si>
    <t>NOP</t>
  </si>
  <si>
    <t>Varit</t>
  </si>
  <si>
    <t>Visalathaphand</t>
  </si>
  <si>
    <t>POB</t>
  </si>
  <si>
    <t>Sarawoot</t>
  </si>
  <si>
    <t>Niyomjan</t>
  </si>
  <si>
    <t>A</t>
  </si>
  <si>
    <t>Kanteera</t>
  </si>
  <si>
    <t>Kotchapong</t>
  </si>
  <si>
    <t>TREE</t>
  </si>
  <si>
    <t>Natthanicha</t>
  </si>
  <si>
    <t>Suriyamongkol</t>
  </si>
  <si>
    <t>PLOY</t>
  </si>
  <si>
    <t>Kanakorn</t>
  </si>
  <si>
    <t>Kuchaiyanont</t>
  </si>
  <si>
    <t>GEAR</t>
  </si>
  <si>
    <t>type</t>
  </si>
  <si>
    <t>ref_id</t>
  </si>
  <si>
    <t>task</t>
  </si>
  <si>
    <t>description</t>
  </si>
  <si>
    <t>deliverables</t>
  </si>
  <si>
    <t>delivered to</t>
  </si>
  <si>
    <t>completion</t>
  </si>
  <si>
    <t>start</t>
  </si>
  <si>
    <t>end</t>
  </si>
  <si>
    <t>start_date</t>
  </si>
  <si>
    <t>days</t>
  </si>
  <si>
    <t>MELON</t>
  </si>
  <si>
    <t>AEY</t>
  </si>
  <si>
    <t>MAI</t>
  </si>
  <si>
    <t>Routine</t>
  </si>
  <si>
    <t>P0001</t>
  </si>
  <si>
    <t>Monthly Report</t>
  </si>
  <si>
    <t>Report LossData, KRI, BOT, VISA</t>
  </si>
  <si>
    <t>Report (Excel File)</t>
  </si>
  <si>
    <t>P0002</t>
  </si>
  <si>
    <t>P0003</t>
  </si>
  <si>
    <t>P0004</t>
  </si>
  <si>
    <t>Report Deposit Control Enhancement</t>
  </si>
  <si>
    <t>Create Excel list of account, cis, or transaction which meet rules of suspicious activities</t>
  </si>
  <si>
    <t>Suspicious Report Deposit (Excel)</t>
  </si>
  <si>
    <t>P0005</t>
  </si>
  <si>
    <t>Project</t>
  </si>
  <si>
    <t>P0006</t>
  </si>
  <si>
    <t>Kplus Rule-Based on EBAN (Phase II)</t>
  </si>
  <si>
    <t>Followed IBM Safer Payment's rule-based and Digital team's requirements.</t>
  </si>
  <si>
    <t>SQL Code</t>
  </si>
  <si>
    <t>P0007</t>
  </si>
  <si>
    <t>UAT (Data transfer to Eban)</t>
  </si>
  <si>
    <t>Check schema and data quality in newly created table(K ID / NDID) in EBAN</t>
  </si>
  <si>
    <t>New Table Checklist</t>
  </si>
  <si>
    <t>Ad-hoc</t>
  </si>
  <si>
    <t>P0008</t>
  </si>
  <si>
    <t>Support Data and test rule</t>
  </si>
  <si>
    <t xml:space="preserve">ช่วยสืบค้น หาความผิดปกติของการทุจริต ให้กับทีม Int_fraud,  digital_fraud,  app_fraud </t>
  </si>
  <si>
    <t>P0009</t>
  </si>
  <si>
    <t>Override dip chip</t>
  </si>
  <si>
    <t>Followed OR's rule-based.</t>
  </si>
  <si>
    <t>code for creating report (3 reports)</t>
  </si>
  <si>
    <t>P0010</t>
  </si>
  <si>
    <t>Nominee account</t>
  </si>
  <si>
    <t xml:space="preserve">A customer who has behaviours similar to the nominee group. </t>
  </si>
  <si>
    <t>Code for detecting furture nominee accounts</t>
  </si>
  <si>
    <t>P0011</t>
  </si>
  <si>
    <t>Kplus Rule-Based on EBAN (Phase 2)</t>
  </si>
  <si>
    <t>K+ rules on EBAN (Rule no. 3,6,8,11)</t>
  </si>
  <si>
    <t>P0012</t>
  </si>
  <si>
    <t>Kplus Rule-Based on EBAN (Phase 3)</t>
  </si>
  <si>
    <t>K+ rules on EBAN (TBC)</t>
  </si>
  <si>
    <t>P0013</t>
  </si>
  <si>
    <t>Kplus Rule-Based on EBAN (Phase 4)</t>
  </si>
  <si>
    <t>P0014</t>
  </si>
  <si>
    <t xml:space="preserve">Fraudulent Sale (loan applications, Phase 1) </t>
  </si>
  <si>
    <t>Sales who have an anomalous performance among their peers. (focusing on concentration of loan application by channel)</t>
  </si>
  <si>
    <t>แบบจำลองที่เกี่ยวกับ Fraudulent sales</t>
  </si>
  <si>
    <t>P0015</t>
  </si>
  <si>
    <t>Fraudulent Sale (Address Loan Application)</t>
  </si>
  <si>
    <t>Sales who have an anomaly performance among their peers. (focusing on loan application's and customer's addresses)</t>
  </si>
  <si>
    <t>P0016</t>
  </si>
  <si>
    <t>Fraud real-time detection</t>
  </si>
  <si>
    <t>- POC จัดทำข้อมูล mock-up ที่คล้ายกับ Instinct บน Google Cloud
- ทำความเข้าใจเกี่ยวกับ rule บน Instinct
- ทดสอบระบบ flag รายการต้องสงสัยโดยเลือก rule บางข้อจาก Instinct</t>
  </si>
  <si>
    <t>ผลทดสอบความถูกต้องของข้อมูลและระบบ</t>
  </si>
  <si>
    <t>P0017</t>
  </si>
  <si>
    <t>Alternative data (SEON)</t>
  </si>
  <si>
    <t>- ศึกษา alternative data จาก SEON (GBG) โดยการใช้ API
- ทดสอบความถูกต้องของข้อมูลจาก SEON โดยใช้ข้อมูลเบอร์โทรศัพท์และ email address
- ศึกษาการใช้ข้อมูลของแบงค์และประโยชน์ที่ได้จากข้อมูล</t>
  </si>
  <si>
    <t>- ผลทดสอบความถูกต้องของข้อมูล
- ผลศึกษาการใช้ข้อมูลของแบงค์และประโยชน์ที่ได้จากข้อมูล</t>
  </si>
  <si>
    <t>P0018</t>
  </si>
  <si>
    <t>Rule validation (Credit card)</t>
  </si>
  <si>
    <t>- ศึกษา Rule ที่ใช้ในการ flag รายการที่ต้องสงสัยของ Credit card
- จัดทำ analysis เพื่อทดสอบ performace ของ rule ต่างๆ เพื่อลดจำนวน Rule ที่ไม่จำเป็นออก</t>
  </si>
  <si>
    <t>ผลวิเคราะห์และบทสรุป performance ของ rule และการลด rule ต่างๆ</t>
  </si>
  <si>
    <t>P0019</t>
  </si>
  <si>
    <t>Rule validation (K+) (Canceled)</t>
  </si>
  <si>
    <t>- ศึกษา Rule ที่ใช้ในการ flag รายการที่ต้องสงสัยของ K+
- จัดทำ analysis เพื่อทดสอบ performace ของ rule ต่างๆ เพื่อลดจำนวน Rule ที่ไม่จำเป็นออก</t>
  </si>
  <si>
    <t>P0020</t>
  </si>
  <si>
    <t xml:space="preserve">Fraudulent Sale (loan applications, Phase 2, rebuild) </t>
  </si>
  <si>
    <t>P0021</t>
  </si>
  <si>
    <t>Patterns of anomaly detection (KCL)</t>
  </si>
  <si>
    <t>ศึกษารูปแบบความผิดปกติของการขอสินเชื่อธุรกิจ SME</t>
  </si>
  <si>
    <t>ผลวิเคราะห์รูปแบบความผิดปกติของการขอสินเชื่อธุรกิจ SME</t>
  </si>
  <si>
    <t>P0022</t>
  </si>
  <si>
    <t>Early NPL Monitoring &amp; Analysis (Phase 1)</t>
  </si>
  <si>
    <t>นำ early NPL มา map fraud rules เพื่อดูว่า rules ใช้ได้ดีหรือไม่ เพื่อที่จะสร้าง Early NPL Monitoring &amp; Analysis ช่วยให้เรารู้ตัวเร็ว สำหรับ monitoring</t>
  </si>
  <si>
    <t>ผลวิเคราะห์รูปแบบความผิดปกติที่สามารถแยก App ทุจริตได้</t>
  </si>
  <si>
    <t>P0023</t>
  </si>
  <si>
    <t>Automate AuditModel report peformance</t>
  </si>
  <si>
    <t>Automate Audit model performance report (data from instinct and monitoring team)</t>
  </si>
  <si>
    <t xml:space="preserve">Automate (Semi-Automate) Audit model performance report Weekly </t>
  </si>
  <si>
    <t>P0024</t>
  </si>
  <si>
    <t>Automate Fraud rate report</t>
  </si>
  <si>
    <t>ข้อมูลที่ใช้ทำ Fraud rate ยังเป็น manual โดยข้อมูลจาก Eban และ credit limit report จาก PM</t>
  </si>
  <si>
    <t>Automate (Semi-Automate) Fraud rate report</t>
  </si>
  <si>
    <t>P0025</t>
  </si>
  <si>
    <t>Fraud real-time detection (Phase 2)</t>
  </si>
  <si>
    <t>- redesign/adjust bigquery schema
- mock data (increase data size)
- optimize query (less data usage)
- test run full loop (call api, insert data and run rules)</t>
  </si>
  <si>
    <t xml:space="preserve"> - SQL code for stored procedure
 - Mocked data fort testing
 - Monitoring dashboard</t>
  </si>
  <si>
    <t>P0026</t>
  </si>
  <si>
    <t>KCL Fraud (Questionnaire)</t>
  </si>
  <si>
    <t>- exploring Duplication in Questionnaire Answers (suspicious Fraud case)</t>
  </si>
  <si>
    <t>analysis result between questionnaire answers patterns and fraud (นายหน้า / high motivation score)</t>
  </si>
  <si>
    <t>P' Nak / P' To</t>
  </si>
  <si>
    <t>P0027</t>
  </si>
  <si>
    <t>- Implement rules reduction (from 126 to 34 rules) and monitor rule performance</t>
  </si>
  <si>
    <t xml:space="preserve"> - Data analysis for decision support
 - Dashboard for monitoring rule performance</t>
  </si>
  <si>
    <t>P0028</t>
  </si>
  <si>
    <t>Rule validation (Credit card)
Phase2: optimize selected rules from P0018</t>
  </si>
  <si>
    <t>- Vary threshold to optimize each existing rule</t>
  </si>
  <si>
    <t xml:space="preserve"> - Existing rules with new threshold</t>
  </si>
  <si>
    <t>P0029</t>
  </si>
  <si>
    <t>Fraud real-time detection (Phase 3)</t>
  </si>
  <si>
    <t>- Implement GCP fraud detection with WBG team</t>
  </si>
  <si>
    <t xml:space="preserve"> - Implementation plan and actions</t>
  </si>
  <si>
    <t>P0030</t>
  </si>
  <si>
    <t>KCL Fraud Early NPL Rate by RM/Sales Analysis</t>
  </si>
  <si>
    <t>- KCL fraud detection (Early NPL rate by RM / Sales)</t>
  </si>
  <si>
    <t xml:space="preserve"> - Key findings from data analysis by RM / Sales</t>
  </si>
  <si>
    <t>P0031</t>
  </si>
  <si>
    <t>USL Early NPL Rate by RM/Sales Analysis</t>
  </si>
  <si>
    <t>- Non-Secured Loan fraud detection (Early NPL rate by RM / Sales)</t>
  </si>
  <si>
    <t>P0032</t>
  </si>
  <si>
    <t>Rule validation (Debit card)</t>
  </si>
  <si>
    <t>- ศึกษา Rule ที่ alert รายการต้องสงสัยทุจริตของรายการธุรกรรมที่มาจาก Debit card
- ประเมินประสิทธิภาพของ Debit card rules และแนะนำยกเลิกการเตือนของ rule ที่มีประสิทธิภาพต่ำ</t>
  </si>
  <si>
    <t>- Debit card rules evaluation analysis and implementation</t>
  </si>
  <si>
    <t>P0033</t>
  </si>
  <si>
    <t>DPD Monitoring report (CC,KEC,KPL)</t>
  </si>
  <si>
    <t xml:space="preserve"> - ติดตาม FPD &amp; Early NPL ของ application ที่มาจาก product: CC, KEC, KPL ตั้งแต่ปี 2022 เป็นต้นไป</t>
  </si>
  <si>
    <t xml:space="preserve"> - DPD Monitoring report </t>
  </si>
  <si>
    <t>P0034</t>
  </si>
  <si>
    <t>DPD Monitoring Data prep. (KCL-CSA)</t>
  </si>
  <si>
    <t xml:space="preserve"> - ติดตาม FPD &amp; Early NPL ของ application ที่มาจาก KCL-CSA</t>
  </si>
  <si>
    <t xml:space="preserve"> - Data for DPD Monitoring report </t>
  </si>
  <si>
    <t>P0035</t>
  </si>
  <si>
    <t>KCL Shopee grey list (Phase1)</t>
  </si>
  <si>
    <t xml:space="preserve"> - เพื่อคัดกรอง application ที่เข้ามาของ KCL-Shopee</t>
  </si>
  <si>
    <t xml:space="preserve"> - Grey list Shopee analysis</t>
  </si>
  <si>
    <t>P0036</t>
  </si>
  <si>
    <t>Credit card rule scoring</t>
  </si>
  <si>
    <t xml:space="preserve"> - สร้าง score &amp; define cut off ที่เหมาะสมให้กับ credit card rules ที่มีอยู่เพื่อเพิ่มประสิทธิภาพของการ alert</t>
  </si>
  <si>
    <t xml:space="preserve"> - Credit card rule score &amp; implementation</t>
  </si>
  <si>
    <t>P0037</t>
  </si>
  <si>
    <t>FPD audit CC KEC KPL KCL (Canceled)</t>
  </si>
  <si>
    <t xml:space="preserve"> - Create audit model from analysis of cohort/segment with high FPD</t>
  </si>
  <si>
    <t xml:space="preserve"> - Audit Model </t>
  </si>
  <si>
    <t>P0038</t>
  </si>
  <si>
    <t>DPD Monitoring &amp; Analysis tools</t>
  </si>
  <si>
    <t xml:space="preserve"> - Create dynamic dashboard for DPD monitoring &amp; insight analysis</t>
  </si>
  <si>
    <t xml:space="preserve"> - DPD Monitoring tools
 - Insight finding analysis </t>
  </si>
  <si>
    <t>P0039</t>
  </si>
  <si>
    <t>KCL-CSA Reject &amp; Audit rules</t>
  </si>
  <si>
    <t xml:space="preserve"> - Set rejection rules, audit rules and rejection rules after detected by audit rules for making rejection decision KCL-CSA application</t>
  </si>
  <si>
    <t xml:space="preserve"> - Rejection rules
 - Audit rules
 - Rejection rules after detected by audit rules</t>
  </si>
  <si>
    <t>P0040</t>
  </si>
  <si>
    <t>DPD Monitoring Data prep. (KCL-Shopee)</t>
  </si>
  <si>
    <t xml:space="preserve"> - ติดตาม FPD &amp; Early NPL ของ application ที่มาจาก KCL-Shopee</t>
  </si>
  <si>
    <t>P0041</t>
  </si>
  <si>
    <t>Shopee ECL</t>
  </si>
  <si>
    <t xml:space="preserve"> - calculate shopee ECL and psuedo RAROC</t>
  </si>
  <si>
    <t xml:space="preserve"> - ECL and RAROC</t>
  </si>
  <si>
    <t>P0042</t>
  </si>
  <si>
    <t>DPD Monitoring rev2</t>
  </si>
  <si>
    <t xml:space="preserve"> - Define new cohort and bad definition for cc kec kclcsa_od products in DPD Monitoring Report
- Report approved app-in by segment</t>
  </si>
  <si>
    <t>P0043</t>
  </si>
  <si>
    <t>P0044</t>
  </si>
  <si>
    <t>- utilize kplus txn location to identify anomaly</t>
  </si>
  <si>
    <t>-flagged suspicious txn/user</t>
  </si>
  <si>
    <t>P0045</t>
  </si>
  <si>
    <t>Kplus employee phone analysis</t>
  </si>
  <si>
    <t>- identify anomaly if employee's phone added to customer's profile or using K Plus</t>
  </si>
  <si>
    <t>P0046</t>
  </si>
  <si>
    <t>Implement GCP Dashboard on production</t>
  </si>
  <si>
    <t xml:space="preserve"> - Create dashboard with real data sources</t>
  </si>
  <si>
    <t xml:space="preserve"> - Dashboard on Looker Studio</t>
  </si>
  <si>
    <t>P0047</t>
  </si>
  <si>
    <t>Changing K+ behavior</t>
  </si>
  <si>
    <t xml:space="preserve"> - Finding patterns of anomaly detection on K+ behavior</t>
  </si>
  <si>
    <t xml:space="preserve"> - Anomaly patterns of prospected fradulent K+ customer</t>
  </si>
  <si>
    <t>P0048</t>
  </si>
  <si>
    <t>DPD Monitoring: OKR, Persona KCL, and PayLater</t>
  </si>
  <si>
    <t xml:space="preserve"> - Dataframe OKR threshold by product, segment, etc.
- Dataframe OKR cumulative limit amt by product, segment, etc.
- Adding persona(industry) for KCL
- Adding PayLater</t>
  </si>
  <si>
    <t>Overall</t>
  </si>
  <si>
    <t>amend code VDO0014 (Tree)</t>
  </si>
  <si>
    <t>Test Rule 3 fraud app (AE)</t>
  </si>
  <si>
    <t>Unusual time transfer Rule 7 (Tree)</t>
  </si>
  <si>
    <t>VDO0017 Rule 10 (Tree)</t>
  </si>
  <si>
    <t>Abnormal  Transfer Rule 5 (Tree)</t>
  </si>
  <si>
    <t>KMB0009.1 Rule 1 (AE)</t>
  </si>
  <si>
    <t>KMB0009.2 Rule 2 (AE)</t>
  </si>
  <si>
    <t>scan face and used K+ Rule 4.1 (AE)</t>
  </si>
  <si>
    <t>scan face and used K+ Rule 4.2 (AE)</t>
  </si>
  <si>
    <t>kick-off meeting and receive initial db structure</t>
  </si>
  <si>
    <t>study Instinct system and selected rules</t>
  </si>
  <si>
    <t>convert instinct rules to bigquery queries</t>
  </si>
  <si>
    <t>study data structure and mock appropriate data</t>
  </si>
  <si>
    <t>prepare testcases for checking</t>
  </si>
  <si>
    <t>test run on bigquery and fine tuning</t>
  </si>
  <si>
    <t>place mocked data on UAT</t>
  </si>
  <si>
    <t>test run on UAT</t>
  </si>
  <si>
    <t>checkpoint - 1: compare results from UAT and bigquery</t>
  </si>
  <si>
    <t>Test API connection</t>
  </si>
  <si>
    <t>Design questionaire form</t>
  </si>
  <si>
    <t>Communate to team &amp; collect reponses</t>
  </si>
  <si>
    <t>Result summary</t>
  </si>
  <si>
    <t>Check point - 1</t>
  </si>
  <si>
    <t>Data design and preparation</t>
  </si>
  <si>
    <t>Data analysis and evaluation</t>
  </si>
  <si>
    <t>Check point - 2</t>
  </si>
  <si>
    <t>Data understanding</t>
  </si>
  <si>
    <t>Data preparation</t>
  </si>
  <si>
    <t>Data exploration</t>
  </si>
  <si>
    <t>Data analysis: Rules evaluation</t>
  </si>
  <si>
    <t>Data analysis: Flag analysis</t>
  </si>
  <si>
    <t>Summary &amp; conclusion Phase 1</t>
  </si>
  <si>
    <t>checkpoint - 1: Presentation with P' To</t>
  </si>
  <si>
    <t>In-dept analysis following to P' To recommendation</t>
  </si>
  <si>
    <t>checkpoint - 2: Presentation with P' To</t>
  </si>
  <si>
    <t>Summary &amp; conclusion</t>
  </si>
  <si>
    <t>Presentation for implementation</t>
  </si>
  <si>
    <t xml:space="preserve">Requirement &amp; data/business understanding </t>
  </si>
  <si>
    <t>Data exploration &amp; validation</t>
  </si>
  <si>
    <t>Data engineering</t>
  </si>
  <si>
    <t>Build model review performance</t>
  </si>
  <si>
    <t>Model results &amp; conclusion</t>
  </si>
  <si>
    <r>
      <t xml:space="preserve">1. Apply audit rules to different cohorts (from Dec-21 until Apr-22) and observe results. The focus of this analysis is on the applicaion that </t>
    </r>
    <r>
      <rPr>
        <sz val="10"/>
        <color rgb="FFFF0000"/>
        <rFont val="Tahoma"/>
        <family val="2"/>
      </rPr>
      <t>had been accepted before audit rules/model were fully implemented</t>
    </r>
    <r>
      <rPr>
        <sz val="10"/>
        <color theme="1"/>
        <rFont val="Tahoma"/>
        <family val="2"/>
      </rPr>
      <t>.</t>
    </r>
  </si>
  <si>
    <t>2. Apply anomaly analysis (EA) to identical cohorts in (1) and observe results.</t>
  </si>
  <si>
    <t>3. Data Preparation (quering loan applications from EBAN) and apply Design Pattern</t>
  </si>
  <si>
    <t>19-20th: Tree gets vaccinated</t>
  </si>
  <si>
    <t>4. Data Parsing</t>
  </si>
  <si>
    <t>5. Vintage Analysis</t>
  </si>
  <si>
    <t>6. Roll Rate Analysis</t>
  </si>
  <si>
    <t>7. Generate monitoring reports &amp; Report validation</t>
  </si>
  <si>
    <t>8. Data Analysis</t>
  </si>
  <si>
    <t>9. Find suspicious list for the audit model</t>
  </si>
  <si>
    <t>10. Summarize suspicious list using graphs</t>
  </si>
  <si>
    <t xml:space="preserve">11. Create tracking &amp; monitoring report </t>
  </si>
  <si>
    <t>12. Present to P' To</t>
  </si>
  <si>
    <t xml:space="preserve">13. Added: Characteristic profiling </t>
  </si>
  <si>
    <t>14. Present to P' To</t>
  </si>
  <si>
    <t>ข้อมูลที่ใช้ทำ audit model performance ยังเป็น manual ทั้งข้อมูลจาก instinct และ รายงานที่เป็น Excel จากทีม monitor ประกอบด้วย 2 report คือ</t>
  </si>
  <si>
    <t>[1]Prevention Amt dashboard [2]%Fraud + Reject</t>
  </si>
  <si>
    <r>
      <t xml:space="preserve">- Gether Requirement from System team and Monitoring team
- </t>
    </r>
    <r>
      <rPr>
        <sz val="9"/>
        <rFont val="Tahoma"/>
        <family val="2"/>
      </rPr>
      <t>P'Ter help export data from Instinct</t>
    </r>
  </si>
  <si>
    <t xml:space="preserve">Raw data preparation and validation </t>
  </si>
  <si>
    <t>Data Aggregate [1] [2]</t>
  </si>
  <si>
    <t>Dashboard : Design and approve</t>
  </si>
  <si>
    <t>Dashboard : Implement , Back test , UAT</t>
  </si>
  <si>
    <t>test โดยการดึงข้อมูลเป็นรายวันเพื่อเช็ค bug ต่างๆ</t>
  </si>
  <si>
    <t>Sign off</t>
  </si>
  <si>
    <t>Gether Requirement from P' tum and preparation and validation data</t>
  </si>
  <si>
    <t xml:space="preserve">     Cont. Audit model Dashbord with performance rule report</t>
  </si>
  <si>
    <t>Implement on Qliksense dashboard</t>
  </si>
  <si>
    <t>Tochbase / get feedback with P'To</t>
  </si>
  <si>
    <t>Checkpoint-1 : Review with P'Tum</t>
  </si>
  <si>
    <t>Finding data credit limit from PM dashbord  (Eban pararell)</t>
  </si>
  <si>
    <t xml:space="preserve">     Fraud rate Dashbord</t>
  </si>
  <si>
    <t>Raw data preparation and validation</t>
  </si>
  <si>
    <t>Redesign/adjust bigquery schema</t>
  </si>
  <si>
    <t>Optimize query &amp; convert to stored procedure</t>
  </si>
  <si>
    <t>Mocked data for testing (increase data size)</t>
  </si>
  <si>
    <t>Test run end-to-end</t>
  </si>
  <si>
    <t>Dashboard: Get requirement</t>
  </si>
  <si>
    <t>Dashboard: Designs</t>
  </si>
  <si>
    <t>Dashboard: Data pipeline</t>
  </si>
  <si>
    <t>Dashboard: Create dashboard</t>
  </si>
  <si>
    <t>Dashboard: Validate dashboard</t>
  </si>
  <si>
    <t>gather data (npl flag and questionnaire)</t>
  </si>
  <si>
    <t>explore preliminary data (data understanding)</t>
  </si>
  <si>
    <t>task1 - answers edition analysis (การแก้ไขคำตอบบ่อยครั้ง)</t>
  </si>
  <si>
    <t>task2 - multiple submissions analysis (การสมัครซ้ำๆ)</t>
  </si>
  <si>
    <t>task3 - answers pattern analysis (การตอบคำถามรูปแบบซ้ำๆ)</t>
  </si>
  <si>
    <t>Fraud expertise review the selected rules</t>
  </si>
  <si>
    <t>Data analysis for decision support (Rule reduction)</t>
  </si>
  <si>
    <t>Requirement &amp; Design monitoring dashboard</t>
  </si>
  <si>
    <t>Understanding data sources</t>
  </si>
  <si>
    <t>Data pipeline for monitoring results</t>
  </si>
  <si>
    <t>Create monitoring dashboard</t>
  </si>
  <si>
    <t>Validate dashboard</t>
  </si>
  <si>
    <t>Check point: Review by P'To</t>
  </si>
  <si>
    <t>Understand rule components(e.g. counter, formula, card profile, etc.) and data source</t>
  </si>
  <si>
    <t>Try 2 rules: Query rule variables from EBAN</t>
  </si>
  <si>
    <t>Try 2 rules: Optimize variable threshold for existing rule</t>
  </si>
  <si>
    <t>Initial summary</t>
  </si>
  <si>
    <t>Try another 6 rules: Query rule variables from EBAN</t>
  </si>
  <si>
    <t>Try another 6 rules: Optimize variable threshold for existing rule</t>
  </si>
  <si>
    <t>Presentation</t>
  </si>
  <si>
    <t>Understanding loan origination process</t>
  </si>
  <si>
    <t>Design GCP fraud detection flow/Financial Projection</t>
  </si>
  <si>
    <t>Design database and fields</t>
  </si>
  <si>
    <t>Design/modify rules</t>
  </si>
  <si>
    <t>Design testcase scenarios (by rules)</t>
  </si>
  <si>
    <t>Mock test data for test cases</t>
  </si>
  <si>
    <t>Review database design with KBTG</t>
  </si>
  <si>
    <t>Consult/plan API devlopment with Google</t>
  </si>
  <si>
    <t>Develop API1 (negative list)</t>
  </si>
  <si>
    <t>Develop API2 (scoring)</t>
  </si>
  <si>
    <t>Develop API3 (application)</t>
  </si>
  <si>
    <t>Develop Excel Add-ins</t>
  </si>
  <si>
    <t>UAT: Running test cases</t>
  </si>
  <si>
    <t>API Integration Instruction</t>
  </si>
  <si>
    <t>Documents for Kbank internal parties</t>
  </si>
  <si>
    <t>Other parties processing documents</t>
  </si>
  <si>
    <t>Penn Test</t>
  </si>
  <si>
    <t>Fix API security issues and retest</t>
  </si>
  <si>
    <t>Data analysis1: Target dist &amp; cut-off</t>
  </si>
  <si>
    <t>Chech point: Review analysis1</t>
  </si>
  <si>
    <t>Data analysis2: Add OS</t>
  </si>
  <si>
    <t>Check point: Review analysis2</t>
  </si>
  <si>
    <t>Routine Monitoring: Data Preparation</t>
  </si>
  <si>
    <t>Routine Monitoring: Analysis on change target and window</t>
  </si>
  <si>
    <t>Routine Monitoring: Generate Report per P'To suggestion</t>
  </si>
  <si>
    <t>KPL, CC, KEC: Data preparation</t>
  </si>
  <si>
    <t>KPL, CC, KEC: Data analysis, Target dist &amp; cut-off</t>
  </si>
  <si>
    <t>product: KPL, CC, Express Cash</t>
  </si>
  <si>
    <t>KPL, CC, KEC: Chech point</t>
  </si>
  <si>
    <t xml:space="preserve">Data exploration </t>
  </si>
  <si>
    <t>Data analysis &amp; summary</t>
  </si>
  <si>
    <t>Check point1: Data analysis</t>
  </si>
  <si>
    <t>Rule Reduction by Assosiation Rule Mining</t>
  </si>
  <si>
    <t>Review Rules with Data expert</t>
  </si>
  <si>
    <t>Retrain rules added (if any rule purposed)</t>
  </si>
  <si>
    <t>Try Logistic Regression on flag triggered rules</t>
  </si>
  <si>
    <t>Assign score in Safer</t>
  </si>
  <si>
    <t>Backtest Sep'22 and Oct'22</t>
  </si>
  <si>
    <t xml:space="preserve"> *** 20/10/2022 Vacation leave</t>
  </si>
  <si>
    <t>Understanding (data &amp; report from CP)</t>
  </si>
  <si>
    <t>Check point1: Consult with P' TO</t>
  </si>
  <si>
    <t>SQL code for data extraction</t>
  </si>
  <si>
    <t>Review SQL code with Data expert</t>
  </si>
  <si>
    <t>Create report: pymt _due_dt concept</t>
  </si>
  <si>
    <t>Add: report year 2021 (CC, KEC)</t>
  </si>
  <si>
    <t>Request from P'TO</t>
  </si>
  <si>
    <t>Check point2: Present to P' TO</t>
  </si>
  <si>
    <t>Add: KPL data &amp; Insight from DPD report</t>
  </si>
  <si>
    <t>Check point3: Present to P' TO</t>
  </si>
  <si>
    <t>Add: Early NPL analysis (DPD60+M03)</t>
  </si>
  <si>
    <t>Check point4: Present to P' TO</t>
  </si>
  <si>
    <t>SQL code for data extraction &amp; Review with Data expert</t>
  </si>
  <si>
    <t>Check point1: Review with Data expert</t>
  </si>
  <si>
    <t>Create dpd flag (FPD, Early NPL 60+M03)</t>
  </si>
  <si>
    <t xml:space="preserve"> *** 26/10/2022 Data bootcamp (Full day)</t>
  </si>
  <si>
    <t>Add application profiling</t>
  </si>
  <si>
    <t>Data preparation (Loan, OD)</t>
  </si>
  <si>
    <t>Data validation</t>
  </si>
  <si>
    <t>Discuss with CP team</t>
  </si>
  <si>
    <t>Edit cohort count and market codes for loan</t>
  </si>
  <si>
    <t>*** 18/11/2022 Data bootcamp</t>
  </si>
  <si>
    <t>Edit cohort count and market codes for OD</t>
  </si>
  <si>
    <t>Profile mapping (loan and OD)</t>
  </si>
  <si>
    <t>*** 29/11/2022 Data bootcamp</t>
  </si>
  <si>
    <t>Check point2: Present to P' Nak</t>
  </si>
  <si>
    <t>Data Understanding</t>
  </si>
  <si>
    <t>SQL code and Data Preparation</t>
  </si>
  <si>
    <t>Data Exploration</t>
  </si>
  <si>
    <t>Data Analysis for new population criteria</t>
  </si>
  <si>
    <t>Check point 1</t>
  </si>
  <si>
    <t xml:space="preserve"> *** 01/11/2022 Vacation leave</t>
  </si>
  <si>
    <t>Understanding technique LR scoring</t>
  </si>
  <si>
    <t>Create LR model &amp; model performance</t>
  </si>
  <si>
    <t>Result discussion (1st checkpoint)</t>
  </si>
  <si>
    <t>Tuning rule score</t>
  </si>
  <si>
    <t>Result review (2nd checkpoint)</t>
  </si>
  <si>
    <t>Present to P'TO</t>
  </si>
  <si>
    <t>Add more analysis for supporting results</t>
  </si>
  <si>
    <t>Result review (3rd checkpoint)</t>
  </si>
  <si>
    <t>Consolidate CC,KEC,KPL data and code from Project P0033</t>
  </si>
  <si>
    <t>Revise KCL SQL code according to Project P0033</t>
  </si>
  <si>
    <t>Data Analysis</t>
  </si>
  <si>
    <t>Check point</t>
  </si>
  <si>
    <t>Kick-off meeting</t>
  </si>
  <si>
    <t>Team</t>
  </si>
  <si>
    <t>Dashboard design &amp; Data Analysis</t>
  </si>
  <si>
    <t>Team EA</t>
  </si>
  <si>
    <t>Dashboard review (1st checkpoint)</t>
  </si>
  <si>
    <t>Dashboard review (2nd checkpoint)</t>
  </si>
  <si>
    <t>Initial data ingestion</t>
  </si>
  <si>
    <t>พี่นพ</t>
  </si>
  <si>
    <t>Data preparation i.e. KPL, CC, KEC</t>
  </si>
  <si>
    <t>พี่นพ &amp; ทีมคุณแอร์</t>
  </si>
  <si>
    <t>Data preparation i.e. KCL CSA, KCL eOD</t>
  </si>
  <si>
    <t>พี่เตอร์ &amp; น้องทรี</t>
  </si>
  <si>
    <t>Data review (1st checkpoint)</t>
  </si>
  <si>
    <t>Team FR</t>
  </si>
  <si>
    <t>Data review (2nd checkpoint)</t>
  </si>
  <si>
    <t>Insight finding analysis (KPL, CC, KEC)</t>
  </si>
  <si>
    <t>Insight finding analysis (KCL CSA, KCL eOD)</t>
  </si>
  <si>
    <t>Dashboard final review</t>
  </si>
  <si>
    <t>Investigate data criteria: KPL</t>
  </si>
  <si>
    <t>Investigate data criteria: CC &amp; KEC</t>
  </si>
  <si>
    <t>Data exploring &amp; understaning</t>
  </si>
  <si>
    <t>Initial data analysis &amp; summary</t>
  </si>
  <si>
    <t>Analysis review (1st checkpoint)</t>
  </si>
  <si>
    <t>Create NTB &amp; NTC rejection rules</t>
  </si>
  <si>
    <t>Result discussion (2nd checkpoint)</t>
  </si>
  <si>
    <t>Implement plan (NTB &amp; NTC Rejection rules)</t>
  </si>
  <si>
    <t>NTC audit rules (NCB data added)</t>
  </si>
  <si>
    <t>วริศลา 5-12dec, 13 Dec: กิจกรรมที่บางปะกง</t>
  </si>
  <si>
    <t>Result discussion (3rd checkpoint)</t>
  </si>
  <si>
    <t>NTC audit rules (EBAN data added)</t>
  </si>
  <si>
    <t>Result discussion (4th checkpoint)</t>
  </si>
  <si>
    <t>NTC audit rules (Feat. Eng. added1)</t>
  </si>
  <si>
    <t>Result discussion (5th checkpoint)</t>
  </si>
  <si>
    <t>NTC audit rules (Feat. Eng. Added2)</t>
  </si>
  <si>
    <t>Result discussion (6th checkpoint)</t>
  </si>
  <si>
    <t>NTC Audit rules (Occupation focused)</t>
  </si>
  <si>
    <t>*** Nop พักร้อน 13-16 Jan</t>
  </si>
  <si>
    <t>Result discussion (7th checkpoint)</t>
  </si>
  <si>
    <t>*** Focus ที่ NTC Reject &amp; Audit Rule ก่อน (L' Ter)</t>
  </si>
  <si>
    <t>NTC non-biz both audit and rejection [1]</t>
  </si>
  <si>
    <t>Result discussion (8th checkpoint)</t>
  </si>
  <si>
    <t>NTC non-biz both audit and rejection [2]</t>
  </si>
  <si>
    <t>NTC non-biz both audit and rejection [3]</t>
  </si>
  <si>
    <t>Query for DPD data of KCL-Shopee</t>
  </si>
  <si>
    <t>ทรีลา 13 - 15 dec</t>
  </si>
  <si>
    <t>Check matching of KCL-CSA data</t>
  </si>
  <si>
    <t>ECL calculation</t>
  </si>
  <si>
    <t>Cumulative Distribution Plot for population, FPD, ENPL</t>
  </si>
  <si>
    <t>Generate raw and cube files based on new definition</t>
  </si>
  <si>
    <t>Revise bad definition OD, add month_tenure data</t>
  </si>
  <si>
    <t>Query data from CDSW</t>
  </si>
  <si>
    <t>Revise SQL and query data: 90pM04, Segment by Apply Date</t>
  </si>
  <si>
    <t>Sanity check new data, cascading OKR, Y2022 Loss if no risk segment</t>
  </si>
  <si>
    <t>Design OKR Dashboard with K.Pai's Team</t>
  </si>
  <si>
    <t>Check point 2</t>
  </si>
  <si>
    <t>Extract data</t>
  </si>
  <si>
    <t>Feature Generation</t>
  </si>
  <si>
    <t>Check point 1: preliminary result</t>
  </si>
  <si>
    <t>Explore and extract data 1</t>
  </si>
  <si>
    <t>Data Analysis 1</t>
  </si>
  <si>
    <t>Explore and extract data 2</t>
  </si>
  <si>
    <t>Data Analysis 2</t>
  </si>
  <si>
    <t>Generate features</t>
  </si>
  <si>
    <t>Check point: features</t>
  </si>
  <si>
    <t>Understanding (Data &amp; BigQuery)</t>
  </si>
  <si>
    <t>Create dashboard with BigQuery</t>
  </si>
  <si>
    <t>Check point1: Review dashboard</t>
  </si>
  <si>
    <t>Data preparation (trans type by weekly)</t>
  </si>
  <si>
    <t>Variable exploring</t>
  </si>
  <si>
    <t>Check point1: Review Variable exploring</t>
  </si>
  <si>
    <t>Data preparation (add profiling)</t>
  </si>
  <si>
    <t xml:space="preserve">Lampang patterns </t>
  </si>
  <si>
    <t>Check point2: Review Lampang patterns</t>
  </si>
  <si>
    <t>Create DataFrame OKR Threshold</t>
  </si>
  <si>
    <t>Create DataFrame OKR Data</t>
  </si>
  <si>
    <t>KCL Persona (industry) data explore</t>
  </si>
  <si>
    <t>Revise SQL and ipynb for KCL Persona</t>
  </si>
  <si>
    <t>PayLater Data Explore</t>
  </si>
  <si>
    <t>SQL and ipynb for PayLater</t>
  </si>
  <si>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</si>
  <si>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</si>
  <si>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</si>
  <si>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</si>
  <si>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</si>
  <si>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</si>
  <si>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</si>
  <si>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</si>
  <si>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</si>
  <si>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</si>
  <si>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</si>
  <si>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</si>
  <si>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</si>
  <si>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</si>
  <si>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</si>
  <si>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</si>
  <si>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</si>
  <si>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</si>
  <si>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</si>
  <si>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</si>
  <si>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</si>
  <si>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</si>
  <si>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</si>
  <si>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</si>
  <si>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</si>
  <si>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</si>
  <si>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</si>
  <si>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</si>
  <si>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Revise SQL to sync with number of booking in another report</t>
  </si>
  <si>
    <t>Explore and understanding data and kplus journey</t>
  </si>
  <si>
    <t>Implementing rules to the system</t>
  </si>
  <si>
    <t>P0049</t>
  </si>
  <si>
    <t>P0050</t>
  </si>
  <si>
    <t xml:space="preserve"> - study and draft intital data structure format to be used and shared by working team
 - study and collaborate to set up an explicit operation flow diagram</t>
  </si>
  <si>
    <t xml:space="preserve"> - intial data structure and format
 - explicit operation flow (first draft)</t>
  </si>
  <si>
    <t>Finding patterns in customers</t>
  </si>
  <si>
    <t>Check point: patterns in customers</t>
  </si>
  <si>
    <t>ARM on dashboard features</t>
  </si>
  <si>
    <t>KCL Loan/OD rejected sub-segments</t>
  </si>
  <si>
    <t>EBT for accum rejected sub-segments</t>
  </si>
  <si>
    <t xml:space="preserve"> - ARM to reject high NPL sub-segments
- Calculate EBT for each scenario of rejecting high NPL sub-segments</t>
  </si>
  <si>
    <t xml:space="preserve"> - Rejection rules</t>
  </si>
  <si>
    <t>P0051</t>
  </si>
  <si>
    <t>Check point3: Review latest result</t>
  </si>
  <si>
    <t>Kplus Location Analysis (Pattern 1)</t>
  </si>
  <si>
    <t>explore current operation flow</t>
  </si>
  <si>
    <t>discuss/adjust operation flow</t>
  </si>
  <si>
    <t>Enhance criterion (Cust profiles)</t>
  </si>
  <si>
    <t>Run report to Feb-2023</t>
  </si>
  <si>
    <t>Check point4: Review latest result</t>
  </si>
  <si>
    <t>Enhance criterion (Fin. trans.)</t>
  </si>
  <si>
    <t>P0052</t>
  </si>
  <si>
    <t>Kplus employee phone analysis V2</t>
  </si>
  <si>
    <t>Review and Clean Code V1</t>
  </si>
  <si>
    <t>Explore and extract new data</t>
  </si>
  <si>
    <t>OKR by quarter</t>
  </si>
  <si>
    <t>Prepare Presentation</t>
  </si>
  <si>
    <t>redesign data structure and format (Rnd1)</t>
  </si>
  <si>
    <t xml:space="preserve">Add face scan, dipchip, transfer-own </t>
  </si>
  <si>
    <t>Variable exploring new data</t>
  </si>
  <si>
    <t>ARM</t>
  </si>
  <si>
    <t>P0053</t>
  </si>
  <si>
    <t>- Analyze various features against 90+M04 on various products in DPD Monitoring data</t>
  </si>
  <si>
    <t>-Suggested bin for various features (e.g. FICO, Month Tenure, and Age)</t>
  </si>
  <si>
    <t>Binning Analysis</t>
  </si>
  <si>
    <t>Clustering Risky Persona</t>
  </si>
  <si>
    <t>Prepare data for pilot investigation</t>
  </si>
  <si>
    <t>Change registration data sources</t>
  </si>
  <si>
    <t>P0054</t>
  </si>
  <si>
    <t>Kplus employee phone analysis on production</t>
  </si>
  <si>
    <t>Rewrite jupyter notebook V2</t>
  </si>
  <si>
    <t>Test and check result</t>
  </si>
  <si>
    <t xml:space="preserve">Review SQL </t>
  </si>
  <si>
    <t>Design table content (internal fraud)</t>
  </si>
  <si>
    <t>Review and check point 2</t>
  </si>
  <si>
    <t>chekpoint1 with DS team</t>
  </si>
  <si>
    <t>setup initial format and begin tracking BAU tasks</t>
  </si>
  <si>
    <t>checkpoint2 for feedback</t>
  </si>
  <si>
    <t>adjust template</t>
  </si>
  <si>
    <t>Internal Fraud Tracking</t>
  </si>
  <si>
    <t>prep data pipeline and finalize code</t>
  </si>
  <si>
    <t>checkpoint2</t>
  </si>
  <si>
    <t xml:space="preserve"> - improve data process</t>
  </si>
  <si>
    <t xml:space="preserve"> - stable data process with lesser man power and time consumed</t>
  </si>
  <si>
    <t>understand current steps and pain points</t>
  </si>
  <si>
    <t>explore VBA for automated data from outlook</t>
  </si>
  <si>
    <t>explore cleansing steps</t>
  </si>
  <si>
    <t>explore data processing from EBAN</t>
  </si>
  <si>
    <t>checkpoint1</t>
  </si>
  <si>
    <t>adjust codes</t>
  </si>
  <si>
    <t>DPD Monitoring: Booking of risky segment</t>
  </si>
  <si>
    <t>P0055</t>
  </si>
  <si>
    <t>Pattern D001 improvement</t>
  </si>
  <si>
    <t>Create reducing false criterion (1) ORFT same a/c owners (2) Lists of A/c histories</t>
  </si>
  <si>
    <t>Data Preparation</t>
  </si>
  <si>
    <t>Criteria: ORFT same a/c owners</t>
  </si>
  <si>
    <t>Criteria: Lists of transfer money a/c no.</t>
  </si>
  <si>
    <t>Final review</t>
  </si>
  <si>
    <t>Internal fraud</t>
  </si>
  <si>
    <t>Application fraud</t>
  </si>
  <si>
    <t>Digital fraud</t>
  </si>
  <si>
    <t>UAT (Phase I)</t>
  </si>
  <si>
    <t>checkpoint3</t>
  </si>
  <si>
    <t>P0056</t>
  </si>
  <si>
    <t>DPD Monitoring: ARM model improvement</t>
  </si>
  <si>
    <t>Improve ARM model performance to create applicable rejection rules.</t>
  </si>
  <si>
    <t>Applicable rejection rules</t>
  </si>
  <si>
    <t>Revise Clustering Risky Persona</t>
  </si>
  <si>
    <t>Extract Cluster Rules</t>
  </si>
  <si>
    <t>Model Understanding</t>
  </si>
  <si>
    <t>Model Development 1</t>
  </si>
  <si>
    <t>Parameter Tuning</t>
  </si>
  <si>
    <t>Model Development 2</t>
  </si>
  <si>
    <t>Added criterion for Anomaly patterns</t>
  </si>
  <si>
    <t xml:space="preserve"> -- 18/05 พี่เตอร์ Bootcamp</t>
  </si>
  <si>
    <t>DPD Monitoring Report rev3</t>
  </si>
  <si>
    <t xml:space="preserve"> - Revise Paylater code
 - Cross check data with Rejection Model Team (Nan&amp;Peem)</t>
  </si>
  <si>
    <t>Revise Paylater's OKR, binning, FPD, and occupation</t>
  </si>
  <si>
    <t>P0057</t>
  </si>
  <si>
    <t>Digital Fraud (NSC7.2) Phase 2</t>
  </si>
  <si>
    <t xml:space="preserve"> - expand data scope
 - update logics
 - replace tasks with automated process</t>
  </si>
  <si>
    <t xml:space="preserve"> - enhanced data pipleine (less human error)</t>
  </si>
  <si>
    <t>explore EBAN to expand data scope</t>
  </si>
  <si>
    <t>develop tool to automatically pull data from sharedrive</t>
  </si>
  <si>
    <t>update code and logics</t>
  </si>
  <si>
    <t>UAT (Phase II)</t>
  </si>
  <si>
    <t>Digital Fraud (NSC7.2) Phase 1</t>
  </si>
  <si>
    <t>P0058</t>
  </si>
  <si>
    <t>Build Infrastructure</t>
  </si>
  <si>
    <t>Design Dashboard</t>
  </si>
  <si>
    <t>Build Dashboard</t>
  </si>
  <si>
    <t>Testing Phase</t>
  </si>
  <si>
    <t>OKR Performance - Requirement, Template, Schedule</t>
  </si>
  <si>
    <t>Testing Phase - Loss Data</t>
  </si>
  <si>
    <t>Testing Phase - OKR Performance</t>
  </si>
  <si>
    <t xml:space="preserve">Testing Phase </t>
  </si>
  <si>
    <t xml:space="preserve"> - Dashboard Rule Performance</t>
  </si>
  <si>
    <t xml:space="preserve">Rule Performance (By Rule/Pattern) Dashboard </t>
  </si>
  <si>
    <t xml:space="preserve"> - Create dashboard for rule performance</t>
  </si>
  <si>
    <t>P0059</t>
  </si>
  <si>
    <t xml:space="preserve"> - Increase dimensions on OKR dashboard </t>
  </si>
  <si>
    <t xml:space="preserve"> - Dashboard OKR Performance</t>
  </si>
  <si>
    <t>P0060</t>
  </si>
  <si>
    <t xml:space="preserve">Productivity (SLA) Dashboard </t>
  </si>
  <si>
    <t xml:space="preserve"> - Calculate average SLA</t>
  </si>
  <si>
    <t xml:space="preserve"> - Check efficiency /monitor pattern results </t>
  </si>
  <si>
    <t>Generate Features from Instinct V1</t>
  </si>
  <si>
    <t>Model Development 3</t>
  </si>
  <si>
    <t>Validate Arm's data Vs Peem and Nan</t>
  </si>
  <si>
    <t>Digital Fraud (NSC7.1)</t>
  </si>
  <si>
    <t xml:space="preserve"> - track financial path (follow logics from NSC7.2)</t>
  </si>
  <si>
    <t xml:space="preserve"> - financial path tracking result</t>
  </si>
  <si>
    <t>P0061</t>
  </si>
  <si>
    <t>kick-off meeting for scope and requirements</t>
  </si>
  <si>
    <t>develop tool and set up job</t>
  </si>
  <si>
    <t>perform testrun and confirm results</t>
  </si>
  <si>
    <t>prepare data pipeline and finalize code</t>
  </si>
  <si>
    <t>UAT</t>
  </si>
  <si>
    <t>Implementation: Rule Evaluation</t>
  </si>
  <si>
    <t>Others</t>
  </si>
  <si>
    <t>Card fraud</t>
  </si>
  <si>
    <t>Create Template</t>
  </si>
  <si>
    <t>Testing P'Mieang Results</t>
  </si>
  <si>
    <t>Check Point</t>
  </si>
  <si>
    <t xml:space="preserve">Build Excel Dashboard </t>
  </si>
  <si>
    <t>Design Excel Dashboard</t>
  </si>
  <si>
    <t>Build Excel Dashboard</t>
  </si>
  <si>
    <t>Design and Create Data Template</t>
  </si>
  <si>
    <t>Understanding Loss Data Input and Output</t>
  </si>
  <si>
    <t>Finishing Other Results</t>
  </si>
  <si>
    <t>P0062</t>
  </si>
  <si>
    <t xml:space="preserve"> - Validate rules with Nan and Peem</t>
  </si>
  <si>
    <t>P0063</t>
  </si>
  <si>
    <t>CP's new report Vs ours</t>
  </si>
  <si>
    <t>Proposing new FR concept</t>
  </si>
  <si>
    <t>P0064</t>
  </si>
  <si>
    <t xml:space="preserve"> - Create rule with feature from Instinct 
- Validate rules with Nan and Peem
-  Implement rules on Instinct</t>
  </si>
  <si>
    <t xml:space="preserve"> - Booking Dashboard with risky persona</t>
  </si>
  <si>
    <t xml:space="preserve"> - DPD Monitoring Dashboard</t>
  </si>
  <si>
    <t>Create features from Instinct</t>
  </si>
  <si>
    <t>Model development 1</t>
  </si>
  <si>
    <t>Model development 2 (simplfy if constrained by Instinct)</t>
  </si>
  <si>
    <t>Validate result 1 with Nan</t>
  </si>
  <si>
    <t>Validate result 2 with Nan (not sure if need)</t>
  </si>
  <si>
    <t>Create rules on Instinct</t>
  </si>
  <si>
    <t>Verify rules on Instinct (UAT? Visual cross check? Need to discuss p'Tum or Nan)</t>
  </si>
  <si>
    <t>Explore Instinct data in EBAN</t>
  </si>
  <si>
    <t>Data pipeline: Instinct data to Booking dashboard data</t>
  </si>
  <si>
    <t>Data pipeline: Rule to flag Booking dashboard data</t>
  </si>
  <si>
    <t>Sync with Booking Dashboard data/ Common data</t>
  </si>
  <si>
    <t>Revise SQL/Python</t>
  </si>
  <si>
    <t>Recalculate OKR</t>
  </si>
  <si>
    <t>Revise Tableau dashboard</t>
  </si>
  <si>
    <t>DPD Risky Segment on Instinct as Reject/Audit Rules</t>
  </si>
  <si>
    <t>DPD Risky Segment on Booking Report</t>
  </si>
  <si>
    <t>DPD Dashboard New FR Concept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</si>
</sst>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87" formatCode="_(* #,##0.00_);_(* \(#,##0.00\);_(* &quot;-&quot;??_);_(@_)"/>
    <numFmt numFmtId="188" formatCode="_(* #,##0_);_(* \(#,##0\);_(* &quot;-&quot;??_);_(@_)"/>
    <numFmt numFmtId="189" formatCode="0.0%"/>
  </numFmts>
  <fonts count="30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color theme="1"/>
      <name val="Tahoma"/>
      <family val="2"/>
    </font>
    <font>
      <b/>
      <sz val="11"/>
      <color rgb="FF444444"/>
      <name val="Tahoma"/>
      <family val="2"/>
    </font>
    <font>
      <sz val="11"/>
      <color rgb="FF444444"/>
      <name val="Tahoma"/>
      <family val="2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sz val="10"/>
      <color rgb="FFC00000"/>
      <name val="Tahoma"/>
      <family val="2"/>
    </font>
    <font>
      <b/>
      <sz val="10"/>
      <color theme="0"/>
      <name val="Tahoma"/>
      <family val="2"/>
    </font>
    <font>
      <sz val="8"/>
      <name val="Tahoma"/>
      <family val="2"/>
      <scheme val="minor"/>
    </font>
    <font>
      <sz val="10"/>
      <color theme="0"/>
      <name val="Tahoma"/>
      <family val="2"/>
    </font>
    <font>
      <u/>
      <sz val="11"/>
      <color theme="10"/>
      <name val="Tahoma"/>
      <family val="2"/>
      <scheme val="minor"/>
    </font>
    <font>
      <u/>
      <sz val="10"/>
      <color theme="10"/>
      <name val="Tahoma"/>
      <family val="2"/>
      <scheme val="minor"/>
    </font>
    <font>
      <sz val="10"/>
      <color rgb="FFFF0000"/>
      <name val="Tahoma"/>
      <family val="2"/>
    </font>
    <font>
      <sz val="8"/>
      <color rgb="FF000099"/>
      <name val="Tahoma"/>
      <family val="2"/>
    </font>
    <font>
      <sz val="10"/>
      <color rgb="FF000099"/>
      <name val="Tahoma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sz val="9"/>
      <color theme="1"/>
      <name val="Tahoma"/>
      <family val="2"/>
    </font>
    <font>
      <sz val="9"/>
      <color rgb="FFC00000"/>
      <name val="Tahoma"/>
      <family val="2"/>
    </font>
    <font>
      <sz val="10"/>
      <name val="Tahoma"/>
      <family val="2"/>
    </font>
    <font>
      <sz val="10"/>
      <color theme="0" tint="-0.249977111117893"/>
      <name val="Tahoma"/>
      <family val="2"/>
    </font>
    <font>
      <sz val="10"/>
      <color rgb="FF000000"/>
      <name val="Tahoma"/>
      <family val="2"/>
    </font>
    <font>
      <sz val="10"/>
      <color theme="5" tint="-0.249977111117893"/>
      <name val="Tahoma"/>
      <family val="2"/>
    </font>
    <font>
      <sz val="9"/>
      <name val="Tahoma"/>
      <family val="2"/>
    </font>
    <font>
      <sz val="10"/>
      <color theme="1" tint="0.249977111117893"/>
      <name val="Tahoma"/>
      <family val="2"/>
    </font>
    <font>
      <b/>
      <sz val="10"/>
      <color rgb="FFFF0000"/>
      <name val="Tahoma"/>
      <family val="2"/>
    </font>
    <font>
      <sz val="10"/>
      <color rgb="FFC00000"/>
      <name val="Tahoma"/>
      <family val="2"/>
    </font>
    <font>
      <sz val="10"/>
      <color theme="1"/>
      <name val="Tahoma"/>
      <family val="2"/>
    </font>
    <font>
      <sz val="10"/>
      <color rgb="FFC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16">
    <xf numFmtId="0" fontId="0" fillId="0" borderId="0" xfId="0"/>
    <xf numFmtId="14" fontId="4" fillId="4" borderId="1" xfId="0" applyNumberFormat="1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4" fillId="4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49" fontId="6" fillId="0" borderId="1" xfId="0" applyNumberFormat="1" applyFont="1" applyBorder="1" applyAlignment="1">
      <alignment vertical="top" wrapText="1"/>
    </xf>
    <xf numFmtId="9" fontId="6" fillId="0" borderId="1" xfId="2" applyFont="1" applyFill="1" applyBorder="1" applyAlignment="1">
      <alignment horizontal="right" vertical="center"/>
    </xf>
    <xf numFmtId="14" fontId="7" fillId="0" borderId="1" xfId="0" quotePrefix="1" applyNumberFormat="1" applyFont="1" applyBorder="1" applyAlignment="1">
      <alignment vertical="center"/>
    </xf>
    <xf numFmtId="14" fontId="7" fillId="0" borderId="1" xfId="0" applyNumberFormat="1" applyFont="1" applyBorder="1" applyAlignment="1">
      <alignment vertical="center"/>
    </xf>
    <xf numFmtId="14" fontId="6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top" wrapText="1"/>
    </xf>
    <xf numFmtId="0" fontId="6" fillId="0" borderId="0" xfId="0" applyFont="1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188" fontId="6" fillId="0" borderId="1" xfId="3" applyNumberFormat="1" applyFont="1" applyFill="1" applyBorder="1" applyAlignment="1">
      <alignment vertical="center"/>
    </xf>
    <xf numFmtId="0" fontId="8" fillId="6" borderId="1" xfId="0" applyFont="1" applyFill="1" applyBorder="1" applyAlignment="1">
      <alignment horizontal="center" vertical="center"/>
    </xf>
    <xf numFmtId="9" fontId="10" fillId="7" borderId="1" xfId="2" applyFont="1" applyFill="1" applyBorder="1" applyAlignment="1">
      <alignment horizontal="right" vertical="center"/>
    </xf>
    <xf numFmtId="14" fontId="10" fillId="7" borderId="1" xfId="0" quotePrefix="1" applyNumberFormat="1" applyFont="1" applyFill="1" applyBorder="1" applyAlignment="1">
      <alignment vertical="center"/>
    </xf>
    <xf numFmtId="14" fontId="10" fillId="7" borderId="1" xfId="0" applyNumberFormat="1" applyFont="1" applyFill="1" applyBorder="1" applyAlignment="1">
      <alignment vertical="center"/>
    </xf>
    <xf numFmtId="188" fontId="10" fillId="7" borderId="1" xfId="3" applyNumberFormat="1" applyFont="1" applyFill="1" applyBorder="1" applyAlignment="1">
      <alignment vertical="center"/>
    </xf>
    <xf numFmtId="188" fontId="6" fillId="0" borderId="0" xfId="0" applyNumberFormat="1" applyFont="1" applyAlignment="1">
      <alignment vertical="center"/>
    </xf>
    <xf numFmtId="43" fontId="6" fillId="0" borderId="0" xfId="0" applyNumberFormat="1" applyFont="1" applyAlignment="1">
      <alignment vertical="center"/>
    </xf>
    <xf numFmtId="49" fontId="8" fillId="7" borderId="1" xfId="0" applyNumberFormat="1" applyFont="1" applyFill="1" applyBorder="1" applyAlignment="1">
      <alignment horizontal="center" vertical="center" wrapText="1"/>
    </xf>
    <xf numFmtId="189" fontId="10" fillId="7" borderId="1" xfId="2" applyNumberFormat="1" applyFont="1" applyFill="1" applyBorder="1" applyAlignment="1">
      <alignment horizontal="right" vertical="center"/>
    </xf>
    <xf numFmtId="49" fontId="6" fillId="0" borderId="1" xfId="0" applyNumberFormat="1" applyFont="1" applyBorder="1" applyAlignment="1">
      <alignment vertical="top"/>
    </xf>
    <xf numFmtId="9" fontId="6" fillId="0" borderId="1" xfId="2" applyFont="1" applyBorder="1" applyAlignment="1">
      <alignment horizontal="right" vertical="center"/>
    </xf>
    <xf numFmtId="188" fontId="6" fillId="0" borderId="1" xfId="3" applyNumberFormat="1" applyFont="1" applyBorder="1" applyAlignment="1">
      <alignment vertical="center"/>
    </xf>
    <xf numFmtId="49" fontId="6" fillId="0" borderId="1" xfId="0" applyNumberFormat="1" applyFont="1" applyBorder="1" applyAlignment="1">
      <alignment horizontal="left" vertical="top"/>
    </xf>
    <xf numFmtId="14" fontId="6" fillId="0" borderId="0" xfId="0" applyNumberFormat="1" applyFont="1" applyAlignment="1">
      <alignment vertical="center"/>
    </xf>
    <xf numFmtId="49" fontId="6" fillId="8" borderId="1" xfId="0" applyNumberFormat="1" applyFont="1" applyFill="1" applyBorder="1" applyAlignment="1">
      <alignment vertical="top" wrapText="1"/>
    </xf>
    <xf numFmtId="9" fontId="6" fillId="8" borderId="1" xfId="2" applyFont="1" applyFill="1" applyBorder="1" applyAlignment="1">
      <alignment horizontal="right" vertical="center"/>
    </xf>
    <xf numFmtId="14" fontId="7" fillId="8" borderId="1" xfId="0" quotePrefix="1" applyNumberFormat="1" applyFont="1" applyFill="1" applyBorder="1" applyAlignment="1">
      <alignment vertical="center"/>
    </xf>
    <xf numFmtId="14" fontId="7" fillId="8" borderId="1" xfId="0" applyNumberFormat="1" applyFont="1" applyFill="1" applyBorder="1" applyAlignment="1">
      <alignment vertical="center"/>
    </xf>
    <xf numFmtId="14" fontId="6" fillId="8" borderId="1" xfId="0" applyNumberFormat="1" applyFont="1" applyFill="1" applyBorder="1" applyAlignment="1">
      <alignment vertical="center"/>
    </xf>
    <xf numFmtId="188" fontId="6" fillId="8" borderId="1" xfId="3" applyNumberFormat="1" applyFont="1" applyFill="1" applyBorder="1" applyAlignment="1">
      <alignment vertical="center"/>
    </xf>
    <xf numFmtId="0" fontId="6" fillId="0" borderId="0" xfId="0" applyFont="1"/>
    <xf numFmtId="43" fontId="6" fillId="0" borderId="0" xfId="0" applyNumberFormat="1" applyFont="1"/>
    <xf numFmtId="0" fontId="14" fillId="0" borderId="0" xfId="0" quotePrefix="1" applyFont="1" applyAlignment="1">
      <alignment horizontal="left" vertical="top"/>
    </xf>
    <xf numFmtId="0" fontId="15" fillId="0" borderId="0" xfId="0" applyFont="1"/>
    <xf numFmtId="49" fontId="14" fillId="0" borderId="0" xfId="0" quotePrefix="1" applyNumberFormat="1" applyFont="1" applyAlignment="1">
      <alignment horizontal="left"/>
    </xf>
    <xf numFmtId="0" fontId="16" fillId="6" borderId="1" xfId="0" applyFont="1" applyFill="1" applyBorder="1" applyAlignment="1">
      <alignment horizontal="center" vertical="center"/>
    </xf>
    <xf numFmtId="49" fontId="16" fillId="7" borderId="1" xfId="0" applyNumberFormat="1" applyFont="1" applyFill="1" applyBorder="1" applyAlignment="1">
      <alignment horizontal="center" vertical="center" wrapText="1"/>
    </xf>
    <xf numFmtId="9" fontId="17" fillId="7" borderId="1" xfId="2" applyFont="1" applyFill="1" applyBorder="1" applyAlignment="1">
      <alignment horizontal="right" vertical="center"/>
    </xf>
    <xf numFmtId="14" fontId="17" fillId="7" borderId="1" xfId="0" applyNumberFormat="1" applyFont="1" applyFill="1" applyBorder="1" applyAlignment="1">
      <alignment vertical="center"/>
    </xf>
    <xf numFmtId="188" fontId="17" fillId="7" borderId="1" xfId="3" applyNumberFormat="1" applyFont="1" applyFill="1" applyBorder="1" applyAlignment="1">
      <alignment vertical="center"/>
    </xf>
    <xf numFmtId="49" fontId="18" fillId="0" borderId="1" xfId="0" quotePrefix="1" applyNumberFormat="1" applyFont="1" applyBorder="1" applyAlignment="1">
      <alignment vertical="top" wrapText="1"/>
    </xf>
    <xf numFmtId="9" fontId="18" fillId="0" borderId="1" xfId="2" applyFont="1" applyBorder="1" applyAlignment="1">
      <alignment horizontal="right" vertical="center"/>
    </xf>
    <xf numFmtId="14" fontId="19" fillId="0" borderId="1" xfId="0" applyNumberFormat="1" applyFont="1" applyBorder="1" applyAlignment="1">
      <alignment vertical="center"/>
    </xf>
    <xf numFmtId="14" fontId="18" fillId="0" borderId="1" xfId="0" applyNumberFormat="1" applyFont="1" applyBorder="1" applyAlignment="1">
      <alignment vertical="center"/>
    </xf>
    <xf numFmtId="188" fontId="18" fillId="0" borderId="1" xfId="3" applyNumberFormat="1" applyFont="1" applyBorder="1" applyAlignment="1">
      <alignment vertical="center"/>
    </xf>
    <xf numFmtId="49" fontId="18" fillId="0" borderId="1" xfId="0" applyNumberFormat="1" applyFont="1" applyBorder="1" applyAlignment="1">
      <alignment vertical="top" wrapText="1"/>
    </xf>
    <xf numFmtId="49" fontId="18" fillId="0" borderId="1" xfId="0" applyNumberFormat="1" applyFont="1" applyBorder="1" applyAlignment="1">
      <alignment horizontal="left" vertical="top" wrapText="1"/>
    </xf>
    <xf numFmtId="43" fontId="14" fillId="0" borderId="0" xfId="0" applyNumberFormat="1" applyFont="1"/>
    <xf numFmtId="9" fontId="21" fillId="0" borderId="1" xfId="2" applyFont="1" applyFill="1" applyBorder="1" applyAlignment="1">
      <alignment horizontal="right" vertical="center"/>
    </xf>
    <xf numFmtId="49" fontId="22" fillId="0" borderId="1" xfId="0" applyNumberFormat="1" applyFont="1" applyBorder="1" applyAlignment="1">
      <alignment vertical="top" wrapText="1"/>
    </xf>
    <xf numFmtId="188" fontId="22" fillId="0" borderId="1" xfId="3" applyNumberFormat="1" applyFont="1" applyFill="1" applyBorder="1" applyAlignment="1">
      <alignment vertical="center"/>
    </xf>
    <xf numFmtId="49" fontId="15" fillId="0" borderId="1" xfId="0" applyNumberFormat="1" applyFont="1" applyBorder="1" applyAlignment="1">
      <alignment vertical="top" wrapText="1"/>
    </xf>
    <xf numFmtId="49" fontId="23" fillId="0" borderId="1" xfId="0" applyNumberFormat="1" applyFont="1" applyBorder="1" applyAlignment="1">
      <alignment vertical="top" wrapText="1"/>
    </xf>
    <xf numFmtId="49" fontId="23" fillId="0" borderId="1" xfId="0" applyNumberFormat="1" applyFont="1" applyBorder="1" applyAlignment="1">
      <alignment horizontal="left" vertical="top" wrapText="1"/>
    </xf>
    <xf numFmtId="188" fontId="6" fillId="0" borderId="2" xfId="3" applyNumberFormat="1" applyFont="1" applyFill="1" applyBorder="1" applyAlignment="1">
      <alignment vertical="center"/>
    </xf>
    <xf numFmtId="0" fontId="8" fillId="0" borderId="0" xfId="0" applyFont="1" applyAlignment="1">
      <alignment horizontal="center" vertical="center"/>
    </xf>
    <xf numFmtId="188" fontId="10" fillId="0" borderId="0" xfId="3" applyNumberFormat="1" applyFont="1" applyFill="1" applyBorder="1" applyAlignment="1">
      <alignment vertical="center"/>
    </xf>
    <xf numFmtId="188" fontId="15" fillId="0" borderId="0" xfId="0" applyNumberFormat="1" applyFont="1" applyAlignment="1">
      <alignment horizontal="left" vertical="center"/>
    </xf>
    <xf numFmtId="0" fontId="6" fillId="0" borderId="1" xfId="0" applyFont="1" applyBorder="1" applyAlignment="1">
      <alignment vertical="center"/>
    </xf>
    <xf numFmtId="49" fontId="22" fillId="0" borderId="1" xfId="0" applyNumberFormat="1" applyFont="1" applyBorder="1" applyAlignment="1">
      <alignment vertical="center" wrapText="1"/>
    </xf>
    <xf numFmtId="188" fontId="22" fillId="0" borderId="1" xfId="3" applyNumberFormat="1" applyFont="1" applyBorder="1" applyAlignment="1">
      <alignment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vertical="center" wrapText="1"/>
    </xf>
    <xf numFmtId="49" fontId="22" fillId="0" borderId="1" xfId="0" quotePrefix="1" applyNumberFormat="1" applyFont="1" applyBorder="1" applyAlignment="1">
      <alignment vertical="center" wrapText="1"/>
    </xf>
    <xf numFmtId="49" fontId="6" fillId="0" borderId="1" xfId="0" applyNumberFormat="1" applyFont="1" applyBorder="1" applyAlignment="1">
      <alignment vertical="center" wrapText="1"/>
    </xf>
    <xf numFmtId="0" fontId="12" fillId="0" borderId="1" xfId="4" applyFont="1" applyBorder="1" applyAlignment="1">
      <alignment horizontal="left" vertical="center"/>
    </xf>
    <xf numFmtId="49" fontId="6" fillId="0" borderId="1" xfId="0" quotePrefix="1" applyNumberFormat="1" applyFont="1" applyBorder="1" applyAlignment="1">
      <alignment vertical="center" wrapText="1"/>
    </xf>
    <xf numFmtId="49" fontId="6" fillId="0" borderId="1" xfId="0" quotePrefix="1" applyNumberFormat="1" applyFont="1" applyBorder="1" applyAlignment="1">
      <alignment horizontal="left" vertical="center" wrapText="1"/>
    </xf>
    <xf numFmtId="49" fontId="20" fillId="0" borderId="1" xfId="0" quotePrefix="1" applyNumberFormat="1" applyFont="1" applyBorder="1" applyAlignment="1">
      <alignment vertical="center" wrapText="1"/>
    </xf>
    <xf numFmtId="0" fontId="11" fillId="0" borderId="1" xfId="4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11" fillId="0" borderId="1" xfId="4" applyBorder="1" applyAlignment="1">
      <alignment horizontal="left" vertical="center" wrapText="1"/>
    </xf>
    <xf numFmtId="9" fontId="25" fillId="0" borderId="1" xfId="2" applyFont="1" applyFill="1" applyBorder="1" applyAlignment="1">
      <alignment horizontal="right" vertical="center"/>
    </xf>
    <xf numFmtId="0" fontId="25" fillId="0" borderId="1" xfId="0" applyFont="1" applyBorder="1" applyAlignment="1">
      <alignment vertical="center"/>
    </xf>
    <xf numFmtId="49" fontId="25" fillId="0" borderId="1" xfId="0" applyNumberFormat="1" applyFont="1" applyBorder="1" applyAlignment="1">
      <alignment vertical="top" wrapText="1"/>
    </xf>
    <xf numFmtId="49" fontId="25" fillId="0" borderId="1" xfId="0" applyNumberFormat="1" applyFont="1" applyBorder="1" applyAlignment="1">
      <alignment horizontal="left" vertical="top" wrapText="1"/>
    </xf>
    <xf numFmtId="188" fontId="6" fillId="0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0" fillId="0" borderId="1" xfId="0" quotePrefix="1" applyNumberFormat="1" applyFont="1" applyBorder="1" applyAlignment="1">
      <alignment vertical="center"/>
    </xf>
    <xf numFmtId="14" fontId="20" fillId="0" borderId="1" xfId="0" applyNumberFormat="1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6" fillId="0" borderId="1" xfId="0" quotePrefix="1" applyFont="1" applyBorder="1" applyAlignment="1">
      <alignment vertical="center" wrapText="1"/>
    </xf>
    <xf numFmtId="49" fontId="13" fillId="0" borderId="1" xfId="0" applyNumberFormat="1" applyFont="1" applyBorder="1" applyAlignment="1">
      <alignment vertical="center" wrapText="1"/>
    </xf>
    <xf numFmtId="0" fontId="26" fillId="5" borderId="1" xfId="0" applyFont="1" applyFill="1" applyBorder="1" applyAlignment="1">
      <alignment horizontal="center" vertical="center"/>
    </xf>
    <xf numFmtId="49" fontId="8" fillId="7" borderId="1" xfId="0" applyNumberFormat="1" applyFont="1" applyFill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0" fontId="11" fillId="0" borderId="3" xfId="4" applyBorder="1" applyAlignment="1">
      <alignment horizontal="left" vertical="center"/>
    </xf>
    <xf numFmtId="49" fontId="22" fillId="0" borderId="3" xfId="0" quotePrefix="1" applyNumberFormat="1" applyFont="1" applyBorder="1" applyAlignment="1">
      <alignment vertical="center" wrapText="1"/>
    </xf>
    <xf numFmtId="9" fontId="6" fillId="0" borderId="3" xfId="2" applyFont="1" applyFill="1" applyBorder="1" applyAlignment="1">
      <alignment horizontal="right" vertical="center"/>
    </xf>
    <xf numFmtId="14" fontId="7" fillId="0" borderId="3" xfId="0" quotePrefix="1" applyNumberFormat="1" applyFont="1" applyBorder="1" applyAlignment="1">
      <alignment vertical="center"/>
    </xf>
    <xf numFmtId="14" fontId="7" fillId="0" borderId="3" xfId="0" applyNumberFormat="1" applyFont="1" applyBorder="1" applyAlignment="1">
      <alignment vertical="center"/>
    </xf>
    <xf numFmtId="14" fontId="6" fillId="0" borderId="3" xfId="0" applyNumberFormat="1" applyFont="1" applyBorder="1" applyAlignment="1">
      <alignment vertical="center"/>
    </xf>
    <xf numFmtId="188" fontId="6" fillId="0" borderId="3" xfId="1" applyNumberFormat="1" applyFont="1" applyFill="1" applyBorder="1" applyAlignment="1">
      <alignment horizontal="center" vertical="center"/>
    </xf>
    <xf numFmtId="14" fontId="27" fillId="0" borderId="1" xfId="0" applyNumberFormat="1" applyFont="1" applyBorder="1" applyAlignment="1">
      <alignment vertical="center"/>
    </xf>
    <xf numFmtId="49" fontId="28" fillId="0" borderId="1" xfId="0" applyNumberFormat="1" applyFont="1" applyBorder="1" applyAlignment="1">
      <alignment horizontal="left" vertical="top" wrapText="1"/>
    </xf>
    <xf numFmtId="9" fontId="28" fillId="0" borderId="1" xfId="2" applyFont="1" applyBorder="1" applyAlignment="1">
      <alignment horizontal="right" vertical="center"/>
    </xf>
    <xf numFmtId="14" fontId="29" fillId="0" borderId="1" xfId="0" applyNumberFormat="1" applyFont="1" applyBorder="1" applyAlignment="1">
      <alignment vertical="center"/>
    </xf>
    <xf numFmtId="14" fontId="28" fillId="0" borderId="1" xfId="0" applyNumberFormat="1" applyFont="1" applyBorder="1" applyAlignment="1">
      <alignment vertical="center"/>
    </xf>
    <xf numFmtId="188" fontId="28" fillId="0" borderId="1" xfId="3" applyNumberFormat="1" applyFont="1" applyBorder="1" applyAlignment="1">
      <alignment vertical="center"/>
    </xf>
    <xf numFmtId="188" fontId="28" fillId="0" borderId="0" xfId="0" applyNumberFormat="1" applyFont="1" applyAlignment="1">
      <alignment vertical="center"/>
    </xf>
    <xf numFmtId="43" fontId="28" fillId="0" borderId="0" xfId="0" applyNumberFormat="1" applyFont="1" applyAlignment="1">
      <alignment vertical="center"/>
    </xf>
    <xf numFmtId="0" fontId="6" fillId="0" borderId="1" xfId="0" applyFont="1" applyBorder="1" applyAlignment="1">
      <alignment horizontal="left" vertical="center" wrapText="1"/>
    </xf>
    <xf numFmtId="2" fontId="6" fillId="0" borderId="0" xfId="0" applyNumberFormat="1" applyFont="1" applyAlignment="1">
      <alignment vertical="center"/>
    </xf>
    <xf numFmtId="0" fontId="14" fillId="0" borderId="0" xfId="0" applyFont="1" applyAlignment="1">
      <alignment horizontal="left" wrapText="1"/>
    </xf>
    <xf numFmtId="188" fontId="23" fillId="0" borderId="0" xfId="0" applyNumberFormat="1" applyFont="1" applyAlignment="1">
      <alignment horizontal="left" vertical="center"/>
    </xf>
    <xf numFmtId="188" fontId="15" fillId="0" borderId="0" xfId="0" applyNumberFormat="1" applyFont="1" applyAlignment="1">
      <alignment horizontal="left" vertical="center"/>
    </xf>
  </cellXfs>
  <cellStyles count="5">
    <cellStyle name="Comma" xfId="1" builtinId="3"/>
    <cellStyle name="Comma 2" xfId="3" xr:uid="{00000000-0005-0000-0000-000001000000}"/>
    <cellStyle name="Hyperlink" xfId="4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69273</xdr:colOff>
      <xdr:row>2</xdr:row>
      <xdr:rowOff>25979</xdr:rowOff>
    </xdr:from>
    <xdr:to>
      <xdr:col>7</xdr:col>
      <xdr:colOff>242454</xdr:colOff>
      <xdr:row>4</xdr:row>
      <xdr:rowOff>129887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846A48EE-DEC7-DDBB-7A58-DAB8F505FCEB}"/>
            </a:ext>
          </a:extLst>
        </xdr:cNvPr>
        <xdr:cNvSpPr/>
      </xdr:nvSpPr>
      <xdr:spPr>
        <a:xfrm>
          <a:off x="7819159" y="528206"/>
          <a:ext cx="173181" cy="432954"/>
        </a:xfrm>
        <a:prstGeom prst="rightBrace">
          <a:avLst/>
        </a:prstGeom>
        <a:ln w="12700">
          <a:solidFill>
            <a:srgbClr val="0000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57150</xdr:colOff>
      <xdr:row>6</xdr:row>
      <xdr:rowOff>48493</xdr:rowOff>
    </xdr:from>
    <xdr:to>
      <xdr:col>7</xdr:col>
      <xdr:colOff>225137</xdr:colOff>
      <xdr:row>9</xdr:row>
      <xdr:rowOff>112568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4D470233-ECE4-4AF1-9833-E5EF26177783}"/>
            </a:ext>
          </a:extLst>
        </xdr:cNvPr>
        <xdr:cNvSpPr/>
      </xdr:nvSpPr>
      <xdr:spPr>
        <a:xfrm>
          <a:off x="7807036" y="1044288"/>
          <a:ext cx="167987" cy="557644"/>
        </a:xfrm>
        <a:prstGeom prst="rightBrace">
          <a:avLst/>
        </a:prstGeom>
        <a:ln w="12700">
          <a:solidFill>
            <a:schemeClr val="accent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ornpol Kong-im" id="{F7E6F6DE-8CA1-48DC-BFE9-BF753F993820}" userId="S::pornpol.k@kasikornbank.com::81aa6e7e-ce94-4af7-b1e0-7a2fc2197eb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2-05-10T07:24:46.33" personId="{F7E6F6DE-8CA1-48DC-BFE9-BF753F993820}" id="{1E636047-90E2-4C26-8C7B-3AB9732F6EC0}">
    <text>Not include 
Suspect Withdrawal QR  Rule 9 (AE)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showGridLines="0" workbookViewId="0">
      <selection activeCell="A9" sqref="A9:B9"/>
    </sheetView>
  </sheetViews>
  <sheetFormatPr defaultRowHeight="14" x14ac:dyDescent="0.3"/>
  <cols>
    <col min="1" max="3" width="15" customWidth="1"/>
  </cols>
  <sheetData>
    <row r="1" spans="1:3" x14ac:dyDescent="0.3">
      <c r="A1" s="5" t="s">
        <v>0</v>
      </c>
      <c r="B1" s="5" t="s">
        <v>1</v>
      </c>
      <c r="C1" s="5" t="s">
        <v>2</v>
      </c>
    </row>
    <row r="2" spans="1:3" x14ac:dyDescent="0.3">
      <c r="A2" s="7" t="s">
        <v>3</v>
      </c>
      <c r="B2" s="7" t="s">
        <v>4</v>
      </c>
      <c r="C2" s="7" t="s">
        <v>5</v>
      </c>
    </row>
    <row r="3" spans="1:3" x14ac:dyDescent="0.3">
      <c r="A3" s="7" t="s">
        <v>6</v>
      </c>
      <c r="B3" s="7" t="s">
        <v>7</v>
      </c>
      <c r="C3" s="7" t="s">
        <v>8</v>
      </c>
    </row>
    <row r="4" spans="1:3" x14ac:dyDescent="0.3">
      <c r="A4" s="7" t="s">
        <v>9</v>
      </c>
      <c r="B4" s="7" t="s">
        <v>10</v>
      </c>
      <c r="C4" s="7" t="s">
        <v>11</v>
      </c>
    </row>
    <row r="5" spans="1:3" x14ac:dyDescent="0.3">
      <c r="A5" s="7" t="s">
        <v>12</v>
      </c>
      <c r="B5" s="7" t="s">
        <v>13</v>
      </c>
      <c r="C5" s="7" t="s">
        <v>14</v>
      </c>
    </row>
    <row r="6" spans="1:3" x14ac:dyDescent="0.3">
      <c r="A6" s="7" t="s">
        <v>15</v>
      </c>
      <c r="B6" s="7" t="s">
        <v>16</v>
      </c>
      <c r="C6" s="7" t="s">
        <v>17</v>
      </c>
    </row>
    <row r="7" spans="1:3" x14ac:dyDescent="0.3">
      <c r="A7" s="7" t="s">
        <v>18</v>
      </c>
      <c r="B7" s="7" t="s">
        <v>19</v>
      </c>
      <c r="C7" s="7" t="s">
        <v>20</v>
      </c>
    </row>
    <row r="8" spans="1:3" x14ac:dyDescent="0.3">
      <c r="A8" s="7" t="s">
        <v>21</v>
      </c>
      <c r="B8" s="7" t="s">
        <v>22</v>
      </c>
      <c r="C8" s="7" t="s">
        <v>23</v>
      </c>
    </row>
    <row r="9" spans="1:3" x14ac:dyDescent="0.3">
      <c r="A9" s="7" t="s">
        <v>24</v>
      </c>
      <c r="B9" s="7" t="s">
        <v>25</v>
      </c>
      <c r="C9" s="7" t="s">
        <v>26</v>
      </c>
    </row>
  </sheetData>
  <pageMargins left="0.7" right="0.7" top="0.75" bottom="0.75" header="0.3" footer="0.3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U65"/>
  <sheetViews>
    <sheetView showGridLines="0" topLeftCell="A57" zoomScaleNormal="100" workbookViewId="0">
      <selection activeCell="C44" sqref="C44"/>
    </sheetView>
  </sheetViews>
  <sheetFormatPr defaultColWidth="8" defaultRowHeight="12.5" outlineLevelCol="1" x14ac:dyDescent="0.3"/>
  <cols>
    <col min="1" max="1" width="10" style="15" customWidth="1"/>
    <col min="2" max="2" width="8" style="18" customWidth="1"/>
    <col min="3" max="3" width="27.58203125" style="15" customWidth="1"/>
    <col min="4" max="4" width="38.58203125" style="15" customWidth="1" outlineLevel="1"/>
    <col min="5" max="5" width="25" style="15" customWidth="1" outlineLevel="1"/>
    <col min="6" max="6" width="12" style="18" customWidth="1" outlineLevel="1"/>
    <col min="7" max="7" width="10" style="15" customWidth="1"/>
    <col min="8" max="10" width="11.08203125" style="15" bestFit="1" customWidth="1"/>
    <col min="11" max="11" width="6" style="87" customWidth="1"/>
    <col min="12" max="14" width="6" style="87" customWidth="1" outlineLevel="1"/>
    <col min="15" max="16" width="7" style="87" customWidth="1" outlineLevel="1"/>
    <col min="17" max="20" width="6" style="15" hidden="1" customWidth="1" outlineLevel="1"/>
    <col min="21" max="21" width="6" style="15" hidden="1" customWidth="1"/>
    <col min="22" max="16384" width="8" style="15"/>
  </cols>
  <sheetData>
    <row r="1" spans="1:21" ht="30" customHeight="1" x14ac:dyDescent="0.3">
      <c r="A1" s="16" t="s">
        <v>27</v>
      </c>
      <c r="B1" s="16" t="s">
        <v>28</v>
      </c>
      <c r="C1" s="16" t="s">
        <v>29</v>
      </c>
      <c r="D1" s="16" t="s">
        <v>30</v>
      </c>
      <c r="E1" s="16" t="s">
        <v>31</v>
      </c>
      <c r="F1" s="16" t="s">
        <v>32</v>
      </c>
      <c r="G1" s="16" t="s">
        <v>33</v>
      </c>
      <c r="H1" s="16" t="s">
        <v>34</v>
      </c>
      <c r="I1" s="16" t="s">
        <v>35</v>
      </c>
      <c r="J1" s="16" t="s">
        <v>36</v>
      </c>
      <c r="K1" s="16" t="s">
        <v>37</v>
      </c>
      <c r="L1" s="16" t="s">
        <v>8</v>
      </c>
      <c r="M1" s="16" t="s">
        <v>11</v>
      </c>
      <c r="N1" s="16" t="s">
        <v>14</v>
      </c>
      <c r="O1" s="16" t="s">
        <v>38</v>
      </c>
      <c r="P1" s="16" t="s">
        <v>535</v>
      </c>
      <c r="Q1" s="93" t="s">
        <v>39</v>
      </c>
      <c r="R1" s="93" t="s">
        <v>20</v>
      </c>
      <c r="S1" s="93" t="s">
        <v>23</v>
      </c>
      <c r="T1" s="93" t="s">
        <v>26</v>
      </c>
      <c r="U1" s="93" t="s">
        <v>40</v>
      </c>
    </row>
    <row r="2" spans="1:21" x14ac:dyDescent="0.3">
      <c r="A2" s="68" t="s">
        <v>41</v>
      </c>
      <c r="B2" s="71" t="s">
        <v>42</v>
      </c>
      <c r="C2" s="74" t="s">
        <v>43</v>
      </c>
      <c r="D2" s="74" t="s">
        <v>44</v>
      </c>
      <c r="E2" s="74" t="s">
        <v>45</v>
      </c>
      <c r="F2" s="17" t="s">
        <v>634</v>
      </c>
      <c r="G2" s="9">
        <v>0</v>
      </c>
      <c r="H2" s="10">
        <v>44690</v>
      </c>
      <c r="I2" s="11">
        <v>44691</v>
      </c>
      <c r="J2" s="12">
        <v>44690</v>
      </c>
      <c r="K2" s="86">
        <v>1</v>
      </c>
      <c r="L2" s="13"/>
      <c r="M2" s="13"/>
      <c r="N2" s="13"/>
      <c r="O2" s="13"/>
      <c r="P2" s="13"/>
      <c r="Q2" s="13">
        <v>1</v>
      </c>
      <c r="R2" s="13"/>
      <c r="S2" s="13"/>
      <c r="T2" s="13"/>
      <c r="U2" s="13"/>
    </row>
    <row r="3" spans="1:21" x14ac:dyDescent="0.3">
      <c r="A3" s="68" t="s">
        <v>41</v>
      </c>
      <c r="B3" s="71" t="s">
        <v>46</v>
      </c>
      <c r="C3" s="74" t="s">
        <v>43</v>
      </c>
      <c r="D3" s="74" t="s">
        <v>44</v>
      </c>
      <c r="E3" s="74" t="s">
        <v>45</v>
      </c>
      <c r="F3" s="17" t="s">
        <v>634</v>
      </c>
      <c r="G3" s="9">
        <v>0</v>
      </c>
      <c r="H3" s="10">
        <v>44721</v>
      </c>
      <c r="I3" s="11">
        <v>44722</v>
      </c>
      <c r="J3" s="12">
        <v>44721</v>
      </c>
      <c r="K3" s="86">
        <v>1</v>
      </c>
      <c r="L3" s="13"/>
      <c r="M3" s="13"/>
      <c r="N3" s="13"/>
      <c r="O3" s="13"/>
      <c r="P3" s="13"/>
      <c r="Q3" s="13">
        <v>1</v>
      </c>
      <c r="R3" s="13"/>
      <c r="S3" s="13"/>
      <c r="T3" s="13"/>
      <c r="U3" s="13"/>
    </row>
    <row r="4" spans="1:21" x14ac:dyDescent="0.3">
      <c r="A4" s="68" t="s">
        <v>41</v>
      </c>
      <c r="B4" s="71" t="s">
        <v>47</v>
      </c>
      <c r="C4" s="74" t="s">
        <v>43</v>
      </c>
      <c r="D4" s="74" t="s">
        <v>44</v>
      </c>
      <c r="E4" s="74" t="s">
        <v>45</v>
      </c>
      <c r="F4" s="17" t="s">
        <v>634</v>
      </c>
      <c r="G4" s="9">
        <v>0</v>
      </c>
      <c r="H4" s="10">
        <v>44750</v>
      </c>
      <c r="I4" s="11">
        <v>44751</v>
      </c>
      <c r="J4" s="12">
        <v>44750</v>
      </c>
      <c r="K4" s="86">
        <v>1</v>
      </c>
      <c r="L4" s="13"/>
      <c r="M4" s="13"/>
      <c r="N4" s="13"/>
      <c r="O4" s="13"/>
      <c r="P4" s="13"/>
      <c r="Q4" s="13">
        <v>1</v>
      </c>
      <c r="R4" s="13"/>
      <c r="S4" s="13"/>
      <c r="T4" s="13"/>
      <c r="U4" s="13"/>
    </row>
    <row r="5" spans="1:21" ht="25" x14ac:dyDescent="0.3">
      <c r="A5" s="71" t="s">
        <v>41</v>
      </c>
      <c r="B5" s="71" t="s">
        <v>48</v>
      </c>
      <c r="C5" s="17" t="s">
        <v>49</v>
      </c>
      <c r="D5" s="17" t="s">
        <v>50</v>
      </c>
      <c r="E5" s="17" t="s">
        <v>51</v>
      </c>
      <c r="F5" s="17" t="s">
        <v>575</v>
      </c>
      <c r="G5" s="9">
        <v>0</v>
      </c>
      <c r="H5" s="10">
        <v>44700</v>
      </c>
      <c r="I5" s="11">
        <v>44701</v>
      </c>
      <c r="J5" s="12">
        <v>44700</v>
      </c>
      <c r="K5" s="86">
        <v>1</v>
      </c>
      <c r="L5" s="13"/>
      <c r="M5" s="13"/>
      <c r="N5" s="13"/>
      <c r="O5" s="13"/>
      <c r="P5" s="13"/>
      <c r="Q5" s="13">
        <v>1</v>
      </c>
      <c r="R5" s="13"/>
      <c r="S5" s="13"/>
      <c r="T5" s="13"/>
      <c r="U5" s="13"/>
    </row>
    <row r="6" spans="1:21" ht="25" x14ac:dyDescent="0.3">
      <c r="A6" s="71" t="s">
        <v>41</v>
      </c>
      <c r="B6" s="71" t="s">
        <v>52</v>
      </c>
      <c r="C6" s="17" t="s">
        <v>49</v>
      </c>
      <c r="D6" s="17" t="s">
        <v>50</v>
      </c>
      <c r="E6" s="17" t="s">
        <v>51</v>
      </c>
      <c r="F6" s="17" t="s">
        <v>575</v>
      </c>
      <c r="G6" s="9">
        <v>0</v>
      </c>
      <c r="H6" s="10">
        <v>44732</v>
      </c>
      <c r="I6" s="11">
        <v>44733</v>
      </c>
      <c r="J6" s="12">
        <v>44731</v>
      </c>
      <c r="K6" s="86">
        <v>1</v>
      </c>
      <c r="L6" s="13"/>
      <c r="M6" s="13"/>
      <c r="N6" s="13"/>
      <c r="O6" s="13"/>
      <c r="P6" s="13"/>
      <c r="Q6" s="13">
        <v>1</v>
      </c>
      <c r="R6" s="13"/>
      <c r="S6" s="13"/>
      <c r="T6" s="13"/>
      <c r="U6" s="13"/>
    </row>
    <row r="7" spans="1:21" ht="25" x14ac:dyDescent="0.3">
      <c r="A7" s="71" t="s">
        <v>53</v>
      </c>
      <c r="B7" s="75" t="s">
        <v>54</v>
      </c>
      <c r="C7" s="17" t="s">
        <v>55</v>
      </c>
      <c r="D7" s="17" t="s">
        <v>56</v>
      </c>
      <c r="E7" s="17" t="s">
        <v>57</v>
      </c>
      <c r="F7" s="17" t="s">
        <v>575</v>
      </c>
      <c r="G7" s="9">
        <v>1</v>
      </c>
      <c r="H7" s="10">
        <v>44620</v>
      </c>
      <c r="I7" s="11">
        <v>44622</v>
      </c>
      <c r="J7" s="12">
        <v>44620</v>
      </c>
      <c r="K7" s="86">
        <v>2</v>
      </c>
      <c r="L7" s="13"/>
      <c r="M7" s="13"/>
      <c r="N7" s="13"/>
      <c r="O7" s="13"/>
      <c r="P7" s="13"/>
      <c r="Q7" s="13">
        <v>1</v>
      </c>
      <c r="R7" s="13"/>
      <c r="S7" s="13"/>
      <c r="T7" s="13"/>
      <c r="U7" s="13"/>
    </row>
    <row r="8" spans="1:21" ht="25" x14ac:dyDescent="0.3">
      <c r="A8" s="71" t="s">
        <v>53</v>
      </c>
      <c r="B8" s="75" t="s">
        <v>58</v>
      </c>
      <c r="C8" s="17" t="s">
        <v>59</v>
      </c>
      <c r="D8" s="17" t="s">
        <v>60</v>
      </c>
      <c r="E8" s="17" t="s">
        <v>61</v>
      </c>
      <c r="F8" s="17" t="s">
        <v>575</v>
      </c>
      <c r="G8" s="9">
        <v>1</v>
      </c>
      <c r="H8" s="10">
        <v>44676</v>
      </c>
      <c r="I8" s="11" cm="1">
        <f t="array" ref="I8">get_finish_date(H8,holidays,K8)</f>
        <v>44685</v>
      </c>
      <c r="J8" s="12">
        <v>44676</v>
      </c>
      <c r="K8" s="86">
        <v>6</v>
      </c>
      <c r="L8" s="13"/>
      <c r="M8" s="13"/>
      <c r="N8" s="13"/>
      <c r="O8" s="13"/>
      <c r="P8" s="13"/>
      <c r="Q8" s="13">
        <v>1</v>
      </c>
      <c r="R8" s="13"/>
      <c r="S8" s="13"/>
      <c r="T8" s="13"/>
      <c r="U8" s="13"/>
    </row>
    <row r="9" spans="1:21" ht="25" x14ac:dyDescent="0.3">
      <c r="A9" s="71" t="s">
        <v>62</v>
      </c>
      <c r="B9" s="75" t="s">
        <v>63</v>
      </c>
      <c r="C9" s="17" t="s">
        <v>64</v>
      </c>
      <c r="D9" s="17" t="s">
        <v>65</v>
      </c>
      <c r="E9" s="17"/>
      <c r="F9" s="17" t="s">
        <v>634</v>
      </c>
      <c r="G9" s="9">
        <v>1</v>
      </c>
      <c r="H9" s="10" cm="1">
        <f t="array" ref="H9">get_start_date(J9,holidays)</f>
        <v>44617</v>
      </c>
      <c r="I9" s="11" cm="1">
        <f t="array" ref="I9">get_finish_date(H9,holidays,K9)</f>
        <v>44621</v>
      </c>
      <c r="J9" s="12">
        <v>44617</v>
      </c>
      <c r="K9" s="86">
        <v>2</v>
      </c>
      <c r="L9" s="13"/>
      <c r="M9" s="13"/>
      <c r="N9" s="13"/>
      <c r="O9" s="13"/>
      <c r="P9" s="13"/>
      <c r="Q9" s="13">
        <v>1</v>
      </c>
      <c r="R9" s="13"/>
      <c r="S9" s="13"/>
      <c r="T9" s="13"/>
      <c r="U9" s="13"/>
    </row>
    <row r="10" spans="1:21" ht="25" x14ac:dyDescent="0.3">
      <c r="A10" s="71" t="s">
        <v>53</v>
      </c>
      <c r="B10" s="75" t="s">
        <v>66</v>
      </c>
      <c r="C10" s="17" t="s">
        <v>67</v>
      </c>
      <c r="D10" s="17" t="s">
        <v>68</v>
      </c>
      <c r="E10" s="17" t="s">
        <v>69</v>
      </c>
      <c r="F10" s="17" t="s">
        <v>573</v>
      </c>
      <c r="G10" s="9">
        <v>1</v>
      </c>
      <c r="H10" s="10" cm="1">
        <f t="array" ref="H10">get_start_date(J10,holidays)</f>
        <v>44614</v>
      </c>
      <c r="I10" s="11" cm="1">
        <f t="array" ref="I10">get_finish_date(H10,holidays,K10)</f>
        <v>44629</v>
      </c>
      <c r="J10" s="12">
        <v>44614</v>
      </c>
      <c r="K10" s="86">
        <v>11</v>
      </c>
      <c r="L10" s="13"/>
      <c r="M10" s="13"/>
      <c r="N10" s="13"/>
      <c r="O10" s="13"/>
      <c r="P10" s="13"/>
      <c r="Q10" s="13"/>
      <c r="R10" s="13">
        <v>1</v>
      </c>
      <c r="S10" s="13"/>
      <c r="T10" s="13"/>
      <c r="U10" s="13"/>
    </row>
    <row r="11" spans="1:21" ht="25" x14ac:dyDescent="0.3">
      <c r="A11" s="71" t="s">
        <v>53</v>
      </c>
      <c r="B11" s="75" t="s">
        <v>70</v>
      </c>
      <c r="C11" s="17" t="s">
        <v>71</v>
      </c>
      <c r="D11" s="17" t="s">
        <v>72</v>
      </c>
      <c r="E11" s="17" t="s">
        <v>73</v>
      </c>
      <c r="F11" s="17" t="s">
        <v>575</v>
      </c>
      <c r="G11" s="9">
        <v>1</v>
      </c>
      <c r="H11" s="10" cm="1">
        <f t="array" ref="H11">get_start_date(J11,holidays)</f>
        <v>44614</v>
      </c>
      <c r="I11" s="11" cm="1">
        <f t="array" ref="I11">get_finish_date(H11,holidays,K11)</f>
        <v>44621</v>
      </c>
      <c r="J11" s="12">
        <v>44614</v>
      </c>
      <c r="K11" s="86">
        <v>5</v>
      </c>
      <c r="L11" s="13"/>
      <c r="M11" s="13"/>
      <c r="N11" s="13"/>
      <c r="O11" s="13"/>
      <c r="P11" s="13"/>
      <c r="Q11" s="13"/>
      <c r="R11" s="13">
        <v>1</v>
      </c>
      <c r="S11" s="13"/>
      <c r="T11" s="13"/>
      <c r="U11" s="13"/>
    </row>
    <row r="12" spans="1:21" ht="25" x14ac:dyDescent="0.3">
      <c r="A12" s="71" t="s">
        <v>53</v>
      </c>
      <c r="B12" s="75" t="s">
        <v>74</v>
      </c>
      <c r="C12" s="17" t="s">
        <v>75</v>
      </c>
      <c r="D12" s="17" t="s">
        <v>56</v>
      </c>
      <c r="E12" s="17" t="s">
        <v>76</v>
      </c>
      <c r="F12" s="17" t="s">
        <v>575</v>
      </c>
      <c r="G12" s="9">
        <f t="array" ref="G12:K12" ca="1">'P0011'!B2:F2</f>
        <v>1</v>
      </c>
      <c r="H12" s="10">
        <v>44603</v>
      </c>
      <c r="I12" s="11">
        <v>44688</v>
      </c>
      <c r="J12" s="12">
        <v>44603</v>
      </c>
      <c r="K12" s="86">
        <v>54</v>
      </c>
      <c r="L12" s="13"/>
      <c r="M12" s="13"/>
      <c r="N12" s="13"/>
      <c r="O12" s="13"/>
      <c r="P12" s="13"/>
      <c r="Q12" s="13">
        <v>1</v>
      </c>
      <c r="R12" s="13">
        <v>1</v>
      </c>
      <c r="S12" s="13"/>
      <c r="T12" s="13"/>
      <c r="U12" s="13"/>
    </row>
    <row r="13" spans="1:21" ht="25" x14ac:dyDescent="0.3">
      <c r="A13" s="71" t="s">
        <v>53</v>
      </c>
      <c r="B13" s="75" t="s">
        <v>77</v>
      </c>
      <c r="C13" s="17" t="s">
        <v>78</v>
      </c>
      <c r="D13" s="17" t="s">
        <v>56</v>
      </c>
      <c r="E13" s="17" t="s">
        <v>79</v>
      </c>
      <c r="F13" s="17" t="s">
        <v>575</v>
      </c>
      <c r="G13" s="9">
        <f t="array" ref="G13:K13" ca="1">'P0012'!B2:F2</f>
        <v>1</v>
      </c>
      <c r="H13" s="10">
        <v>44678</v>
      </c>
      <c r="I13" s="11">
        <v>44744</v>
      </c>
      <c r="J13" s="12">
        <v>44678</v>
      </c>
      <c r="K13" s="86">
        <v>44</v>
      </c>
      <c r="L13" s="13"/>
      <c r="M13" s="13"/>
      <c r="N13" s="13"/>
      <c r="O13" s="13"/>
      <c r="P13" s="13"/>
      <c r="Q13" s="13">
        <v>1</v>
      </c>
      <c r="R13" s="13">
        <v>1</v>
      </c>
      <c r="S13" s="13"/>
      <c r="T13" s="13"/>
      <c r="U13" s="13"/>
    </row>
    <row r="14" spans="1:21" ht="25" x14ac:dyDescent="0.3">
      <c r="A14" s="71" t="s">
        <v>53</v>
      </c>
      <c r="B14" s="75" t="s">
        <v>80</v>
      </c>
      <c r="C14" s="17" t="s">
        <v>81</v>
      </c>
      <c r="D14" s="17" t="s">
        <v>56</v>
      </c>
      <c r="E14" s="17" t="s">
        <v>79</v>
      </c>
      <c r="F14" s="17" t="s">
        <v>575</v>
      </c>
      <c r="G14" s="9">
        <f t="array" ref="G14:K14" ca="1">'P0013'!B2:F2</f>
        <v>1</v>
      </c>
      <c r="H14" s="10">
        <v>44565</v>
      </c>
      <c r="I14" s="11">
        <v>44750</v>
      </c>
      <c r="J14" s="12">
        <v>44562</v>
      </c>
      <c r="K14" s="86">
        <v>124</v>
      </c>
      <c r="L14" s="13"/>
      <c r="M14" s="13"/>
      <c r="N14" s="13"/>
      <c r="O14" s="13"/>
      <c r="P14" s="13"/>
      <c r="Q14" s="13">
        <v>1</v>
      </c>
      <c r="R14" s="13">
        <v>1</v>
      </c>
      <c r="S14" s="13"/>
      <c r="T14" s="13"/>
      <c r="U14" s="13"/>
    </row>
    <row r="15" spans="1:21" ht="37.5" x14ac:dyDescent="0.3">
      <c r="A15" s="71" t="s">
        <v>53</v>
      </c>
      <c r="B15" s="75" t="s">
        <v>82</v>
      </c>
      <c r="C15" s="17" t="s">
        <v>83</v>
      </c>
      <c r="D15" s="17" t="s">
        <v>84</v>
      </c>
      <c r="E15" s="17" t="s">
        <v>85</v>
      </c>
      <c r="F15" s="17" t="s">
        <v>573</v>
      </c>
      <c r="G15" s="9">
        <v>1</v>
      </c>
      <c r="H15" s="10" cm="1">
        <f t="array" ref="H15">get_start_date(J15,holidays)</f>
        <v>44610</v>
      </c>
      <c r="I15" s="11" cm="1">
        <f t="array" ref="I15">get_finish_date(H15,holidays,K15)</f>
        <v>44652</v>
      </c>
      <c r="J15" s="12">
        <v>44610</v>
      </c>
      <c r="K15" s="86">
        <v>30</v>
      </c>
      <c r="L15" s="13"/>
      <c r="M15" s="13"/>
      <c r="N15" s="13"/>
      <c r="O15" s="13"/>
      <c r="P15" s="13"/>
      <c r="Q15" s="13"/>
      <c r="R15" s="13"/>
      <c r="S15" s="13"/>
      <c r="T15" s="13">
        <v>1</v>
      </c>
      <c r="U15" s="13"/>
    </row>
    <row r="16" spans="1:21" ht="37.5" x14ac:dyDescent="0.3">
      <c r="A16" s="68" t="s">
        <v>53</v>
      </c>
      <c r="B16" s="75" t="s">
        <v>86</v>
      </c>
      <c r="C16" s="74" t="s">
        <v>87</v>
      </c>
      <c r="D16" s="74" t="s">
        <v>88</v>
      </c>
      <c r="E16" s="74" t="s">
        <v>85</v>
      </c>
      <c r="F16" s="17" t="s">
        <v>573</v>
      </c>
      <c r="G16" s="9">
        <v>1</v>
      </c>
      <c r="H16" s="10" cm="1">
        <f t="array" ref="H16">get_start_date(J16,holidays)</f>
        <v>44565</v>
      </c>
      <c r="I16" s="11" cm="1">
        <f t="array" ref="I16">get_finish_date(H16,holidays,K16)</f>
        <v>44651</v>
      </c>
      <c r="J16" s="12">
        <v>44565</v>
      </c>
      <c r="K16" s="86">
        <v>61</v>
      </c>
      <c r="L16" s="13"/>
      <c r="M16" s="13"/>
      <c r="N16" s="13"/>
      <c r="O16" s="13"/>
      <c r="P16" s="13"/>
      <c r="Q16" s="13"/>
      <c r="R16" s="13"/>
      <c r="S16" s="13">
        <v>1</v>
      </c>
      <c r="T16" s="13"/>
      <c r="U16" s="13"/>
    </row>
    <row r="17" spans="1:21" ht="62.5" x14ac:dyDescent="0.3">
      <c r="A17" s="68" t="s">
        <v>53</v>
      </c>
      <c r="B17" s="75" t="s">
        <v>89</v>
      </c>
      <c r="C17" s="74" t="s">
        <v>90</v>
      </c>
      <c r="D17" s="76" t="s">
        <v>91</v>
      </c>
      <c r="E17" s="76" t="s">
        <v>92</v>
      </c>
      <c r="F17" s="17" t="s">
        <v>574</v>
      </c>
      <c r="G17" s="9">
        <f t="array" ref="G17:K17" ca="1">'P0016'!B2:F2</f>
        <v>1</v>
      </c>
      <c r="H17" s="10">
        <v>44672</v>
      </c>
      <c r="I17" s="11">
        <v>44742</v>
      </c>
      <c r="J17" s="12">
        <v>44672</v>
      </c>
      <c r="K17" s="86">
        <v>46</v>
      </c>
      <c r="L17" s="13">
        <v>1</v>
      </c>
      <c r="M17" s="13"/>
      <c r="N17" s="13">
        <v>1</v>
      </c>
      <c r="O17" s="13"/>
      <c r="P17" s="13"/>
      <c r="Q17" s="13"/>
      <c r="R17" s="13"/>
      <c r="S17" s="13"/>
      <c r="T17" s="13"/>
      <c r="U17" s="13"/>
    </row>
    <row r="18" spans="1:21" ht="75" x14ac:dyDescent="0.3">
      <c r="A18" s="68" t="s">
        <v>53</v>
      </c>
      <c r="B18" s="75" t="s">
        <v>93</v>
      </c>
      <c r="C18" s="74" t="s">
        <v>94</v>
      </c>
      <c r="D18" s="76" t="s">
        <v>95</v>
      </c>
      <c r="E18" s="76" t="s">
        <v>96</v>
      </c>
      <c r="F18" s="17" t="s">
        <v>574</v>
      </c>
      <c r="G18" s="9">
        <f t="array" ref="G18:K18" ca="1">'P0017'!B2:F2</f>
        <v>1</v>
      </c>
      <c r="H18" s="10">
        <v>44671</v>
      </c>
      <c r="I18" s="11">
        <v>44733</v>
      </c>
      <c r="J18" s="12">
        <v>44671</v>
      </c>
      <c r="K18" s="86">
        <v>40</v>
      </c>
      <c r="L18" s="13">
        <v>1</v>
      </c>
      <c r="M18" s="13"/>
      <c r="N18" s="13"/>
      <c r="O18" s="13"/>
      <c r="P18" s="13"/>
      <c r="Q18" s="13"/>
      <c r="R18" s="13">
        <v>1</v>
      </c>
      <c r="S18" s="13"/>
      <c r="T18" s="13">
        <v>1</v>
      </c>
      <c r="U18" s="13"/>
    </row>
    <row r="19" spans="1:21" ht="50" x14ac:dyDescent="0.3">
      <c r="A19" s="68" t="s">
        <v>53</v>
      </c>
      <c r="B19" s="75" t="s">
        <v>97</v>
      </c>
      <c r="C19" s="74" t="s">
        <v>98</v>
      </c>
      <c r="D19" s="76" t="s">
        <v>99</v>
      </c>
      <c r="E19" s="74" t="s">
        <v>100</v>
      </c>
      <c r="F19" s="17" t="s">
        <v>635</v>
      </c>
      <c r="G19" s="9">
        <f t="array" ref="G19:K19" ca="1">'P0018'!B2:F2</f>
        <v>1</v>
      </c>
      <c r="H19" s="10">
        <v>44691</v>
      </c>
      <c r="I19" s="11">
        <v>44749</v>
      </c>
      <c r="J19" s="12">
        <v>44691</v>
      </c>
      <c r="K19" s="86">
        <v>40</v>
      </c>
      <c r="L19" s="13"/>
      <c r="M19" s="13">
        <v>1</v>
      </c>
      <c r="N19" s="13">
        <v>1</v>
      </c>
      <c r="O19" s="13"/>
      <c r="P19" s="13"/>
      <c r="Q19" s="13"/>
      <c r="R19" s="13"/>
      <c r="S19" s="13"/>
      <c r="T19" s="13"/>
      <c r="U19" s="13"/>
    </row>
    <row r="20" spans="1:21" ht="50" x14ac:dyDescent="0.3">
      <c r="A20" s="68" t="s">
        <v>53</v>
      </c>
      <c r="B20" s="75" t="s">
        <v>101</v>
      </c>
      <c r="C20" s="92" t="s">
        <v>102</v>
      </c>
      <c r="D20" s="74" t="s">
        <v>103</v>
      </c>
      <c r="E20" s="74" t="s">
        <v>100</v>
      </c>
      <c r="F20" s="17" t="s">
        <v>575</v>
      </c>
      <c r="G20" s="9">
        <f t="array" ref="G20:K20">'P0019'!B2:F2</f>
        <v>1</v>
      </c>
      <c r="H20" s="10">
        <v>44691</v>
      </c>
      <c r="I20" s="11">
        <v>44740</v>
      </c>
      <c r="J20" s="12">
        <v>44691</v>
      </c>
      <c r="K20" s="86">
        <v>33</v>
      </c>
      <c r="L20" s="13"/>
      <c r="M20" s="13"/>
      <c r="N20" s="13">
        <v>1</v>
      </c>
      <c r="O20" s="13"/>
      <c r="P20" s="13"/>
      <c r="Q20" s="13">
        <v>1</v>
      </c>
      <c r="R20" s="13"/>
      <c r="S20" s="13"/>
      <c r="T20" s="13"/>
      <c r="U20" s="13"/>
    </row>
    <row r="21" spans="1:21" ht="37.5" x14ac:dyDescent="0.3">
      <c r="A21" s="71" t="s">
        <v>53</v>
      </c>
      <c r="B21" s="75" t="s">
        <v>104</v>
      </c>
      <c r="C21" s="17" t="s">
        <v>105</v>
      </c>
      <c r="D21" s="17" t="s">
        <v>84</v>
      </c>
      <c r="E21" s="17" t="s">
        <v>85</v>
      </c>
      <c r="F21" s="17" t="s">
        <v>573</v>
      </c>
      <c r="G21" s="9">
        <f t="array" ref="G21:K21">'P0020'!B2:F2</f>
        <v>1</v>
      </c>
      <c r="H21" s="10">
        <v>45110</v>
      </c>
      <c r="I21" s="11">
        <v>45204</v>
      </c>
      <c r="J21" s="12">
        <v>45108</v>
      </c>
      <c r="K21" s="86">
        <v>65</v>
      </c>
      <c r="L21" s="13">
        <v>1</v>
      </c>
      <c r="M21" s="13"/>
      <c r="N21" s="13">
        <v>1</v>
      </c>
      <c r="O21" s="13"/>
      <c r="P21" s="13"/>
      <c r="Q21" s="13"/>
      <c r="R21" s="13"/>
      <c r="S21" s="13"/>
      <c r="T21" s="13">
        <v>1</v>
      </c>
      <c r="U21" s="13"/>
    </row>
    <row r="22" spans="1:21" ht="25" x14ac:dyDescent="0.3">
      <c r="A22" s="71" t="s">
        <v>53</v>
      </c>
      <c r="B22" s="75" t="s">
        <v>106</v>
      </c>
      <c r="C22" s="17" t="s">
        <v>107</v>
      </c>
      <c r="D22" s="17" t="s">
        <v>108</v>
      </c>
      <c r="E22" s="17" t="s">
        <v>109</v>
      </c>
      <c r="F22" s="17" t="s">
        <v>574</v>
      </c>
      <c r="G22" s="9">
        <v>1</v>
      </c>
      <c r="H22" s="10" cm="1">
        <f t="array" ref="H22">get_start_date(J22,holidays)</f>
        <v>45110</v>
      </c>
      <c r="I22" s="11" cm="1">
        <f t="array" ref="I22">get_finish_date(H22,holidays,K22)</f>
        <v>45125</v>
      </c>
      <c r="J22" s="12">
        <v>45108</v>
      </c>
      <c r="K22" s="86">
        <v>11</v>
      </c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1:21" ht="37.5" x14ac:dyDescent="0.3">
      <c r="A23" s="71" t="s">
        <v>53</v>
      </c>
      <c r="B23" s="75" t="s">
        <v>110</v>
      </c>
      <c r="C23" s="17" t="s">
        <v>111</v>
      </c>
      <c r="D23" s="17" t="s">
        <v>112</v>
      </c>
      <c r="E23" s="17" t="s">
        <v>113</v>
      </c>
      <c r="F23" s="17" t="s">
        <v>574</v>
      </c>
      <c r="G23" s="9">
        <f ca="1">'P0022'!B2</f>
        <v>1</v>
      </c>
      <c r="H23" s="10">
        <f t="array" ref="H23:K23">'P0022'!C2:F2</f>
        <v>44692</v>
      </c>
      <c r="I23" s="11">
        <v>44804</v>
      </c>
      <c r="J23" s="12">
        <v>44692</v>
      </c>
      <c r="K23" s="86">
        <v>74</v>
      </c>
      <c r="L23" s="13"/>
      <c r="M23" s="13"/>
      <c r="N23" s="13"/>
      <c r="O23" s="13"/>
      <c r="P23" s="13"/>
      <c r="Q23" s="13"/>
      <c r="R23" s="13">
        <v>1</v>
      </c>
      <c r="S23" s="13">
        <v>1</v>
      </c>
      <c r="T23" s="13"/>
      <c r="U23" s="13"/>
    </row>
    <row r="24" spans="1:21" ht="55.5" customHeight="1" x14ac:dyDescent="0.3">
      <c r="A24" s="71" t="s">
        <v>53</v>
      </c>
      <c r="B24" s="75" t="s">
        <v>114</v>
      </c>
      <c r="C24" s="17" t="s">
        <v>115</v>
      </c>
      <c r="D24" s="77" t="s">
        <v>116</v>
      </c>
      <c r="E24" s="17" t="s">
        <v>117</v>
      </c>
      <c r="F24" s="17" t="s">
        <v>574</v>
      </c>
      <c r="G24" s="30">
        <f t="array" ref="G24:K24" ca="1">'P0023'!B2:F2</f>
        <v>1</v>
      </c>
      <c r="H24" s="11">
        <v>44718</v>
      </c>
      <c r="I24" s="11">
        <v>44747</v>
      </c>
      <c r="J24" s="12">
        <v>44718</v>
      </c>
      <c r="K24" s="86">
        <v>21</v>
      </c>
      <c r="L24" s="13">
        <v>1</v>
      </c>
      <c r="M24" s="13"/>
      <c r="N24" s="13"/>
      <c r="O24" s="13"/>
      <c r="P24" s="13"/>
      <c r="Q24" s="13"/>
      <c r="R24" s="13"/>
      <c r="S24" s="13"/>
      <c r="T24" s="13"/>
      <c r="U24" s="13">
        <v>1</v>
      </c>
    </row>
    <row r="25" spans="1:21" ht="53.25" customHeight="1" x14ac:dyDescent="0.3">
      <c r="A25" s="71" t="s">
        <v>53</v>
      </c>
      <c r="B25" s="75" t="s">
        <v>118</v>
      </c>
      <c r="C25" s="17" t="s">
        <v>119</v>
      </c>
      <c r="D25" s="17" t="s">
        <v>120</v>
      </c>
      <c r="E25" s="17" t="s">
        <v>121</v>
      </c>
      <c r="F25" s="17" t="s">
        <v>634</v>
      </c>
      <c r="G25" s="30" cm="1">
        <f t="array" aca="1" ref="G25:K25" ca="1">'P0024'!B2:F2</f>
        <v>1</v>
      </c>
      <c r="H25" s="11">
        <f ca="1"/>
        <v>44747</v>
      </c>
      <c r="I25" s="11">
        <f ca="1"/>
        <v>44804</v>
      </c>
      <c r="J25" s="12">
        <f ca="1"/>
        <v>44747</v>
      </c>
      <c r="K25" s="86">
        <f ca="1"/>
        <v>37</v>
      </c>
      <c r="L25" s="13"/>
      <c r="M25" s="13"/>
      <c r="N25" s="13"/>
      <c r="O25" s="13"/>
      <c r="P25" s="13"/>
      <c r="Q25" s="13"/>
      <c r="R25" s="13"/>
      <c r="S25" s="13"/>
      <c r="T25" s="13"/>
      <c r="U25" s="13">
        <v>1</v>
      </c>
    </row>
    <row r="26" spans="1:21" ht="67.5" customHeight="1" x14ac:dyDescent="0.3">
      <c r="A26" s="68" t="s">
        <v>53</v>
      </c>
      <c r="B26" s="75" t="s">
        <v>122</v>
      </c>
      <c r="C26" s="74" t="s">
        <v>123</v>
      </c>
      <c r="D26" s="78" t="s">
        <v>124</v>
      </c>
      <c r="E26" s="78" t="s">
        <v>125</v>
      </c>
      <c r="F26" s="17" t="s">
        <v>574</v>
      </c>
      <c r="G26" s="9">
        <f t="array" ref="G26:K26">'P0025'!B2:F2</f>
        <v>1</v>
      </c>
      <c r="H26" s="10">
        <v>44746</v>
      </c>
      <c r="I26" s="11">
        <v>44775</v>
      </c>
      <c r="J26" s="12">
        <v>44746</v>
      </c>
      <c r="K26" s="86">
        <v>18</v>
      </c>
      <c r="L26" s="13">
        <v>1</v>
      </c>
      <c r="M26" s="13">
        <v>1</v>
      </c>
      <c r="N26" s="13">
        <v>1</v>
      </c>
      <c r="O26" s="13"/>
      <c r="P26" s="13"/>
      <c r="Q26" s="13"/>
      <c r="R26" s="13"/>
      <c r="S26" s="13"/>
      <c r="T26" s="13"/>
      <c r="U26" s="13"/>
    </row>
    <row r="27" spans="1:21" ht="50" x14ac:dyDescent="0.3">
      <c r="A27" s="68" t="s">
        <v>53</v>
      </c>
      <c r="B27" s="79" t="s">
        <v>126</v>
      </c>
      <c r="C27" s="74" t="s">
        <v>127</v>
      </c>
      <c r="D27" s="78" t="s">
        <v>128</v>
      </c>
      <c r="E27" s="17" t="s">
        <v>129</v>
      </c>
      <c r="F27" s="73" t="s">
        <v>573</v>
      </c>
      <c r="G27" s="9">
        <f t="array" ref="G27:K27" ca="1">'P0026'!B2:F2</f>
        <v>1</v>
      </c>
      <c r="H27" s="10">
        <v>44741</v>
      </c>
      <c r="I27" s="11">
        <v>44812</v>
      </c>
      <c r="J27" s="12">
        <v>44741</v>
      </c>
      <c r="K27" s="86">
        <v>47</v>
      </c>
      <c r="L27" s="13">
        <v>1</v>
      </c>
      <c r="M27" s="13"/>
      <c r="N27" s="13"/>
      <c r="O27" s="13"/>
      <c r="P27" s="13"/>
      <c r="Q27" s="13"/>
      <c r="R27" s="13">
        <v>1</v>
      </c>
      <c r="S27" s="13"/>
      <c r="T27" s="13"/>
      <c r="U27" s="13"/>
    </row>
    <row r="28" spans="1:21" ht="50" x14ac:dyDescent="0.3">
      <c r="A28" s="68" t="s">
        <v>53</v>
      </c>
      <c r="B28" s="79" t="s">
        <v>131</v>
      </c>
      <c r="C28" s="74" t="s">
        <v>633</v>
      </c>
      <c r="D28" s="78" t="s">
        <v>132</v>
      </c>
      <c r="E28" s="17" t="s">
        <v>133</v>
      </c>
      <c r="F28" s="73" t="s">
        <v>635</v>
      </c>
      <c r="G28" s="9">
        <f t="array" ref="G28:K28" ca="1">'P0027'!B2:F2</f>
        <v>1</v>
      </c>
      <c r="H28" s="10">
        <v>44762</v>
      </c>
      <c r="I28" s="11">
        <v>44805</v>
      </c>
      <c r="J28" s="12">
        <v>44762</v>
      </c>
      <c r="K28" s="86">
        <v>28</v>
      </c>
      <c r="L28" s="13"/>
      <c r="M28" s="13">
        <v>1</v>
      </c>
      <c r="N28" s="13">
        <v>1</v>
      </c>
      <c r="O28" s="13"/>
      <c r="P28" s="13"/>
      <c r="Q28" s="13"/>
      <c r="R28" s="13"/>
      <c r="S28" s="13"/>
      <c r="T28" s="13"/>
      <c r="U28" s="13"/>
    </row>
    <row r="29" spans="1:21" ht="37.5" x14ac:dyDescent="0.3">
      <c r="A29" s="68" t="s">
        <v>53</v>
      </c>
      <c r="B29" s="79" t="s">
        <v>134</v>
      </c>
      <c r="C29" s="74" t="s">
        <v>135</v>
      </c>
      <c r="D29" s="78" t="s">
        <v>136</v>
      </c>
      <c r="E29" s="17" t="s">
        <v>137</v>
      </c>
      <c r="F29" s="73" t="s">
        <v>635</v>
      </c>
      <c r="G29" s="9">
        <f t="array" ref="G29:K29" ca="1">'P0028'!B2:F2</f>
        <v>1</v>
      </c>
      <c r="H29" s="10">
        <v>44760</v>
      </c>
      <c r="I29" s="11">
        <v>44860</v>
      </c>
      <c r="J29" s="12">
        <v>44760</v>
      </c>
      <c r="K29" s="86">
        <v>65</v>
      </c>
      <c r="L29" s="13"/>
      <c r="M29" s="13">
        <v>1</v>
      </c>
      <c r="N29" s="13">
        <v>1</v>
      </c>
      <c r="O29" s="13"/>
      <c r="P29" s="13"/>
      <c r="Q29" s="13"/>
      <c r="R29" s="13"/>
      <c r="S29" s="13"/>
      <c r="T29" s="13"/>
      <c r="U29" s="13"/>
    </row>
    <row r="30" spans="1:21" ht="25" x14ac:dyDescent="0.3">
      <c r="A30" s="68" t="s">
        <v>53</v>
      </c>
      <c r="B30" s="79" t="s">
        <v>138</v>
      </c>
      <c r="C30" s="74" t="s">
        <v>139</v>
      </c>
      <c r="D30" s="78" t="s">
        <v>140</v>
      </c>
      <c r="E30" s="17" t="s">
        <v>141</v>
      </c>
      <c r="F30" s="73" t="s">
        <v>574</v>
      </c>
      <c r="G30" s="9">
        <f t="array" ref="G30:K30">'P0029'!B2:F2</f>
        <v>1</v>
      </c>
      <c r="H30" s="10">
        <v>44805</v>
      </c>
      <c r="I30" s="11">
        <v>44898</v>
      </c>
      <c r="J30" s="12">
        <v>44805</v>
      </c>
      <c r="K30" s="86">
        <v>63</v>
      </c>
      <c r="L30" s="13">
        <v>1</v>
      </c>
      <c r="M30" s="13">
        <v>1</v>
      </c>
      <c r="N30" s="13">
        <v>1</v>
      </c>
      <c r="O30" s="13"/>
      <c r="P30" s="13"/>
      <c r="Q30" s="68"/>
      <c r="R30" s="68"/>
      <c r="S30" s="68"/>
      <c r="T30" s="68"/>
      <c r="U30" s="68"/>
    </row>
    <row r="31" spans="1:21" ht="25" x14ac:dyDescent="0.3">
      <c r="A31" s="68" t="s">
        <v>53</v>
      </c>
      <c r="B31" s="79" t="s">
        <v>142</v>
      </c>
      <c r="C31" s="74" t="s">
        <v>143</v>
      </c>
      <c r="D31" s="78" t="s">
        <v>144</v>
      </c>
      <c r="E31" s="17" t="s">
        <v>145</v>
      </c>
      <c r="F31" s="73" t="s">
        <v>573</v>
      </c>
      <c r="G31" s="9">
        <f t="array" ref="G31:K31" ca="1">'P0030'!B2:F2</f>
        <v>1</v>
      </c>
      <c r="H31" s="10">
        <v>44796</v>
      </c>
      <c r="I31" s="11">
        <v>44860</v>
      </c>
      <c r="J31" s="12">
        <v>44796</v>
      </c>
      <c r="K31" s="86">
        <v>42</v>
      </c>
      <c r="L31" s="13"/>
      <c r="M31" s="13"/>
      <c r="N31" s="13">
        <v>1</v>
      </c>
      <c r="O31" s="13"/>
      <c r="P31" s="13"/>
      <c r="Q31" s="68"/>
      <c r="R31" s="68"/>
      <c r="S31" s="68"/>
      <c r="T31" s="68"/>
      <c r="U31" s="68"/>
    </row>
    <row r="32" spans="1:21" ht="25" x14ac:dyDescent="0.3">
      <c r="A32" s="68" t="s">
        <v>53</v>
      </c>
      <c r="B32" s="79" t="s">
        <v>146</v>
      </c>
      <c r="C32" s="74" t="s">
        <v>147</v>
      </c>
      <c r="D32" s="78" t="s">
        <v>148</v>
      </c>
      <c r="E32" s="17" t="s">
        <v>145</v>
      </c>
      <c r="F32" s="73" t="s">
        <v>574</v>
      </c>
      <c r="G32" s="30">
        <f t="array" ref="G32:K32" ca="1">'P0031'!B2:F2</f>
        <v>1</v>
      </c>
      <c r="H32" s="11">
        <v>44910</v>
      </c>
      <c r="I32" s="11">
        <v>44922</v>
      </c>
      <c r="J32" s="12">
        <v>44910</v>
      </c>
      <c r="K32" s="86">
        <v>8</v>
      </c>
      <c r="L32" s="13"/>
      <c r="M32" s="13"/>
      <c r="N32" s="13">
        <v>1</v>
      </c>
      <c r="O32" s="13"/>
      <c r="P32" s="13"/>
      <c r="Q32" s="68"/>
      <c r="R32" s="68"/>
      <c r="S32" s="68"/>
      <c r="T32" s="68"/>
      <c r="U32" s="68"/>
    </row>
    <row r="33" spans="1:21" ht="50" x14ac:dyDescent="0.3">
      <c r="A33" s="68" t="s">
        <v>53</v>
      </c>
      <c r="B33" s="79" t="s">
        <v>149</v>
      </c>
      <c r="C33" s="74" t="s">
        <v>150</v>
      </c>
      <c r="D33" s="76" t="s">
        <v>151</v>
      </c>
      <c r="E33" s="76" t="s">
        <v>152</v>
      </c>
      <c r="F33" s="73" t="s">
        <v>635</v>
      </c>
      <c r="G33" s="9">
        <f t="array" ref="G33:K33" ca="1">'P0032'!B2:F2</f>
        <v>1</v>
      </c>
      <c r="H33" s="10">
        <v>44827</v>
      </c>
      <c r="I33" s="11">
        <v>44869</v>
      </c>
      <c r="J33" s="12">
        <v>44827</v>
      </c>
      <c r="K33" s="86">
        <v>26</v>
      </c>
      <c r="L33" s="13"/>
      <c r="M33" s="13">
        <v>1</v>
      </c>
      <c r="N33" s="13">
        <v>1</v>
      </c>
      <c r="O33" s="13"/>
      <c r="P33" s="13"/>
      <c r="Q33" s="13"/>
      <c r="R33" s="13"/>
      <c r="S33" s="13"/>
      <c r="T33" s="13"/>
      <c r="U33" s="13"/>
    </row>
    <row r="34" spans="1:21" ht="38.9" customHeight="1" x14ac:dyDescent="0.3">
      <c r="A34" s="72" t="s">
        <v>53</v>
      </c>
      <c r="B34" s="81" t="s">
        <v>153</v>
      </c>
      <c r="C34" s="72" t="s">
        <v>154</v>
      </c>
      <c r="D34" s="72" t="s">
        <v>155</v>
      </c>
      <c r="E34" s="72" t="s">
        <v>156</v>
      </c>
      <c r="F34" s="73" t="s">
        <v>574</v>
      </c>
      <c r="G34" s="9">
        <f t="array" ref="G34:K34" ca="1">'P0033'!B2:F2</f>
        <v>1</v>
      </c>
      <c r="H34" s="10">
        <v>44827</v>
      </c>
      <c r="I34" s="11">
        <v>44868</v>
      </c>
      <c r="J34" s="12">
        <v>44827</v>
      </c>
      <c r="K34" s="86">
        <v>25</v>
      </c>
      <c r="L34" s="80"/>
      <c r="M34" s="80">
        <v>1</v>
      </c>
      <c r="N34" s="80"/>
      <c r="O34" s="80"/>
      <c r="P34" s="80"/>
      <c r="Q34" s="72"/>
      <c r="R34" s="80"/>
      <c r="S34" s="72"/>
      <c r="T34" s="72"/>
      <c r="U34" s="72"/>
    </row>
    <row r="35" spans="1:21" ht="25" x14ac:dyDescent="0.3">
      <c r="A35" s="68" t="s">
        <v>53</v>
      </c>
      <c r="B35" s="79" t="s">
        <v>157</v>
      </c>
      <c r="C35" s="68" t="s">
        <v>158</v>
      </c>
      <c r="D35" s="72" t="s">
        <v>159</v>
      </c>
      <c r="E35" s="72" t="s">
        <v>160</v>
      </c>
      <c r="F35" s="73" t="s">
        <v>574</v>
      </c>
      <c r="G35" s="9">
        <f t="array" ref="G35:K35" ca="1">'P0034'!B2:F2</f>
        <v>1</v>
      </c>
      <c r="H35" s="10">
        <v>44837</v>
      </c>
      <c r="I35" s="11">
        <v>44895</v>
      </c>
      <c r="J35" s="12">
        <v>44837</v>
      </c>
      <c r="K35" s="86">
        <v>38</v>
      </c>
      <c r="L35" s="13"/>
      <c r="M35" s="13"/>
      <c r="N35" s="13"/>
      <c r="O35" s="13"/>
      <c r="P35" s="13"/>
      <c r="Q35" s="68"/>
      <c r="R35" s="13">
        <v>1</v>
      </c>
      <c r="S35" s="68"/>
      <c r="T35" s="68"/>
      <c r="U35" s="68"/>
    </row>
    <row r="36" spans="1:21" ht="25" x14ac:dyDescent="0.3">
      <c r="A36" s="68" t="s">
        <v>53</v>
      </c>
      <c r="B36" s="79" t="s">
        <v>161</v>
      </c>
      <c r="C36" s="68" t="s">
        <v>162</v>
      </c>
      <c r="D36" s="68" t="s">
        <v>163</v>
      </c>
      <c r="E36" s="68" t="s">
        <v>164</v>
      </c>
      <c r="F36" s="73" t="s">
        <v>574</v>
      </c>
      <c r="G36" s="9">
        <f t="array" ref="G36:K36" ca="1">'P0035'!B2:F2</f>
        <v>1</v>
      </c>
      <c r="H36" s="10">
        <v>44846</v>
      </c>
      <c r="I36" s="11">
        <v>44897</v>
      </c>
      <c r="J36" s="12">
        <v>44846</v>
      </c>
      <c r="K36" s="86">
        <v>34</v>
      </c>
      <c r="L36" s="13">
        <v>1</v>
      </c>
      <c r="M36" s="13"/>
      <c r="N36" s="13"/>
      <c r="O36" s="13"/>
      <c r="P36" s="13"/>
      <c r="Q36" s="68"/>
      <c r="R36" s="68"/>
      <c r="S36" s="68"/>
      <c r="T36" s="68"/>
      <c r="U36" s="68"/>
    </row>
    <row r="37" spans="1:21" ht="37.5" x14ac:dyDescent="0.3">
      <c r="A37" s="68" t="s">
        <v>53</v>
      </c>
      <c r="B37" s="79" t="s">
        <v>165</v>
      </c>
      <c r="C37" s="68" t="s">
        <v>166</v>
      </c>
      <c r="D37" s="72" t="s">
        <v>167</v>
      </c>
      <c r="E37" s="68" t="s">
        <v>168</v>
      </c>
      <c r="F37" s="73" t="s">
        <v>635</v>
      </c>
      <c r="G37" s="9">
        <f t="array" ref="G37:K37" ca="1">'P0036'!B2:F2</f>
        <v>1</v>
      </c>
      <c r="H37" s="10">
        <v>44867</v>
      </c>
      <c r="I37" s="11">
        <v>44884</v>
      </c>
      <c r="J37" s="12">
        <v>44867</v>
      </c>
      <c r="K37" s="86">
        <v>13</v>
      </c>
      <c r="L37" s="13"/>
      <c r="M37" s="13">
        <v>1</v>
      </c>
      <c r="N37" s="13"/>
      <c r="O37" s="13"/>
      <c r="P37" s="13"/>
      <c r="Q37" s="68"/>
      <c r="R37" s="13">
        <v>1</v>
      </c>
      <c r="S37" s="68"/>
      <c r="T37" s="68"/>
      <c r="U37" s="68"/>
    </row>
    <row r="38" spans="1:21" ht="25" x14ac:dyDescent="0.3">
      <c r="A38" s="68" t="s">
        <v>53</v>
      </c>
      <c r="B38" s="79" t="s">
        <v>169</v>
      </c>
      <c r="C38" s="90" t="s">
        <v>170</v>
      </c>
      <c r="D38" s="72" t="s">
        <v>171</v>
      </c>
      <c r="E38" s="68" t="s">
        <v>172</v>
      </c>
      <c r="F38" s="73" t="s">
        <v>574</v>
      </c>
      <c r="G38" s="9">
        <f t="array" ref="G38:K38" ca="1">'P0037'!B2:F2</f>
        <v>1</v>
      </c>
      <c r="H38" s="10">
        <v>44874</v>
      </c>
      <c r="I38" s="11">
        <v>44889</v>
      </c>
      <c r="J38" s="12">
        <v>44874</v>
      </c>
      <c r="K38" s="86">
        <v>11</v>
      </c>
      <c r="L38" s="13">
        <v>1</v>
      </c>
      <c r="M38" s="13">
        <v>1</v>
      </c>
      <c r="N38" s="13">
        <v>1</v>
      </c>
      <c r="O38" s="13"/>
      <c r="P38" s="13"/>
      <c r="Q38" s="68"/>
      <c r="R38" s="13"/>
      <c r="S38" s="68"/>
      <c r="T38" s="68"/>
      <c r="U38" s="68"/>
    </row>
    <row r="39" spans="1:21" ht="25" x14ac:dyDescent="0.3">
      <c r="A39" s="68" t="s">
        <v>53</v>
      </c>
      <c r="B39" s="79" t="s">
        <v>173</v>
      </c>
      <c r="C39" s="68" t="s">
        <v>174</v>
      </c>
      <c r="D39" s="72" t="s">
        <v>175</v>
      </c>
      <c r="E39" s="72" t="s">
        <v>176</v>
      </c>
      <c r="F39" s="73" t="s">
        <v>574</v>
      </c>
      <c r="G39" s="9">
        <f t="array" ref="G39:K39" ca="1">'P0038'!B2:F2</f>
        <v>1</v>
      </c>
      <c r="H39" s="10">
        <v>44881</v>
      </c>
      <c r="I39" s="11">
        <v>44917</v>
      </c>
      <c r="J39" s="12">
        <v>44881</v>
      </c>
      <c r="K39" s="86">
        <v>24</v>
      </c>
      <c r="L39" s="13">
        <v>1</v>
      </c>
      <c r="M39" s="13">
        <v>1</v>
      </c>
      <c r="N39" s="13"/>
      <c r="O39" s="13"/>
      <c r="P39" s="13"/>
      <c r="Q39" s="68"/>
      <c r="R39" s="13">
        <v>1</v>
      </c>
      <c r="S39" s="68"/>
      <c r="T39" s="68"/>
      <c r="U39" s="68"/>
    </row>
    <row r="40" spans="1:21" ht="50" x14ac:dyDescent="0.3">
      <c r="A40" s="68" t="s">
        <v>53</v>
      </c>
      <c r="B40" s="79" t="s">
        <v>177</v>
      </c>
      <c r="C40" s="68" t="s">
        <v>178</v>
      </c>
      <c r="D40" s="72" t="s">
        <v>179</v>
      </c>
      <c r="E40" s="72" t="s">
        <v>180</v>
      </c>
      <c r="F40" s="73" t="s">
        <v>574</v>
      </c>
      <c r="G40" s="9">
        <f t="array" ref="G40:K40" ca="1">'P0039'!B2:F2</f>
        <v>1</v>
      </c>
      <c r="H40" s="10">
        <v>44883</v>
      </c>
      <c r="I40" s="11">
        <v>44999</v>
      </c>
      <c r="J40" s="12">
        <v>44883</v>
      </c>
      <c r="K40" s="86">
        <v>78</v>
      </c>
      <c r="L40" s="13">
        <v>1</v>
      </c>
      <c r="M40" s="13">
        <v>1</v>
      </c>
      <c r="N40" s="13">
        <v>1</v>
      </c>
      <c r="O40" s="13"/>
      <c r="P40" s="13"/>
      <c r="Q40" s="13"/>
      <c r="R40" s="13"/>
      <c r="S40" s="13"/>
      <c r="T40" s="13"/>
      <c r="U40" s="13"/>
    </row>
    <row r="41" spans="1:21" ht="25" x14ac:dyDescent="0.3">
      <c r="A41" s="68" t="s">
        <v>53</v>
      </c>
      <c r="B41" s="79" t="s">
        <v>181</v>
      </c>
      <c r="C41" s="68" t="s">
        <v>182</v>
      </c>
      <c r="D41" s="72" t="s">
        <v>183</v>
      </c>
      <c r="E41" s="72" t="s">
        <v>160</v>
      </c>
      <c r="F41" s="73" t="s">
        <v>574</v>
      </c>
      <c r="G41" s="9">
        <f t="array" ref="G41:K41">'P0040'!B2:F2</f>
        <v>1</v>
      </c>
      <c r="H41" s="10">
        <v>44911</v>
      </c>
      <c r="I41" s="11">
        <v>44917</v>
      </c>
      <c r="J41" s="12">
        <v>44911</v>
      </c>
      <c r="K41" s="86">
        <v>4</v>
      </c>
      <c r="L41" s="13"/>
      <c r="M41" s="13"/>
      <c r="N41" s="13"/>
      <c r="O41" s="13"/>
      <c r="P41" s="13"/>
      <c r="Q41" s="13"/>
      <c r="R41" s="13">
        <v>1</v>
      </c>
      <c r="S41" s="13"/>
      <c r="T41" s="13"/>
      <c r="U41" s="13"/>
    </row>
    <row r="42" spans="1:21" ht="14" x14ac:dyDescent="0.3">
      <c r="A42" s="68" t="s">
        <v>53</v>
      </c>
      <c r="B42" s="79" t="s">
        <v>184</v>
      </c>
      <c r="C42" s="68" t="s">
        <v>185</v>
      </c>
      <c r="D42" s="72" t="s">
        <v>186</v>
      </c>
      <c r="E42" s="72" t="s">
        <v>187</v>
      </c>
      <c r="F42" s="73" t="s">
        <v>130</v>
      </c>
      <c r="G42" s="9">
        <f t="array" ref="G42:K42" ca="1">'P0041'!B2:F2</f>
        <v>1</v>
      </c>
      <c r="H42" s="10">
        <v>44914</v>
      </c>
      <c r="I42" s="11">
        <v>44918</v>
      </c>
      <c r="J42" s="12">
        <v>44914</v>
      </c>
      <c r="K42" s="86">
        <v>4</v>
      </c>
      <c r="L42" s="13">
        <v>1</v>
      </c>
      <c r="M42" s="13"/>
      <c r="N42" s="13"/>
      <c r="O42" s="13"/>
      <c r="P42" s="13"/>
      <c r="Q42" s="13"/>
      <c r="R42" s="13"/>
      <c r="S42" s="13"/>
      <c r="T42" s="13"/>
      <c r="U42" s="13"/>
    </row>
    <row r="43" spans="1:21" ht="38.9" customHeight="1" x14ac:dyDescent="0.3">
      <c r="A43" s="72" t="s">
        <v>53</v>
      </c>
      <c r="B43" s="81" t="s">
        <v>188</v>
      </c>
      <c r="C43" s="72" t="s">
        <v>189</v>
      </c>
      <c r="D43" s="72" t="s">
        <v>190</v>
      </c>
      <c r="E43" s="72" t="s">
        <v>156</v>
      </c>
      <c r="F43" s="73" t="s">
        <v>574</v>
      </c>
      <c r="G43" s="9">
        <f t="array" ref="G43:K43" ca="1">'P0042'!B2:F2</f>
        <v>1</v>
      </c>
      <c r="H43" s="10">
        <v>44943</v>
      </c>
      <c r="I43" s="11">
        <v>44980</v>
      </c>
      <c r="J43" s="12">
        <v>44943</v>
      </c>
      <c r="K43" s="86">
        <v>27</v>
      </c>
      <c r="L43" s="13"/>
      <c r="M43" s="13"/>
      <c r="N43" s="13">
        <v>1</v>
      </c>
      <c r="O43" s="13"/>
      <c r="P43" s="13"/>
      <c r="Q43" s="13"/>
      <c r="R43" s="13"/>
      <c r="S43" s="13"/>
      <c r="T43" s="13"/>
      <c r="U43" s="13"/>
    </row>
    <row r="44" spans="1:21" ht="37.5" x14ac:dyDescent="0.3">
      <c r="A44" s="72" t="s">
        <v>53</v>
      </c>
      <c r="B44" s="81" t="s">
        <v>191</v>
      </c>
      <c r="C44" s="72" t="s">
        <v>590</v>
      </c>
      <c r="D44" s="72" t="s">
        <v>591</v>
      </c>
      <c r="E44" s="72" t="s">
        <v>156</v>
      </c>
      <c r="F44" s="73" t="s">
        <v>574</v>
      </c>
      <c r="G44" s="9">
        <f t="array" ref="G44:K44" ca="1">'P0043'!B2:F2</f>
        <v>0.9425</v>
      </c>
      <c r="H44" s="10">
        <v>45061</v>
      </c>
      <c r="I44" s="11">
        <v>45077</v>
      </c>
      <c r="J44" s="12">
        <v>45061</v>
      </c>
      <c r="K44" s="86">
        <v>12</v>
      </c>
      <c r="L44" s="13"/>
      <c r="M44" s="13"/>
      <c r="N44" s="13">
        <v>1</v>
      </c>
      <c r="O44" s="13"/>
      <c r="P44" s="13"/>
      <c r="Q44" s="13"/>
      <c r="R44" s="13"/>
      <c r="S44" s="13"/>
      <c r="T44" s="13"/>
      <c r="U44" s="13"/>
    </row>
    <row r="45" spans="1:21" ht="26.15" customHeight="1" x14ac:dyDescent="0.3">
      <c r="A45" s="72" t="s">
        <v>53</v>
      </c>
      <c r="B45" s="81" t="s">
        <v>192</v>
      </c>
      <c r="C45" s="72" t="s">
        <v>519</v>
      </c>
      <c r="D45" s="91" t="s">
        <v>193</v>
      </c>
      <c r="E45" s="91" t="s">
        <v>194</v>
      </c>
      <c r="F45" s="73" t="s">
        <v>573</v>
      </c>
      <c r="G45" s="9">
        <f t="array" ref="G45:K45" ca="1">'P0044'!B2:F2</f>
        <v>1</v>
      </c>
      <c r="H45" s="10">
        <v>44953</v>
      </c>
      <c r="I45" s="11">
        <v>44993</v>
      </c>
      <c r="J45" s="12">
        <v>44953</v>
      </c>
      <c r="K45" s="86">
        <v>27</v>
      </c>
      <c r="L45" s="13">
        <v>1</v>
      </c>
      <c r="M45" s="13"/>
      <c r="N45" s="13"/>
      <c r="O45" s="13"/>
      <c r="P45" s="13"/>
      <c r="Q45" s="13"/>
      <c r="R45" s="13"/>
      <c r="S45" s="13"/>
      <c r="T45" s="13"/>
      <c r="U45" s="13"/>
    </row>
    <row r="46" spans="1:21" ht="26.15" customHeight="1" x14ac:dyDescent="0.3">
      <c r="A46" s="72" t="s">
        <v>53</v>
      </c>
      <c r="B46" s="81" t="s">
        <v>195</v>
      </c>
      <c r="C46" s="72" t="s">
        <v>196</v>
      </c>
      <c r="D46" s="91" t="s">
        <v>197</v>
      </c>
      <c r="E46" s="91" t="s">
        <v>194</v>
      </c>
      <c r="F46" s="73" t="s">
        <v>573</v>
      </c>
      <c r="G46" s="9">
        <f t="array" ref="G46:K46" ca="1">'P0045'!B2:F2</f>
        <v>1</v>
      </c>
      <c r="H46" s="10">
        <v>44960</v>
      </c>
      <c r="I46" s="11">
        <v>45001</v>
      </c>
      <c r="J46" s="12">
        <v>44960</v>
      </c>
      <c r="K46" s="86">
        <v>28</v>
      </c>
      <c r="L46" s="13"/>
      <c r="M46" s="13"/>
      <c r="N46" s="13">
        <v>1</v>
      </c>
      <c r="O46" s="13">
        <v>1</v>
      </c>
      <c r="P46" s="13"/>
      <c r="Q46" s="13"/>
      <c r="R46" s="13"/>
      <c r="S46" s="13"/>
      <c r="T46" s="13"/>
      <c r="U46" s="13"/>
    </row>
    <row r="47" spans="1:21" ht="25" x14ac:dyDescent="0.3">
      <c r="A47" s="95" t="s">
        <v>53</v>
      </c>
      <c r="B47" s="96" t="s">
        <v>198</v>
      </c>
      <c r="C47" s="95" t="s">
        <v>199</v>
      </c>
      <c r="D47" s="95" t="s">
        <v>200</v>
      </c>
      <c r="E47" s="95" t="s">
        <v>201</v>
      </c>
      <c r="F47" s="97" t="s">
        <v>574</v>
      </c>
      <c r="G47" s="98">
        <f t="array" ref="G47:K47" ca="1">'P0046'!B2:F2</f>
        <v>1</v>
      </c>
      <c r="H47" s="99">
        <v>44965</v>
      </c>
      <c r="I47" s="100">
        <v>44974</v>
      </c>
      <c r="J47" s="101">
        <v>44965</v>
      </c>
      <c r="K47" s="102">
        <v>7</v>
      </c>
      <c r="L47" s="13"/>
      <c r="M47" s="13">
        <v>1</v>
      </c>
      <c r="N47" s="13"/>
      <c r="O47" s="13">
        <v>1</v>
      </c>
      <c r="P47" s="13"/>
      <c r="Q47" s="13"/>
      <c r="R47" s="13"/>
      <c r="S47" s="13"/>
      <c r="T47" s="13"/>
      <c r="U47" s="13"/>
    </row>
    <row r="48" spans="1:21" ht="37.5" x14ac:dyDescent="0.3">
      <c r="A48" s="68" t="s">
        <v>53</v>
      </c>
      <c r="B48" s="79" t="s">
        <v>202</v>
      </c>
      <c r="C48" s="68" t="s">
        <v>203</v>
      </c>
      <c r="D48" s="72" t="s">
        <v>204</v>
      </c>
      <c r="E48" s="72" t="s">
        <v>205</v>
      </c>
      <c r="F48" s="73" t="s">
        <v>573</v>
      </c>
      <c r="G48" s="9">
        <f t="array" ref="G48:K48" ca="1">'P0047'!B2:F2</f>
        <v>1</v>
      </c>
      <c r="H48" s="10">
        <v>44974</v>
      </c>
      <c r="I48" s="11">
        <v>45029</v>
      </c>
      <c r="J48" s="12">
        <v>44974</v>
      </c>
      <c r="K48" s="86">
        <v>37</v>
      </c>
      <c r="L48" s="13"/>
      <c r="M48" s="13">
        <v>1</v>
      </c>
      <c r="N48" s="13"/>
      <c r="O48" s="13">
        <v>1</v>
      </c>
      <c r="P48" s="13"/>
      <c r="Q48" s="13"/>
      <c r="R48" s="13"/>
      <c r="S48" s="13"/>
      <c r="T48" s="13"/>
      <c r="U48" s="13"/>
    </row>
    <row r="49" spans="1:21" ht="75" x14ac:dyDescent="0.3">
      <c r="A49" s="72" t="s">
        <v>53</v>
      </c>
      <c r="B49" s="81" t="s">
        <v>206</v>
      </c>
      <c r="C49" s="72" t="s">
        <v>207</v>
      </c>
      <c r="D49" s="72" t="s">
        <v>208</v>
      </c>
      <c r="E49" s="72" t="s">
        <v>156</v>
      </c>
      <c r="F49" s="73" t="s">
        <v>574</v>
      </c>
      <c r="G49" s="9">
        <f t="array" ref="G49:K49" ca="1">'P0048'!B2:F2</f>
        <v>1</v>
      </c>
      <c r="H49" s="10">
        <v>44985</v>
      </c>
      <c r="I49" s="11">
        <v>45042</v>
      </c>
      <c r="J49" s="12">
        <v>44985</v>
      </c>
      <c r="K49" s="86">
        <v>37</v>
      </c>
      <c r="L49" s="13"/>
      <c r="M49" s="13"/>
      <c r="N49" s="13">
        <v>1</v>
      </c>
      <c r="O49" s="13"/>
      <c r="P49" s="13">
        <v>1</v>
      </c>
      <c r="Q49" s="13"/>
      <c r="R49" s="13"/>
      <c r="S49" s="13"/>
      <c r="T49" s="13"/>
      <c r="U49" s="13"/>
    </row>
    <row r="50" spans="1:21" ht="70" customHeight="1" x14ac:dyDescent="0.3">
      <c r="A50" s="72" t="s">
        <v>53</v>
      </c>
      <c r="B50" s="81" t="s">
        <v>506</v>
      </c>
      <c r="C50" s="72" t="s">
        <v>554</v>
      </c>
      <c r="D50" s="91" t="s">
        <v>508</v>
      </c>
      <c r="E50" s="72" t="s">
        <v>509</v>
      </c>
      <c r="F50" s="73" t="s">
        <v>573</v>
      </c>
      <c r="G50" s="9">
        <f t="array" ref="G50:K50" ca="1">'P0049'!B2:F2</f>
        <v>1</v>
      </c>
      <c r="H50" s="10">
        <v>44998</v>
      </c>
      <c r="I50" s="11">
        <v>45037</v>
      </c>
      <c r="J50" s="12">
        <v>44998</v>
      </c>
      <c r="K50" s="86">
        <v>26</v>
      </c>
      <c r="L50" s="13">
        <v>1</v>
      </c>
      <c r="M50" s="13"/>
      <c r="N50" s="13"/>
      <c r="O50" s="13">
        <v>1</v>
      </c>
      <c r="P50" s="13"/>
      <c r="Q50" s="13"/>
      <c r="R50" s="13"/>
      <c r="S50" s="13"/>
      <c r="T50" s="13"/>
      <c r="U50" s="13"/>
    </row>
    <row r="51" spans="1:21" ht="50.15" customHeight="1" x14ac:dyDescent="0.3">
      <c r="A51" s="72" t="s">
        <v>53</v>
      </c>
      <c r="B51" s="81" t="s">
        <v>507</v>
      </c>
      <c r="C51" s="72" t="s">
        <v>601</v>
      </c>
      <c r="D51" s="72" t="s">
        <v>557</v>
      </c>
      <c r="E51" s="72" t="s">
        <v>558</v>
      </c>
      <c r="F51" s="73" t="s">
        <v>575</v>
      </c>
      <c r="G51" s="9">
        <f t="array" ref="G51:K51" ca="1">'P0050'!B2:F2</f>
        <v>1</v>
      </c>
      <c r="H51" s="10">
        <v>45027</v>
      </c>
      <c r="I51" s="11">
        <v>45063</v>
      </c>
      <c r="J51" s="12">
        <v>45027</v>
      </c>
      <c r="K51" s="86">
        <v>22</v>
      </c>
      <c r="L51" s="13">
        <v>1</v>
      </c>
      <c r="M51" s="13">
        <v>1</v>
      </c>
      <c r="N51" s="13"/>
      <c r="O51" s="13"/>
      <c r="P51" s="13"/>
      <c r="Q51" s="13"/>
      <c r="R51" s="13"/>
      <c r="S51" s="13"/>
      <c r="T51" s="13"/>
      <c r="U51" s="13"/>
    </row>
    <row r="52" spans="1:21" ht="37.5" x14ac:dyDescent="0.3">
      <c r="A52" s="72" t="s">
        <v>53</v>
      </c>
      <c r="B52" s="81" t="s">
        <v>517</v>
      </c>
      <c r="C52" s="72" t="s">
        <v>513</v>
      </c>
      <c r="D52" s="72" t="s">
        <v>515</v>
      </c>
      <c r="E52" s="72" t="s">
        <v>516</v>
      </c>
      <c r="F52" s="73" t="s">
        <v>574</v>
      </c>
      <c r="G52" s="9">
        <f t="array" ref="G52:K52" ca="1">'P0051'!B2:F2</f>
        <v>1</v>
      </c>
      <c r="H52" s="10">
        <v>44998</v>
      </c>
      <c r="I52" s="11">
        <v>45006</v>
      </c>
      <c r="J52" s="12">
        <v>44998</v>
      </c>
      <c r="K52" s="86">
        <v>6</v>
      </c>
      <c r="L52" s="13"/>
      <c r="M52" s="13"/>
      <c r="N52" s="13">
        <v>1</v>
      </c>
      <c r="O52" s="13"/>
      <c r="P52" s="13"/>
    </row>
    <row r="53" spans="1:21" ht="26.15" customHeight="1" x14ac:dyDescent="0.3">
      <c r="A53" s="72" t="s">
        <v>53</v>
      </c>
      <c r="B53" s="81" t="s">
        <v>526</v>
      </c>
      <c r="C53" s="72" t="s">
        <v>527</v>
      </c>
      <c r="D53" s="91" t="s">
        <v>197</v>
      </c>
      <c r="E53" s="91" t="s">
        <v>194</v>
      </c>
      <c r="F53" s="73" t="s">
        <v>573</v>
      </c>
      <c r="G53" s="9">
        <f t="array" ref="G53:K53" ca="1">'P0052'!B2:F2</f>
        <v>1</v>
      </c>
      <c r="H53" s="10">
        <v>45005</v>
      </c>
      <c r="I53" s="11">
        <v>45014</v>
      </c>
      <c r="J53" s="12">
        <v>45005</v>
      </c>
      <c r="K53" s="86">
        <v>7</v>
      </c>
      <c r="L53" s="13">
        <v>1</v>
      </c>
      <c r="M53" s="13"/>
      <c r="N53" s="13">
        <v>1</v>
      </c>
      <c r="O53" s="13">
        <v>1</v>
      </c>
      <c r="P53" s="13"/>
      <c r="Q53" s="13"/>
      <c r="R53" s="13"/>
      <c r="S53" s="13"/>
      <c r="T53" s="13"/>
      <c r="U53" s="13"/>
    </row>
    <row r="54" spans="1:21" ht="33.75" customHeight="1" x14ac:dyDescent="0.3">
      <c r="A54" s="72" t="s">
        <v>53</v>
      </c>
      <c r="B54" s="81" t="s">
        <v>536</v>
      </c>
      <c r="C54" s="72" t="s">
        <v>565</v>
      </c>
      <c r="D54" s="91" t="s">
        <v>537</v>
      </c>
      <c r="E54" s="91" t="s">
        <v>538</v>
      </c>
      <c r="F54" s="73" t="s">
        <v>574</v>
      </c>
      <c r="G54" s="9">
        <f t="array" ref="G54:K54" ca="1">'P0053'!B2:F2</f>
        <v>1</v>
      </c>
      <c r="H54" s="10">
        <v>45015</v>
      </c>
      <c r="I54" s="11">
        <v>45049</v>
      </c>
      <c r="J54" s="12">
        <v>45015</v>
      </c>
      <c r="K54" s="86">
        <v>20</v>
      </c>
      <c r="L54" s="13"/>
      <c r="M54" s="13"/>
      <c r="N54" s="13">
        <v>1</v>
      </c>
      <c r="O54" s="13"/>
      <c r="P54" s="13">
        <v>1</v>
      </c>
      <c r="Q54" s="13"/>
      <c r="R54" s="13"/>
      <c r="S54" s="13"/>
      <c r="T54" s="13"/>
      <c r="U54" s="13"/>
    </row>
    <row r="55" spans="1:21" ht="26.15" customHeight="1" x14ac:dyDescent="0.3">
      <c r="A55" s="72" t="s">
        <v>53</v>
      </c>
      <c r="B55" s="81" t="s">
        <v>543</v>
      </c>
      <c r="C55" s="72" t="s">
        <v>544</v>
      </c>
      <c r="D55" s="91" t="s">
        <v>197</v>
      </c>
      <c r="E55" s="91" t="s">
        <v>194</v>
      </c>
      <c r="F55" s="73" t="s">
        <v>573</v>
      </c>
      <c r="G55" s="9">
        <f t="array" ref="G55:K55" ca="1">'P0054'!B2:F2</f>
        <v>1</v>
      </c>
      <c r="H55" s="10">
        <v>45023</v>
      </c>
      <c r="I55" s="11">
        <v>45044</v>
      </c>
      <c r="J55" s="12">
        <v>45023</v>
      </c>
      <c r="K55" s="86">
        <v>13</v>
      </c>
      <c r="L55" s="13">
        <v>1</v>
      </c>
      <c r="M55" s="13"/>
      <c r="N55" s="13">
        <v>1</v>
      </c>
      <c r="O55" s="13">
        <v>1</v>
      </c>
      <c r="P55" s="13"/>
      <c r="Q55" s="13"/>
      <c r="R55" s="13"/>
      <c r="S55" s="13"/>
      <c r="T55" s="13"/>
      <c r="U55" s="13"/>
    </row>
    <row r="56" spans="1:21" ht="25" x14ac:dyDescent="0.3">
      <c r="A56" s="68" t="s">
        <v>53</v>
      </c>
      <c r="B56" s="79" t="s">
        <v>566</v>
      </c>
      <c r="C56" s="68" t="s">
        <v>567</v>
      </c>
      <c r="D56" s="72" t="s">
        <v>568</v>
      </c>
      <c r="E56" s="72" t="s">
        <v>588</v>
      </c>
      <c r="F56" s="111" t="s">
        <v>573</v>
      </c>
      <c r="G56" s="9">
        <f t="array" ref="G56:K56" ca="1">'P0055'!B2:F2</f>
        <v>0.61928571428571422</v>
      </c>
      <c r="H56" s="10">
        <v>45063</v>
      </c>
      <c r="I56" s="11">
        <v>45084</v>
      </c>
      <c r="J56" s="12">
        <v>45063</v>
      </c>
      <c r="K56" s="86">
        <v>14</v>
      </c>
      <c r="L56" s="13"/>
      <c r="M56" s="13">
        <v>1</v>
      </c>
      <c r="N56" s="13"/>
      <c r="O56" s="13"/>
      <c r="P56" s="13"/>
    </row>
    <row r="57" spans="1:21" ht="37.5" customHeight="1" x14ac:dyDescent="0.3">
      <c r="A57" s="68" t="s">
        <v>53</v>
      </c>
      <c r="B57" s="79" t="s">
        <v>578</v>
      </c>
      <c r="C57" s="72" t="s">
        <v>579</v>
      </c>
      <c r="D57" s="72" t="s">
        <v>580</v>
      </c>
      <c r="E57" s="72" t="s">
        <v>581</v>
      </c>
      <c r="F57" s="73" t="s">
        <v>574</v>
      </c>
      <c r="G57" s="9">
        <f t="array" ref="G57:K57" ca="1">'P0056'!B2:F2</f>
        <v>1</v>
      </c>
      <c r="H57" s="11">
        <v>45049</v>
      </c>
      <c r="I57" s="11">
        <v>45072</v>
      </c>
      <c r="J57" s="12">
        <v>45049</v>
      </c>
      <c r="K57" s="86">
        <v>16</v>
      </c>
      <c r="L57" s="13"/>
      <c r="M57" s="13"/>
      <c r="N57" s="13">
        <v>1</v>
      </c>
      <c r="O57" s="13">
        <v>1</v>
      </c>
      <c r="P57" s="13">
        <v>1</v>
      </c>
    </row>
    <row r="58" spans="1:21" ht="54" customHeight="1" x14ac:dyDescent="0.3">
      <c r="A58" s="72" t="s">
        <v>53</v>
      </c>
      <c r="B58" s="81" t="s">
        <v>593</v>
      </c>
      <c r="C58" s="72" t="s">
        <v>594</v>
      </c>
      <c r="D58" s="72" t="s">
        <v>595</v>
      </c>
      <c r="E58" s="72" t="s">
        <v>596</v>
      </c>
      <c r="F58" s="73" t="s">
        <v>575</v>
      </c>
      <c r="G58" s="9">
        <f t="array" ref="G58:K58" ca="1">'P0057'!B2:F2</f>
        <v>0.28681818181818181</v>
      </c>
      <c r="H58" s="11">
        <v>45068</v>
      </c>
      <c r="I58" s="11">
        <v>45094</v>
      </c>
      <c r="J58" s="12">
        <v>45068</v>
      </c>
      <c r="K58" s="86">
        <v>19</v>
      </c>
      <c r="L58" s="13">
        <v>1</v>
      </c>
      <c r="M58" s="13"/>
      <c r="N58" s="13"/>
      <c r="O58" s="13"/>
      <c r="P58" s="13"/>
      <c r="Q58" s="13"/>
      <c r="R58" s="13"/>
      <c r="S58" s="13"/>
      <c r="T58" s="13"/>
      <c r="U58" s="13"/>
    </row>
    <row r="59" spans="1:21" ht="54" customHeight="1" x14ac:dyDescent="0.3">
      <c r="A59" s="72" t="s">
        <v>53</v>
      </c>
      <c r="B59" s="81" t="s">
        <v>602</v>
      </c>
      <c r="C59" s="72" t="s">
        <v>612</v>
      </c>
      <c r="D59" s="72" t="s">
        <v>613</v>
      </c>
      <c r="E59" s="72" t="s">
        <v>611</v>
      </c>
      <c r="F59" s="73" t="s">
        <v>573</v>
      </c>
      <c r="G59" s="9">
        <f t="array" ref="G59:K59" ca="1">'P0058'!B2:F2</f>
        <v>0.51113829787234033</v>
      </c>
      <c r="H59" s="11">
        <v>45054</v>
      </c>
      <c r="I59" s="11">
        <v>45097</v>
      </c>
      <c r="J59" s="12">
        <v>45054</v>
      </c>
      <c r="K59" s="86">
        <v>30</v>
      </c>
      <c r="L59" s="13">
        <v>1</v>
      </c>
      <c r="M59" s="13"/>
      <c r="N59" s="13"/>
      <c r="O59" s="13">
        <v>1</v>
      </c>
      <c r="P59" s="13"/>
      <c r="Q59" s="13"/>
      <c r="R59" s="13"/>
      <c r="S59" s="13"/>
      <c r="T59" s="13"/>
      <c r="U59" s="13"/>
    </row>
    <row r="60" spans="1:21" ht="54" customHeight="1" x14ac:dyDescent="0.3">
      <c r="A60" s="72" t="s">
        <v>53</v>
      </c>
      <c r="B60" s="81" t="s">
        <v>614</v>
      </c>
      <c r="C60" s="72" t="s">
        <v>643</v>
      </c>
      <c r="D60" s="72" t="s">
        <v>615</v>
      </c>
      <c r="E60" s="72" t="s">
        <v>616</v>
      </c>
      <c r="F60" s="73" t="s">
        <v>573</v>
      </c>
      <c r="G60" s="9">
        <f t="array" ref="G60:K60" ca="1">'P0059'!B2:F2</f>
        <v>5.0000000000000001E-4</v>
      </c>
      <c r="H60" s="11">
        <v>45098</v>
      </c>
      <c r="I60" s="11">
        <v>45122</v>
      </c>
      <c r="J60" s="12">
        <v>45098</v>
      </c>
      <c r="K60" s="86">
        <v>18</v>
      </c>
      <c r="L60" s="13">
        <v>1</v>
      </c>
      <c r="M60" s="13"/>
      <c r="N60" s="13"/>
      <c r="O60" s="13">
        <v>1</v>
      </c>
      <c r="P60" s="13"/>
      <c r="Q60" s="13"/>
      <c r="R60" s="13"/>
      <c r="S60" s="13"/>
      <c r="T60" s="13"/>
      <c r="U60" s="13"/>
    </row>
    <row r="61" spans="1:21" ht="54" customHeight="1" x14ac:dyDescent="0.3">
      <c r="A61" s="72" t="s">
        <v>53</v>
      </c>
      <c r="B61" s="81" t="s">
        <v>617</v>
      </c>
      <c r="C61" s="72" t="s">
        <v>618</v>
      </c>
      <c r="D61" s="72" t="s">
        <v>620</v>
      </c>
      <c r="E61" s="72" t="s">
        <v>619</v>
      </c>
      <c r="F61" s="73" t="s">
        <v>573</v>
      </c>
      <c r="G61" s="9">
        <f t="array" ref="G61:K61" ca="1">'P0060'!B2:F2</f>
        <v>5.0000000000000001E-4</v>
      </c>
      <c r="H61" s="11">
        <v>45124</v>
      </c>
      <c r="I61" s="11">
        <v>45135</v>
      </c>
      <c r="J61" s="12">
        <v>45124</v>
      </c>
      <c r="K61" s="86">
        <v>9</v>
      </c>
      <c r="L61" s="13">
        <v>1</v>
      </c>
      <c r="M61" s="13"/>
      <c r="N61" s="13"/>
      <c r="O61" s="13">
        <v>1</v>
      </c>
      <c r="P61" s="13"/>
      <c r="Q61" s="13"/>
      <c r="R61" s="13"/>
      <c r="S61" s="13"/>
      <c r="T61" s="13"/>
      <c r="U61" s="13"/>
    </row>
    <row r="62" spans="1:21" ht="54" customHeight="1" x14ac:dyDescent="0.3">
      <c r="A62" s="72" t="s">
        <v>53</v>
      </c>
      <c r="B62" s="81" t="s">
        <v>627</v>
      </c>
      <c r="C62" s="72" t="s">
        <v>624</v>
      </c>
      <c r="D62" s="72" t="s">
        <v>625</v>
      </c>
      <c r="E62" s="72" t="s">
        <v>626</v>
      </c>
      <c r="F62" s="73" t="s">
        <v>575</v>
      </c>
      <c r="G62" s="9">
        <f t="array" ref="G62:K62" ca="1">'P0061'!B2:F2</f>
        <v>0.46653846153846157</v>
      </c>
      <c r="H62" s="11">
        <v>45070</v>
      </c>
      <c r="I62" s="11">
        <v>45086</v>
      </c>
      <c r="J62" s="12">
        <v>45070</v>
      </c>
      <c r="K62" s="86">
        <v>11</v>
      </c>
      <c r="L62" s="13">
        <v>1</v>
      </c>
      <c r="M62" s="13"/>
      <c r="N62" s="13"/>
      <c r="O62" s="13"/>
      <c r="P62" s="13"/>
      <c r="Q62" s="13"/>
      <c r="R62" s="13"/>
      <c r="S62" s="13"/>
      <c r="T62" s="13"/>
      <c r="U62" s="13"/>
    </row>
    <row r="63" spans="1:21" ht="37.5" x14ac:dyDescent="0.3">
      <c r="A63" s="72" t="s">
        <v>53</v>
      </c>
      <c r="B63" s="81" t="s">
        <v>645</v>
      </c>
      <c r="C63" s="72" t="s">
        <v>668</v>
      </c>
      <c r="D63" s="72" t="s">
        <v>651</v>
      </c>
      <c r="E63" s="72" t="s">
        <v>581</v>
      </c>
      <c r="F63" s="73" t="s">
        <v>575</v>
      </c>
      <c r="G63" s="9">
        <f t="array" ref="G63:K63" ca="1">'P0062'!B2:F2</f>
        <v>0.21789130434782608</v>
      </c>
      <c r="H63" s="11">
        <v>45072</v>
      </c>
      <c r="I63" s="11">
        <v>45094</v>
      </c>
      <c r="J63" s="12">
        <v>45072</v>
      </c>
      <c r="K63" s="86">
        <v>15</v>
      </c>
      <c r="L63" s="13"/>
      <c r="M63" s="13"/>
      <c r="N63" s="13">
        <v>1</v>
      </c>
      <c r="O63" s="13"/>
      <c r="P63" s="13">
        <v>1</v>
      </c>
    </row>
    <row r="64" spans="1:21" ht="25" x14ac:dyDescent="0.3">
      <c r="A64" s="72" t="s">
        <v>53</v>
      </c>
      <c r="B64" s="81" t="s">
        <v>647</v>
      </c>
      <c r="C64" s="72" t="s">
        <v>669</v>
      </c>
      <c r="D64" s="72" t="s">
        <v>646</v>
      </c>
      <c r="E64" s="72" t="s">
        <v>652</v>
      </c>
      <c r="F64" s="73" t="s">
        <v>575</v>
      </c>
      <c r="G64" s="9">
        <f t="array" ref="G64:K64" ca="1">'P0063'!B2:F2</f>
        <v>5.0000000000000001E-4</v>
      </c>
      <c r="H64" s="11">
        <v>45076</v>
      </c>
      <c r="I64" s="11">
        <v>45105</v>
      </c>
      <c r="J64" s="12">
        <v>45076</v>
      </c>
      <c r="K64" s="86">
        <v>20</v>
      </c>
      <c r="L64" s="13"/>
      <c r="M64" s="13"/>
      <c r="N64" s="13">
        <v>1</v>
      </c>
      <c r="O64" s="13"/>
      <c r="P64" s="13">
        <v>1</v>
      </c>
    </row>
    <row r="65" spans="1:16" ht="14" x14ac:dyDescent="0.3">
      <c r="A65" s="72" t="s">
        <v>53</v>
      </c>
      <c r="B65" s="81" t="s">
        <v>650</v>
      </c>
      <c r="C65" s="72" t="s">
        <v>670</v>
      </c>
      <c r="D65" s="72" t="s">
        <v>646</v>
      </c>
      <c r="E65" s="72" t="s">
        <v>653</v>
      </c>
      <c r="F65" s="73" t="s">
        <v>575</v>
      </c>
      <c r="G65" s="9">
        <f t="array" ref="G65:K65" ca="1">'P0064'!B2:F2</f>
        <v>5.0000000000000001E-4</v>
      </c>
      <c r="H65" s="11">
        <v>45089</v>
      </c>
      <c r="I65" s="11">
        <v>45114</v>
      </c>
      <c r="J65" s="12">
        <v>45089</v>
      </c>
      <c r="K65" s="86">
        <v>19</v>
      </c>
      <c r="L65" s="13"/>
      <c r="M65" s="13"/>
      <c r="N65" s="13">
        <v>1</v>
      </c>
      <c r="O65" s="13"/>
      <c r="P65" s="13">
        <v>1</v>
      </c>
    </row>
  </sheetData>
  <phoneticPr fontId="9" type="noConversion"/>
  <dataValidations disablePrompts="1" count="3">
    <dataValidation type="date" allowBlank="1" showInputMessage="1" showErrorMessage="1" sqref="H2:J29 H33:J34 H43:J46 H49:J55" xr:uid="{00000000-0002-0000-0100-000000000000}">
      <formula1>44562</formula1>
      <formula2>219148</formula2>
    </dataValidation>
    <dataValidation type="whole" allowBlank="1" showInputMessage="1" showErrorMessage="1" prompt="Number of working days" sqref="K2:K29 K33" xr:uid="{00000000-0002-0000-0100-000001000000}">
      <formula1>0</formula1>
      <formula2>1000</formula2>
    </dataValidation>
    <dataValidation type="decimal" allowBlank="1" showInputMessage="1" showErrorMessage="1" prompt="Actual project completion (%)" sqref="G2:G29 G33" xr:uid="{00000000-0002-0000-0100-000002000000}">
      <formula1>0</formula1>
      <formula2>1</formula2>
    </dataValidation>
  </dataValidations>
  <hyperlinks>
    <hyperlink ref="B27" location="'P0026'!A1" display="P0026" xr:uid="{EABBFC97-71A3-46E3-89A5-3EDA34BFED72}"/>
    <hyperlink ref="B26" location="'P0025'!A1" display="P0025" xr:uid="{2C66D425-58A4-4102-A86F-8FB35F8B2781}"/>
    <hyperlink ref="B17" location="'P0016'!A1" display="P0016" xr:uid="{00000000-0004-0000-0100-000001000000}"/>
    <hyperlink ref="B25" location="'P0024'!A1" display="P0024" xr:uid="{00000000-0004-0000-0100-00000A000000}"/>
    <hyperlink ref="B24" location="'P0023'!A1" display="P0023" xr:uid="{00000000-0004-0000-0100-000009000000}"/>
    <hyperlink ref="B23" location="'P0022'!A1" display="P0022" xr:uid="{00000000-0004-0000-0100-000008000000}"/>
    <hyperlink ref="B12" location="'P0011'!A1" display="P0011" xr:uid="{00000000-0004-0000-0100-000007000000}"/>
    <hyperlink ref="B14" location="'P0013'!A1" display="P0013" xr:uid="{00000000-0004-0000-0100-000006000000}"/>
    <hyperlink ref="B21" location="'P0020'!A1" display="P0020" xr:uid="{00000000-0004-0000-0100-000005000000}"/>
    <hyperlink ref="B20" location="'P0019'!A1" display="P0019" xr:uid="{00000000-0004-0000-0100-000004000000}"/>
    <hyperlink ref="B19" location="'P0018'!A1" display="P0018" xr:uid="{00000000-0004-0000-0100-000003000000}"/>
    <hyperlink ref="B18" location="'P0017'!A1" display="P0017" xr:uid="{00000000-0004-0000-0100-000002000000}"/>
    <hyperlink ref="B13" location="'P0012'!A1" display="P0012" xr:uid="{00000000-0004-0000-0100-000000000000}"/>
    <hyperlink ref="B28" location="'P0027'!A1" display="P0027" xr:uid="{14D979E9-0A90-4448-A1F3-D67D00B87C2B}"/>
    <hyperlink ref="B29" location="'P0028'!A1" display="P0028" xr:uid="{53DA88BF-5962-4232-B404-36E4A4FA3815}"/>
    <hyperlink ref="B30" location="'P0029'!A1" display="P0029" xr:uid="{963E1F6B-1ADF-45B8-86C4-1CECE6D802D4}"/>
    <hyperlink ref="B31" location="'P0030'!A1" display="P0030" xr:uid="{89E442DE-D4AF-45E5-BC0F-B0F62B07790F}"/>
    <hyperlink ref="B32" location="'P0031'!A1" display="P0031" xr:uid="{81417936-EAE3-4AB2-A858-070FB8B69174}"/>
    <hyperlink ref="B33" location="'P0032'!A1" display="P0032" xr:uid="{392049C9-3839-4B11-BA09-CEC75CBBE1D9}"/>
    <hyperlink ref="B34" location="'P0033'!A1" display="P0033" xr:uid="{9A634901-A70E-4A73-B873-7972B85B6FE9}"/>
    <hyperlink ref="B35" location="'P0034'!A1" display="P0034" xr:uid="{973299D4-87A4-4155-B521-E153FCD5EE0D}"/>
    <hyperlink ref="B36" location="'P0035'!A1" display="P0035" xr:uid="{14B17DDE-0B20-4D6C-9BFD-26B7F93B102B}"/>
    <hyperlink ref="B37" location="'P0036'!A1" display="P0036" xr:uid="{BF68CB17-DB5F-47A6-AC69-AD9AF2FA26F0}"/>
    <hyperlink ref="B38" location="'P0036'!A1" display="P0036" xr:uid="{DF8D3F74-5D22-4CD0-93AD-9DB327324729}"/>
    <hyperlink ref="B39" location="'P0038'!A1" display="P0038" xr:uid="{9B992513-AF01-4E48-BC4B-C05E3B9CEBA7}"/>
    <hyperlink ref="B40" location="'P0039'!A1" display="P0039" xr:uid="{0D2DA2EE-F551-4373-BABF-8E2988D6A919}"/>
    <hyperlink ref="B42" location="'P0041'!A1" display="P0041" xr:uid="{60CE2084-7CC5-4B56-9789-B64E2541F2F1}"/>
    <hyperlink ref="B41" location="'P0040'!A1" display="P0040" xr:uid="{8CF384AA-3DA6-4E86-B07E-0397219EE949}"/>
    <hyperlink ref="B43" location="'P0042'!A1" display="P0042" xr:uid="{DDFD7F2B-C9CC-4631-BA1F-83466CECA29B}"/>
    <hyperlink ref="B44" location="'P0043'!A1" display="P0043" xr:uid="{BB376C67-5A26-4C53-B8A6-6A12F65C33F7}"/>
    <hyperlink ref="B45" location="'P0044'!A1" display="P0044" xr:uid="{BB6EF79A-3019-43F4-BFBA-339D16C6ACA0}"/>
    <hyperlink ref="B46" location="'P0045'!A1" display="P0045" xr:uid="{BE2D5512-227F-4681-8154-2E91CDA5CCA2}"/>
    <hyperlink ref="B47" location="'P0046'!A1" display="P0046" xr:uid="{92AB6110-A5F1-47A5-9E34-DF7CCC2B899B}"/>
    <hyperlink ref="B48" location="'P0047'!A1" display="P0047" xr:uid="{F4EB119B-DB61-428B-8533-5DD4AA064099}"/>
    <hyperlink ref="B49" location="'P0048'!A1" display="P0048" xr:uid="{F57C2013-F3F4-4238-A398-ACF9400044AA}"/>
    <hyperlink ref="B50" location="'P0049'!A1" display="P0049" xr:uid="{4020619F-CABB-4FBB-A03F-62FF409E6DD4}"/>
    <hyperlink ref="B51" location="'P0050'!A1" display="P0050" xr:uid="{509F161D-FD2A-415D-960C-7A18498A6F3A}"/>
    <hyperlink ref="B52" location="'P0051'!A1" display="P0051" xr:uid="{CB35BEB3-D877-4E35-8EC0-8E8A052D5988}"/>
    <hyperlink ref="B53" location="'P0052'!A1" display="P0052" xr:uid="{283B70EC-69D1-4324-9B2F-978A8B3357E0}"/>
    <hyperlink ref="B54" location="'P0053'!A1" display="P0053" xr:uid="{9211A0CA-B6CD-480B-A577-F7D28CC2E924}"/>
    <hyperlink ref="B55" location="'P0054'!A1" display="P0054" xr:uid="{D5A23C23-6310-469E-96FA-BFE793F6E71B}"/>
    <hyperlink ref="B56" location="'P0055'!A1" display="P0055" xr:uid="{E7EC9E87-81F3-4713-AE79-4AC930C1B535}"/>
    <hyperlink ref="B57" location="'P0056'!A1" display="P0056" xr:uid="{AA8C20B9-7E8C-4815-88BD-BC8632EA34C2}"/>
    <hyperlink ref="B58" location="'P0057'!A1" display="P0057" xr:uid="{369F5CCF-89AE-4709-A3D1-952E4D490D80}"/>
    <hyperlink ref="B59" location="'P0058'!A1" display="P0058" xr:uid="{103D5FB7-057A-4E05-9B8F-A44048A86446}"/>
    <hyperlink ref="B60" location="'P0059'!A1" display="P0059" xr:uid="{82928E38-00C1-4E24-822E-AAA42153BDD7}"/>
    <hyperlink ref="B61" location="'P0060'!A1" display="P0060" xr:uid="{D019C251-78D6-46EE-A751-909784BF93C2}"/>
    <hyperlink ref="B62" location="'P0061'!A1" display="P0061" xr:uid="{0A941870-2ED2-4EAF-87F2-659727B20A7E}"/>
    <hyperlink ref="B63" location="'P0062'!A1" display="P0062" xr:uid="{28541EC1-7430-4632-BE75-3642A0A541F1}"/>
    <hyperlink ref="B64" location="'P0063'!A1" display="P0063" xr:uid="{DFAB7B7B-BB52-4786-9EC9-1FE0096438D9}"/>
    <hyperlink ref="B65" location="'P0064'!A1" display="P0064" xr:uid="{8403EFC1-B8FA-44F3-BBAD-5AD0A8CC77E3}"/>
  </hyperlink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5"/>
  <sheetViews>
    <sheetView workbookViewId="0">
      <selection activeCell="A22" sqref="A22"/>
    </sheetView>
  </sheetViews>
  <sheetFormatPr defaultRowHeight="14" x14ac:dyDescent="0.3"/>
  <cols>
    <col min="1" max="1" width="45" customWidth="1"/>
    <col min="2" max="2" width="10" bestFit="1" customWidth="1"/>
    <col min="3" max="4" width="9" bestFit="1" customWidth="1"/>
    <col min="5" max="5" width="9.08203125" bestFit="1" customWidth="1"/>
    <col min="6" max="6" width="13.08203125" customWidth="1"/>
  </cols>
  <sheetData>
    <row r="1" spans="1:6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6" x14ac:dyDescent="0.3">
      <c r="A2" s="94" t="s">
        <v>209</v>
      </c>
      <c r="B2" s="21" cm="1">
        <f t="array" aca="1" ref="B2" ca="1">MIN(MMULT(TRANSPOSE(B3:B4),D3:D4-C3:C4)/SUM(D3:D4-C3:C4)+0.005,1)</f>
        <v>1</v>
      </c>
      <c r="C2" s="23" cm="1">
        <f t="array" ref="C2">get_start_date(E2,holidays)</f>
        <v>44603</v>
      </c>
      <c r="D2" s="23">
        <f>MAX(D3:D5)</f>
        <v>44688</v>
      </c>
      <c r="E2" s="23">
        <f>E3</f>
        <v>44603</v>
      </c>
      <c r="F2" s="24" cm="1">
        <f t="array" ref="F2">SUM(IF(WEEKDAY(_xlfn.SEQUENCE(D2-C2,1,C2,1),2)&lt;6,1,0))-SUM(IF(ISERROR(MATCH(_xlfn.SEQUENCE(D2-C2,1,C2,1),holidays,0)&gt;0)=FALSE,1,0))</f>
        <v>54</v>
      </c>
    </row>
    <row r="3" spans="1:6" x14ac:dyDescent="0.3">
      <c r="A3" s="29" t="s">
        <v>75</v>
      </c>
      <c r="B3" s="30">
        <f ca="1">IFERROR(MAX(MIN(TODAY()-C3,D3-C3),0)/(D3-C3),0)</f>
        <v>1</v>
      </c>
      <c r="C3" s="11" cm="1">
        <f t="array" ref="C3">get_start_date(E3,holidays)</f>
        <v>44603</v>
      </c>
      <c r="D3" s="11" cm="1">
        <f t="array" ref="D3">get_finish_date(C3,holidays,F3)</f>
        <v>44680</v>
      </c>
      <c r="E3" s="12">
        <v>44603</v>
      </c>
      <c r="F3" s="31">
        <v>50</v>
      </c>
    </row>
    <row r="4" spans="1:6" x14ac:dyDescent="0.3">
      <c r="A4" s="29" t="s">
        <v>210</v>
      </c>
      <c r="B4" s="30">
        <f ca="1">IFERROR(MAX(MIN(TODAY()-C4,D4-C4),0)/(D4-C4),0)</f>
        <v>1</v>
      </c>
      <c r="C4" s="11" cm="1">
        <f t="array" ref="C4">get_start_date(E4,holidays)</f>
        <v>44680</v>
      </c>
      <c r="D4" s="11" cm="1">
        <f t="array" ref="D4">get_finish_date(C4,holidays,F4)</f>
        <v>44687</v>
      </c>
      <c r="E4" s="12">
        <f>D3</f>
        <v>44680</v>
      </c>
      <c r="F4" s="31">
        <v>3</v>
      </c>
    </row>
    <row r="5" spans="1:6" x14ac:dyDescent="0.3">
      <c r="A5" s="29" t="s">
        <v>211</v>
      </c>
      <c r="B5" s="30">
        <f ca="1">IFERROR(MAX(MIN(TODAY()-C5,D5-C5),0)/(D5-C5),0)</f>
        <v>1</v>
      </c>
      <c r="C5" s="11" cm="1">
        <f t="array" ref="C5">get_start_date(E5,holidays)</f>
        <v>44684</v>
      </c>
      <c r="D5" s="11" cm="1">
        <f t="array" ref="D5">get_finish_date(C5,holidays,F5)</f>
        <v>44688</v>
      </c>
      <c r="E5" s="12">
        <v>44684</v>
      </c>
      <c r="F5" s="31">
        <v>3</v>
      </c>
    </row>
  </sheetData>
  <dataValidations count="3">
    <dataValidation type="whole" allowBlank="1" showInputMessage="1" showErrorMessage="1" prompt="Number of working days" sqref="F2:F4" xr:uid="{00000000-0002-0000-0200-000000000000}">
      <formula1>0</formula1>
      <formula2>1000</formula2>
    </dataValidation>
    <dataValidation type="date" allowBlank="1" showInputMessage="1" showErrorMessage="1" sqref="C2:E5" xr:uid="{00000000-0002-0000-0200-000001000000}">
      <formula1>44562</formula1>
      <formula2>219148</formula2>
    </dataValidation>
    <dataValidation type="decimal" allowBlank="1" showInputMessage="1" showErrorMessage="1" prompt="Actual project completion (%)" sqref="B2:B5" xr:uid="{00000000-0002-0000-0200-000002000000}">
      <formula1>0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I4"/>
  <sheetViews>
    <sheetView showGridLines="0" workbookViewId="0">
      <selection activeCell="H17" sqref="H17"/>
    </sheetView>
  </sheetViews>
  <sheetFormatPr defaultColWidth="8" defaultRowHeight="12.5" x14ac:dyDescent="0.3"/>
  <cols>
    <col min="1" max="1" width="45" style="15" customWidth="1"/>
    <col min="2" max="6" width="10" style="15" customWidth="1"/>
    <col min="7" max="10" width="8" style="15"/>
    <col min="11" max="11" width="30" style="15" customWidth="1"/>
    <col min="12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aca="1" ref="B2" ca="1">MIN(MMULT(TRANSPOSE(B3:B4),D3:D4-C3:C4)/SUM(D3:D4-C3:C4)+0.01,1)</f>
        <v>1</v>
      </c>
      <c r="C2" s="23" cm="1">
        <f t="array" ref="C2">get_start_date(E2,holidays)</f>
        <v>44678</v>
      </c>
      <c r="D2" s="23">
        <f>MAX(D3:D4)</f>
        <v>44744</v>
      </c>
      <c r="E2" s="23">
        <f>E3</f>
        <v>44678</v>
      </c>
      <c r="F2" s="24" cm="1">
        <f t="array" ref="F2">SUM(IF(WEEKDAY(_xlfn.SEQUENCE(D2-C2,1,C2,1),2)&lt;6,1,0))-SUM(IF(ISERROR(MATCH(_xlfn.SEQUENCE(D2-C2,1,C2,1),holidays,0)&gt;0)=FALSE,1,0))</f>
        <v>44</v>
      </c>
      <c r="H2" s="33"/>
    </row>
    <row r="3" spans="1:9" x14ac:dyDescent="0.3">
      <c r="A3" s="29" t="s">
        <v>212</v>
      </c>
      <c r="B3" s="9">
        <f ca="1">IFERROR(MAX(MIN(TODAY()-C3,D3-C3),0)/(D3-C3),0)</f>
        <v>1</v>
      </c>
      <c r="C3" s="11" cm="1">
        <f t="array" ref="C3">get_start_date(E3,holidays)</f>
        <v>44678</v>
      </c>
      <c r="D3" s="11" cm="1">
        <f t="array" ref="D3">get_finish_date(C3,holidays,F3)</f>
        <v>44713</v>
      </c>
      <c r="E3" s="12">
        <v>44678</v>
      </c>
      <c r="F3" s="19">
        <v>22</v>
      </c>
      <c r="G3" s="25"/>
      <c r="I3" s="26"/>
    </row>
    <row r="4" spans="1:9" x14ac:dyDescent="0.3">
      <c r="A4" s="29" t="s">
        <v>213</v>
      </c>
      <c r="B4" s="9">
        <v>1</v>
      </c>
      <c r="C4" s="11" cm="1">
        <f t="array" ref="C4">get_start_date(E4,holidays)</f>
        <v>44713</v>
      </c>
      <c r="D4" s="11" cm="1">
        <f t="array" ref="D4">get_finish_date(C4,holidays,F4)</f>
        <v>44744</v>
      </c>
      <c r="E4" s="12">
        <f>D3</f>
        <v>44713</v>
      </c>
      <c r="F4" s="19">
        <v>22</v>
      </c>
      <c r="G4" s="25"/>
    </row>
  </sheetData>
  <dataValidations count="3">
    <dataValidation type="decimal" allowBlank="1" showInputMessage="1" showErrorMessage="1" prompt="Actual project completion (%)" sqref="B2:B4" xr:uid="{00000000-0002-0000-0300-000000000000}">
      <formula1>0</formula1>
      <formula2>1</formula2>
    </dataValidation>
    <dataValidation type="date" allowBlank="1" showInputMessage="1" showErrorMessage="1" sqref="C2:E4" xr:uid="{00000000-0002-0000-0300-000001000000}">
      <formula1>44562</formula1>
      <formula2>219148</formula2>
    </dataValidation>
    <dataValidation type="whole" allowBlank="1" showInputMessage="1" showErrorMessage="1" prompt="Number of working days" sqref="F2:F4" xr:uid="{00000000-0002-0000-0300-000002000000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7"/>
  <sheetViews>
    <sheetView workbookViewId="0">
      <selection activeCell="D5" sqref="D5"/>
    </sheetView>
  </sheetViews>
  <sheetFormatPr defaultRowHeight="14" x14ac:dyDescent="0.3"/>
  <cols>
    <col min="1" max="1" width="45" customWidth="1"/>
    <col min="2" max="5" width="14" customWidth="1"/>
    <col min="6" max="6" width="9" customWidth="1"/>
  </cols>
  <sheetData>
    <row r="1" spans="1:6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6" x14ac:dyDescent="0.3">
      <c r="A2" s="27" t="s">
        <v>209</v>
      </c>
      <c r="B2" s="21" cm="1">
        <f t="array" aca="1" ref="B2" ca="1">MIN(MMULT(TRANSPOSE(B3:B7),D3:D7-C3:C7)/SUM(D3:D7-C3:C7)+0.005,1)</f>
        <v>1</v>
      </c>
      <c r="C2" s="23" cm="1">
        <f t="array" ref="C2">get_start_date(E2,holidays)</f>
        <v>44565</v>
      </c>
      <c r="D2" s="23">
        <f>MAX(D3:D7)</f>
        <v>44750</v>
      </c>
      <c r="E2" s="23">
        <v>44562</v>
      </c>
      <c r="F2" s="24" cm="1">
        <f t="array" ref="F2">SUM(IF(WEEKDAY(_xlfn.SEQUENCE(D2-C2,1,C2,1),2)&lt;6,1,0))-SUM(IF(ISERROR(MATCH(_xlfn.SEQUENCE(D2-C2,1,C2,1),holidays,0)&gt;0)=FALSE,1,0))</f>
        <v>124</v>
      </c>
    </row>
    <row r="3" spans="1:6" x14ac:dyDescent="0.3">
      <c r="A3" s="29" t="s">
        <v>214</v>
      </c>
      <c r="B3" s="30">
        <f ca="1">IFERROR(MAX(MIN(TODAY()-C3,D3-C3),0)/(D3-C3),0)</f>
        <v>1</v>
      </c>
      <c r="C3" s="11" cm="1">
        <f t="array" ref="C3">get_start_date(E3,holidays)</f>
        <v>44567</v>
      </c>
      <c r="D3" s="11" cm="1">
        <f t="array" ref="D3">get_finish_date(C3,holidays,F3)</f>
        <v>44568</v>
      </c>
      <c r="E3" s="12">
        <v>44567</v>
      </c>
      <c r="F3" s="31">
        <v>1</v>
      </c>
    </row>
    <row r="4" spans="1:6" x14ac:dyDescent="0.3">
      <c r="A4" s="29" t="s">
        <v>215</v>
      </c>
      <c r="B4" s="9">
        <f ca="1">IFERROR(MAX(MIN(TODAY()-C4,D4-C4),0)/(D4-C4),0)</f>
        <v>1</v>
      </c>
      <c r="C4" s="11" cm="1">
        <f t="array" ref="C4">get_start_date(E4,holidays)</f>
        <v>44746</v>
      </c>
      <c r="D4" s="11" cm="1">
        <f t="array" ref="D4">get_finish_date(C4,holidays,F4)</f>
        <v>44747</v>
      </c>
      <c r="E4" s="12">
        <v>44746</v>
      </c>
      <c r="F4" s="19">
        <v>1</v>
      </c>
    </row>
    <row r="5" spans="1:6" x14ac:dyDescent="0.3">
      <c r="A5" s="29" t="s">
        <v>216</v>
      </c>
      <c r="B5" s="9">
        <f ca="1">IFERROR(MAX(MIN(TODAY()-C5,D5-C5),0)/(D5-C5),0)</f>
        <v>1</v>
      </c>
      <c r="C5" s="11" cm="1">
        <f t="array" ref="C5">get_start_date(E5,holidays)</f>
        <v>44747</v>
      </c>
      <c r="D5" s="11" cm="1">
        <f t="array" ref="D5">get_finish_date(C5,holidays,F5)</f>
        <v>44748</v>
      </c>
      <c r="E5" s="12">
        <f>D4</f>
        <v>44747</v>
      </c>
      <c r="F5" s="19">
        <v>1</v>
      </c>
    </row>
    <row r="6" spans="1:6" x14ac:dyDescent="0.3">
      <c r="A6" s="32" t="s">
        <v>217</v>
      </c>
      <c r="B6" s="9">
        <f ca="1">IFERROR(MAX(MIN(TODAY()-C6,D6-C6),0)/(D6-C6),0)</f>
        <v>1</v>
      </c>
      <c r="C6" s="11" cm="1">
        <f t="array" ref="C6">get_start_date(E6,holidays)</f>
        <v>44748</v>
      </c>
      <c r="D6" s="11" cm="1">
        <f t="array" ref="D6">get_finish_date(C6,holidays,F6)</f>
        <v>44749</v>
      </c>
      <c r="E6" s="12">
        <f>D5</f>
        <v>44748</v>
      </c>
      <c r="F6" s="19">
        <v>1</v>
      </c>
    </row>
    <row r="7" spans="1:6" x14ac:dyDescent="0.3">
      <c r="A7" s="32" t="s">
        <v>218</v>
      </c>
      <c r="B7" s="9">
        <f ca="1">IFERROR(MAX(MIN(TODAY()-C7,D7-C7),0)/(D7-C7),0)</f>
        <v>1</v>
      </c>
      <c r="C7" s="11" cm="1">
        <f t="array" ref="C7">get_start_date(E7,holidays)</f>
        <v>44749</v>
      </c>
      <c r="D7" s="11" cm="1">
        <f t="array" ref="D7">get_finish_date(C7,holidays,F7)</f>
        <v>44750</v>
      </c>
      <c r="E7" s="12">
        <f>D6</f>
        <v>44749</v>
      </c>
      <c r="F7" s="19">
        <v>1</v>
      </c>
    </row>
  </sheetData>
  <dataValidations count="3">
    <dataValidation type="whole" allowBlank="1" showInputMessage="1" showErrorMessage="1" prompt="Number of working days" sqref="F2:F7" xr:uid="{00000000-0002-0000-0400-000000000000}">
      <formula1>0</formula1>
      <formula2>1000</formula2>
    </dataValidation>
    <dataValidation type="date" allowBlank="1" showInputMessage="1" showErrorMessage="1" sqref="C2:E7" xr:uid="{00000000-0002-0000-0400-000001000000}">
      <formula1>44562</formula1>
      <formula2>219148</formula2>
    </dataValidation>
    <dataValidation type="decimal" allowBlank="1" showInputMessage="1" showErrorMessage="1" prompt="Actual project completion (%)" sqref="B2:B7" xr:uid="{00000000-0002-0000-0400-000002000000}">
      <formula1>0</formula1>
      <formula2>1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11"/>
  <sheetViews>
    <sheetView showGridLines="0" zoomScale="160" zoomScaleNormal="160" workbookViewId="0">
      <selection activeCell="A18" sqref="A18"/>
    </sheetView>
  </sheetViews>
  <sheetFormatPr defaultColWidth="8" defaultRowHeight="12.5" x14ac:dyDescent="0.3"/>
  <cols>
    <col min="1" max="1" width="45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aca="1" ref="B2" ca="1">MIN(MMULT(TRANSPOSE(B3:B11),D3:D11-C3:C11)/SUM(D3:D11-C3:C11)+0.0005,1)</f>
        <v>1</v>
      </c>
      <c r="C2" s="22" cm="1">
        <f t="array" ref="C2">get_start_date(E2,holidays)</f>
        <v>44672</v>
      </c>
      <c r="D2" s="23">
        <f>MAX(D3:D11)</f>
        <v>44742</v>
      </c>
      <c r="E2" s="23">
        <f>E3</f>
        <v>44672</v>
      </c>
      <c r="F2" s="24" cm="1">
        <f t="array" ref="F2">SUM(IF(WEEKDAY(_xlfn.SEQUENCE(D2-C2,1,C2,1),2)&lt;6,1,0))-SUM(IF(ISERROR(MATCH(_xlfn.SEQUENCE(D2-C2,1,C2,1),holidays,0)&gt;0)=FALSE,1,0))</f>
        <v>46</v>
      </c>
    </row>
    <row r="3" spans="1:9" x14ac:dyDescent="0.3">
      <c r="A3" s="8" t="s">
        <v>219</v>
      </c>
      <c r="B3" s="9">
        <f ca="1">IFERROR(MAX(MIN(TODAY()-C3,D3-C3),0)/(D3-C3),0)</f>
        <v>1</v>
      </c>
      <c r="C3" s="10" cm="1">
        <f t="array" ref="C3">get_start_date(E3,holidays)</f>
        <v>44672</v>
      </c>
      <c r="D3" s="11" cm="1">
        <f t="array" ref="D3">get_finish_date(C3,holidays,F3)</f>
        <v>44677</v>
      </c>
      <c r="E3" s="12">
        <v>44672</v>
      </c>
      <c r="F3" s="19">
        <v>3</v>
      </c>
      <c r="G3" s="25"/>
      <c r="I3" s="26"/>
    </row>
    <row r="4" spans="1:9" x14ac:dyDescent="0.3">
      <c r="A4" s="8" t="s">
        <v>220</v>
      </c>
      <c r="B4" s="9">
        <f t="shared" ref="B4:B5" ca="1" si="0">IFERROR(MAX(MIN(TODAY()-C4,D4-C4),0)/(D4-C4),0)</f>
        <v>1</v>
      </c>
      <c r="C4" s="10" cm="1">
        <f t="array" ref="C4">get_start_date(E4,holidays)</f>
        <v>44677</v>
      </c>
      <c r="D4" s="11" cm="1">
        <f t="array" ref="D4">get_finish_date(C4,holidays,F4)</f>
        <v>44688</v>
      </c>
      <c r="E4" s="12">
        <f t="shared" ref="E4:E5" si="1">D3</f>
        <v>44677</v>
      </c>
      <c r="F4" s="19">
        <v>7</v>
      </c>
      <c r="G4" s="25"/>
    </row>
    <row r="5" spans="1:9" x14ac:dyDescent="0.3">
      <c r="A5" s="8" t="s">
        <v>221</v>
      </c>
      <c r="B5" s="9">
        <f t="shared" ca="1" si="0"/>
        <v>1</v>
      </c>
      <c r="C5" s="10" cm="1">
        <f t="array" ref="C5">get_start_date(E5,holidays)</f>
        <v>44690</v>
      </c>
      <c r="D5" s="11" cm="1">
        <f t="array" ref="D5">get_finish_date(C5,holidays,F5)</f>
        <v>44700</v>
      </c>
      <c r="E5" s="12">
        <f t="shared" si="1"/>
        <v>44688</v>
      </c>
      <c r="F5" s="19">
        <v>7</v>
      </c>
      <c r="G5" s="25"/>
    </row>
    <row r="6" spans="1:9" x14ac:dyDescent="0.3">
      <c r="A6" s="14" t="s">
        <v>222</v>
      </c>
      <c r="B6" s="9">
        <v>1</v>
      </c>
      <c r="C6" s="10" cm="1">
        <f t="array" ref="C6">get_start_date(E6,holidays)</f>
        <v>44700</v>
      </c>
      <c r="D6" s="11" cm="1">
        <f t="array" ref="D6">get_finish_date(C6,holidays,F6)</f>
        <v>44709</v>
      </c>
      <c r="E6" s="12">
        <f>D5</f>
        <v>44700</v>
      </c>
      <c r="F6" s="19">
        <v>7</v>
      </c>
      <c r="G6" s="25"/>
    </row>
    <row r="7" spans="1:9" x14ac:dyDescent="0.3">
      <c r="A7" s="14" t="s">
        <v>223</v>
      </c>
      <c r="B7" s="9">
        <v>1</v>
      </c>
      <c r="C7" s="10" cm="1">
        <f t="array" ref="C7">get_start_date(E7,holidays)</f>
        <v>44701</v>
      </c>
      <c r="D7" s="11" cm="1">
        <f t="array" ref="D7">get_finish_date(C7,holidays,F7)</f>
        <v>44715</v>
      </c>
      <c r="E7" s="12">
        <v>44701</v>
      </c>
      <c r="F7" s="19">
        <v>10</v>
      </c>
      <c r="G7" s="25"/>
    </row>
    <row r="8" spans="1:9" x14ac:dyDescent="0.3">
      <c r="A8" s="14" t="s">
        <v>224</v>
      </c>
      <c r="B8" s="9">
        <v>1</v>
      </c>
      <c r="C8" s="10" cm="1">
        <f t="array" ref="C8">get_start_date(E8,holidays)</f>
        <v>44718</v>
      </c>
      <c r="D8" s="11" cm="1">
        <f t="array" ref="D8">get_finish_date(C8,holidays,F8)</f>
        <v>44723</v>
      </c>
      <c r="E8" s="12">
        <f t="shared" ref="E8" si="2">D7</f>
        <v>44715</v>
      </c>
      <c r="F8" s="19">
        <v>5</v>
      </c>
      <c r="G8" s="25"/>
    </row>
    <row r="9" spans="1:9" x14ac:dyDescent="0.3">
      <c r="A9" s="14" t="s">
        <v>225</v>
      </c>
      <c r="B9" s="9">
        <v>1</v>
      </c>
      <c r="C9" s="10" cm="1">
        <f t="array" ref="C9">get_start_date(E9,holidays)</f>
        <v>44718</v>
      </c>
      <c r="D9" s="11" cm="1">
        <f t="array" ref="D9">get_finish_date(C9,holidays,F9)</f>
        <v>44729</v>
      </c>
      <c r="E9" s="12">
        <v>44718</v>
      </c>
      <c r="F9" s="19">
        <v>9</v>
      </c>
      <c r="G9" s="25"/>
    </row>
    <row r="10" spans="1:9" x14ac:dyDescent="0.3">
      <c r="A10" s="14" t="s">
        <v>226</v>
      </c>
      <c r="B10" s="9">
        <v>1</v>
      </c>
      <c r="C10" s="10" cm="1">
        <f t="array" ref="C10">get_start_date(E10,holidays)</f>
        <v>44729</v>
      </c>
      <c r="D10" s="11" cm="1">
        <f t="array" ref="D10">get_finish_date(C10,holidays,F10)</f>
        <v>44735</v>
      </c>
      <c r="E10" s="12">
        <f t="shared" ref="E10" si="3">D9</f>
        <v>44729</v>
      </c>
      <c r="F10" s="19">
        <v>4</v>
      </c>
      <c r="G10" s="25"/>
    </row>
    <row r="11" spans="1:9" x14ac:dyDescent="0.3">
      <c r="A11" s="14" t="s">
        <v>227</v>
      </c>
      <c r="B11" s="9">
        <v>1</v>
      </c>
      <c r="C11" s="10" cm="1">
        <f t="array" ref="C11">get_start_date(E11,holidays)</f>
        <v>44735</v>
      </c>
      <c r="D11" s="11" cm="1">
        <f t="array" ref="D11">get_finish_date(C11,holidays,F11)</f>
        <v>44742</v>
      </c>
      <c r="E11" s="12">
        <f t="shared" ref="E11" si="4">D10</f>
        <v>44735</v>
      </c>
      <c r="F11" s="19">
        <v>5</v>
      </c>
      <c r="G11" s="25"/>
    </row>
  </sheetData>
  <dataValidations count="3">
    <dataValidation type="decimal" allowBlank="1" showInputMessage="1" showErrorMessage="1" prompt="Actual project completion (%)" sqref="B2:B11" xr:uid="{00000000-0002-0000-0500-000000000000}">
      <formula1>0</formula1>
      <formula2>1</formula2>
    </dataValidation>
    <dataValidation type="date" allowBlank="1" showInputMessage="1" showErrorMessage="1" sqref="C2:E11" xr:uid="{00000000-0002-0000-0500-000001000000}">
      <formula1>44562</formula1>
      <formula2>219148</formula2>
    </dataValidation>
    <dataValidation type="whole" allowBlank="1" showInputMessage="1" showErrorMessage="1" prompt="Number of working days" sqref="F2:F11" xr:uid="{00000000-0002-0000-0500-000002000000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"/>
  <sheetViews>
    <sheetView showGridLines="0" workbookViewId="0">
      <selection activeCell="B2" sqref="B2"/>
    </sheetView>
  </sheetViews>
  <sheetFormatPr defaultColWidth="8" defaultRowHeight="12.5" x14ac:dyDescent="0.3"/>
  <cols>
    <col min="1" max="1" width="45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aca="1" ref="B2" ca="1">MIN(MMULT(TRANSPOSE(B3:B10),D3:D10-C3:C10)/SUM(D3:D10-C3:C10)+0.05,1)</f>
        <v>1</v>
      </c>
      <c r="C2" s="22" cm="1">
        <f t="array" ref="C2">get_start_date(E2,holidays)</f>
        <v>44671</v>
      </c>
      <c r="D2" s="23">
        <f>MAX(D3:D10)</f>
        <v>44733</v>
      </c>
      <c r="E2" s="23">
        <f>E3</f>
        <v>44671</v>
      </c>
      <c r="F2" s="24" cm="1">
        <f t="array" ref="F2">SUM(IF(WEEKDAY(_xlfn.SEQUENCE(D2-C2,1,C2,1),2)&lt;6,1,0))-SUM(IF(ISERROR(MATCH(_xlfn.SEQUENCE(D2-C2,1,C2,1),holidays,0)&gt;0)=FALSE,1,0))</f>
        <v>40</v>
      </c>
    </row>
    <row r="3" spans="1:9" x14ac:dyDescent="0.3">
      <c r="A3" s="8" t="s">
        <v>228</v>
      </c>
      <c r="B3" s="9">
        <f ca="1">IFERROR(MAX(MIN(TODAY()-C3,D3-C3),0)/(D3-C3),0)</f>
        <v>1</v>
      </c>
      <c r="C3" s="10" cm="1">
        <f t="array" ref="C3">get_start_date(E3,holidays)</f>
        <v>44671</v>
      </c>
      <c r="D3" s="11" cm="1">
        <f t="array" ref="D3">get_finish_date(C3,holidays,F3)</f>
        <v>44674</v>
      </c>
      <c r="E3" s="12">
        <v>44671</v>
      </c>
      <c r="F3" s="19">
        <v>3</v>
      </c>
      <c r="G3" s="25"/>
      <c r="I3" s="26"/>
    </row>
    <row r="4" spans="1:9" x14ac:dyDescent="0.3">
      <c r="A4" s="8" t="s">
        <v>229</v>
      </c>
      <c r="B4" s="9">
        <f t="shared" ref="B4:B10" ca="1" si="0">IFERROR(MAX(MIN(TODAY()-C4,D4-C4),0)/(D4-C4),0)</f>
        <v>1</v>
      </c>
      <c r="C4" s="10" cm="1">
        <f t="array" ref="C4">get_start_date(E4,holidays)</f>
        <v>44676</v>
      </c>
      <c r="D4" s="11" cm="1">
        <f t="array" ref="D4">get_finish_date(C4,holidays,F4)</f>
        <v>44680</v>
      </c>
      <c r="E4" s="12">
        <f t="shared" ref="E4:E7" si="1">D3</f>
        <v>44674</v>
      </c>
      <c r="F4" s="19">
        <v>4</v>
      </c>
      <c r="G4" s="25"/>
    </row>
    <row r="5" spans="1:9" x14ac:dyDescent="0.3">
      <c r="A5" s="8" t="s">
        <v>230</v>
      </c>
      <c r="B5" s="9">
        <f t="shared" ca="1" si="0"/>
        <v>1</v>
      </c>
      <c r="C5" s="10" cm="1">
        <f t="array" ref="C5">get_start_date(E5,holidays)</f>
        <v>44680</v>
      </c>
      <c r="D5" s="11" cm="1">
        <f t="array" ref="D5">get_finish_date(C5,holidays,F5)</f>
        <v>44691</v>
      </c>
      <c r="E5" s="12">
        <f t="shared" si="1"/>
        <v>44680</v>
      </c>
      <c r="F5" s="19">
        <v>5</v>
      </c>
      <c r="G5" s="25"/>
    </row>
    <row r="6" spans="1:9" x14ac:dyDescent="0.3">
      <c r="A6" s="14" t="s">
        <v>231</v>
      </c>
      <c r="B6" s="9">
        <f t="shared" ca="1" si="0"/>
        <v>1</v>
      </c>
      <c r="C6" s="10" cm="1">
        <f t="array" ref="C6">get_start_date(E6,holidays)</f>
        <v>44691</v>
      </c>
      <c r="D6" s="11" cm="1">
        <f t="array" ref="D6">get_finish_date(C6,holidays,F6)</f>
        <v>44694</v>
      </c>
      <c r="E6" s="12">
        <f t="shared" si="1"/>
        <v>44691</v>
      </c>
      <c r="F6" s="19">
        <v>3</v>
      </c>
      <c r="G6" s="25"/>
    </row>
    <row r="7" spans="1:9" x14ac:dyDescent="0.3">
      <c r="A7" s="14" t="s">
        <v>232</v>
      </c>
      <c r="B7" s="9">
        <f t="shared" ca="1" si="0"/>
        <v>1</v>
      </c>
      <c r="C7" s="10" cm="1">
        <f t="array" ref="C7">get_start_date(E7,holidays)</f>
        <v>44694</v>
      </c>
      <c r="D7" s="11" cm="1">
        <f t="array" ref="D7">get_finish_date(C7,holidays,F7)</f>
        <v>44695</v>
      </c>
      <c r="E7" s="12">
        <f t="shared" si="1"/>
        <v>44694</v>
      </c>
      <c r="F7" s="19">
        <v>1</v>
      </c>
      <c r="G7" s="25"/>
    </row>
    <row r="8" spans="1:9" x14ac:dyDescent="0.3">
      <c r="A8" s="14" t="s">
        <v>233</v>
      </c>
      <c r="B8" s="9">
        <f t="shared" ca="1" si="0"/>
        <v>1</v>
      </c>
      <c r="C8" s="10" cm="1">
        <f t="array" ref="C8">get_start_date(E8,holidays)</f>
        <v>44698</v>
      </c>
      <c r="D8" s="11" cm="1">
        <f t="array" ref="D8">get_finish_date(C8,holidays,F8)</f>
        <v>44707</v>
      </c>
      <c r="E8" s="12">
        <f>D7</f>
        <v>44695</v>
      </c>
      <c r="F8" s="19">
        <v>7</v>
      </c>
      <c r="G8" s="25"/>
    </row>
    <row r="9" spans="1:9" x14ac:dyDescent="0.3">
      <c r="A9" s="14" t="s">
        <v>234</v>
      </c>
      <c r="B9" s="9">
        <f t="shared" ca="1" si="0"/>
        <v>1</v>
      </c>
      <c r="C9" s="10" cm="1">
        <f t="array" ref="C9">get_start_date(E9,holidays)</f>
        <v>44707</v>
      </c>
      <c r="D9" s="11" cm="1">
        <f t="array" ref="D9">get_finish_date(C9,holidays,F9)</f>
        <v>44721</v>
      </c>
      <c r="E9" s="12">
        <f t="shared" ref="E9:E10" si="2">D8</f>
        <v>44707</v>
      </c>
      <c r="F9" s="19">
        <v>9</v>
      </c>
      <c r="G9" s="25"/>
    </row>
    <row r="10" spans="1:9" x14ac:dyDescent="0.3">
      <c r="A10" s="14" t="s">
        <v>235</v>
      </c>
      <c r="B10" s="9">
        <f t="shared" ca="1" si="0"/>
        <v>1</v>
      </c>
      <c r="C10" s="10" cm="1">
        <f t="array" ref="C10">get_start_date(E10,holidays)</f>
        <v>44721</v>
      </c>
      <c r="D10" s="11" cm="1">
        <f t="array" ref="D10">get_finish_date(C10,holidays,F10)</f>
        <v>44733</v>
      </c>
      <c r="E10" s="12">
        <f t="shared" si="2"/>
        <v>44721</v>
      </c>
      <c r="F10" s="19">
        <v>8</v>
      </c>
      <c r="G10" s="25"/>
    </row>
  </sheetData>
  <dataValidations count="3">
    <dataValidation type="date" allowBlank="1" showInputMessage="1" showErrorMessage="1" sqref="C2:E10" xr:uid="{00000000-0002-0000-0600-000000000000}">
      <formula1>44562</formula1>
      <formula2>219148</formula2>
    </dataValidation>
    <dataValidation type="decimal" allowBlank="1" showInputMessage="1" showErrorMessage="1" prompt="Actual project completion (%)" sqref="B2:B10" xr:uid="{00000000-0002-0000-0600-000001000000}">
      <formula1>0</formula1>
      <formula2>1</formula2>
    </dataValidation>
    <dataValidation type="whole" allowBlank="1" showInputMessage="1" showErrorMessage="1" prompt="Number of working days" sqref="F2:F10" xr:uid="{00000000-0002-0000-0600-000002000000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1"/>
  <sheetViews>
    <sheetView showGridLines="0" zoomScale="140" zoomScaleNormal="140" workbookViewId="0">
      <selection activeCell="B4" sqref="B4"/>
    </sheetView>
  </sheetViews>
  <sheetFormatPr defaultColWidth="8" defaultRowHeight="12.5" x14ac:dyDescent="0.3"/>
  <cols>
    <col min="1" max="1" width="45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aca="1" ref="B2" ca="1">MIN(MMULT(TRANSPOSE(B3:B11),D3:D11-C3:C11)/SUM(D3:D11-C3:C11)+0.00005,1)</f>
        <v>1</v>
      </c>
      <c r="C2" s="22" cm="1">
        <f t="array" ref="C2">get_start_date(E2,holidays)</f>
        <v>44691</v>
      </c>
      <c r="D2" s="23">
        <f>MAX(D3:D11)</f>
        <v>44749</v>
      </c>
      <c r="E2" s="23">
        <f>E3</f>
        <v>44691</v>
      </c>
      <c r="F2" s="24">
        <f t="array" ref="F2">SUM(IF(WEEKDAY(_xlfn.SEQUENCE(D2-C2,1,C2,1),2)&lt;6,1,0))-SUM(IF(ISERROR(MATCH(_xlfn.SEQUENCE(D2-C2,1,C2,1),holidays,0)&gt;0)=FALSE,1,0))</f>
        <v>40</v>
      </c>
      <c r="H2" s="26"/>
    </row>
    <row r="3" spans="1:9" x14ac:dyDescent="0.3">
      <c r="A3" s="8" t="s">
        <v>236</v>
      </c>
      <c r="B3" s="9">
        <f ca="1">IFERROR(MAX(MIN(TODAY()-C3,D3-C3),0)/(D3-C3),0)</f>
        <v>1</v>
      </c>
      <c r="C3" s="10" cm="1">
        <f t="array" ref="C3">get_start_date(E3,holidays)</f>
        <v>44691</v>
      </c>
      <c r="D3" s="11" cm="1">
        <f t="array" ref="D3">get_finish_date(C3,holidays,F3)</f>
        <v>44701</v>
      </c>
      <c r="E3" s="12">
        <v>44691</v>
      </c>
      <c r="F3" s="19">
        <v>7</v>
      </c>
      <c r="G3" s="25"/>
      <c r="H3" s="25"/>
      <c r="I3" s="26"/>
    </row>
    <row r="4" spans="1:9" x14ac:dyDescent="0.3">
      <c r="A4" s="8" t="s">
        <v>237</v>
      </c>
      <c r="B4" s="9">
        <f t="shared" ref="B4:B5" ca="1" si="0">IFERROR(MAX(MIN(TODAY()-C4,D4-C4),0)/(D4-C4),0)</f>
        <v>1</v>
      </c>
      <c r="C4" s="10" cm="1">
        <f t="array" ref="C4">get_start_date(E4,holidays)</f>
        <v>44701</v>
      </c>
      <c r="D4" s="11" cm="1">
        <f t="array" ref="D4">get_finish_date(C4,holidays,F4)</f>
        <v>44708</v>
      </c>
      <c r="E4" s="12">
        <f t="shared" ref="E4:E7" si="1">D3</f>
        <v>44701</v>
      </c>
      <c r="F4" s="19">
        <v>5</v>
      </c>
      <c r="G4" s="25"/>
      <c r="H4" s="26"/>
    </row>
    <row r="5" spans="1:9" x14ac:dyDescent="0.3">
      <c r="A5" s="8" t="s">
        <v>238</v>
      </c>
      <c r="B5" s="9">
        <f t="shared" ca="1" si="0"/>
        <v>1</v>
      </c>
      <c r="C5" s="10" cm="1">
        <f t="array" ref="C5">get_start_date(E5,holidays)</f>
        <v>44708</v>
      </c>
      <c r="D5" s="11" cm="1">
        <f t="array" ref="D5">get_finish_date(C5,holidays,F5)</f>
        <v>44712</v>
      </c>
      <c r="E5" s="12">
        <f t="shared" si="1"/>
        <v>44708</v>
      </c>
      <c r="F5" s="19">
        <v>2</v>
      </c>
      <c r="G5" s="25"/>
      <c r="H5" s="26"/>
    </row>
    <row r="6" spans="1:9" x14ac:dyDescent="0.3">
      <c r="A6" s="14" t="s">
        <v>239</v>
      </c>
      <c r="B6" s="9">
        <v>1</v>
      </c>
      <c r="C6" s="10" cm="1">
        <f t="array" ref="C6">get_start_date(E6,holidays)</f>
        <v>44712</v>
      </c>
      <c r="D6" s="11" cm="1">
        <f t="array" ref="D6">get_finish_date(C6,holidays,F6)</f>
        <v>44723</v>
      </c>
      <c r="E6" s="12">
        <f t="shared" si="1"/>
        <v>44712</v>
      </c>
      <c r="F6" s="19">
        <v>8</v>
      </c>
      <c r="G6" s="25"/>
      <c r="H6" s="26"/>
    </row>
    <row r="7" spans="1:9" x14ac:dyDescent="0.3">
      <c r="A7" s="14" t="s">
        <v>240</v>
      </c>
      <c r="B7" s="9">
        <v>1</v>
      </c>
      <c r="C7" s="10" cm="1">
        <f t="array" ref="C7">get_start_date(E7,holidays)</f>
        <v>44725</v>
      </c>
      <c r="D7" s="11" cm="1">
        <f t="array" ref="D7">get_finish_date(C7,holidays,F7)</f>
        <v>44728</v>
      </c>
      <c r="E7" s="12">
        <f t="shared" si="1"/>
        <v>44723</v>
      </c>
      <c r="F7" s="19">
        <v>3</v>
      </c>
      <c r="G7" s="25"/>
      <c r="H7" s="26"/>
    </row>
    <row r="8" spans="1:9" x14ac:dyDescent="0.3">
      <c r="A8" s="14" t="s">
        <v>241</v>
      </c>
      <c r="B8" s="9">
        <v>1</v>
      </c>
      <c r="C8" s="10" cm="1">
        <f t="array" ref="C8">get_start_date(E8,holidays)</f>
        <v>44728</v>
      </c>
      <c r="D8" s="11" cm="1">
        <f t="array" ref="D8">get_finish_date(C8,holidays,F8)</f>
        <v>44743</v>
      </c>
      <c r="E8" s="12">
        <f>D7</f>
        <v>44728</v>
      </c>
      <c r="F8" s="19">
        <v>11</v>
      </c>
      <c r="G8" s="25"/>
      <c r="H8" s="26"/>
    </row>
    <row r="9" spans="1:9" x14ac:dyDescent="0.3">
      <c r="A9" s="14" t="s">
        <v>242</v>
      </c>
      <c r="B9" s="9">
        <v>1</v>
      </c>
      <c r="C9" s="10" cm="1">
        <f t="array" ref="C9">get_start_date(E9,holidays)</f>
        <v>44743</v>
      </c>
      <c r="D9" s="11" cm="1">
        <f t="array" ref="D9">get_finish_date(C9,holidays,F9)</f>
        <v>44743</v>
      </c>
      <c r="E9" s="12">
        <v>44743</v>
      </c>
      <c r="F9" s="19">
        <v>0</v>
      </c>
    </row>
    <row r="10" spans="1:9" x14ac:dyDescent="0.3">
      <c r="A10" s="14" t="s">
        <v>243</v>
      </c>
      <c r="B10" s="9">
        <v>1</v>
      </c>
      <c r="C10" s="10" cm="1">
        <f t="array" ref="C10">get_start_date(E10,holidays)</f>
        <v>44743</v>
      </c>
      <c r="D10" s="11" cm="1">
        <f t="array" ref="D10">get_finish_date(C10,holidays,F10)</f>
        <v>44748</v>
      </c>
      <c r="E10" s="12">
        <f>D9</f>
        <v>44743</v>
      </c>
      <c r="F10" s="19">
        <v>3</v>
      </c>
    </row>
    <row r="11" spans="1:9" x14ac:dyDescent="0.3">
      <c r="A11" s="14" t="s">
        <v>244</v>
      </c>
      <c r="B11" s="9">
        <v>1</v>
      </c>
      <c r="C11" s="10" cm="1">
        <f t="array" ref="C11">get_start_date(E11,holidays)</f>
        <v>44749</v>
      </c>
      <c r="D11" s="11" cm="1">
        <f t="array" ref="D11">get_finish_date(C11,holidays,F11)</f>
        <v>44749</v>
      </c>
      <c r="E11" s="12">
        <v>44749</v>
      </c>
      <c r="F11" s="19">
        <v>0</v>
      </c>
    </row>
  </sheetData>
  <dataValidations count="3">
    <dataValidation type="decimal" allowBlank="1" showInputMessage="1" showErrorMessage="1" prompt="Actual project completion (%)" sqref="B2:B11" xr:uid="{00000000-0002-0000-0700-000000000000}">
      <formula1>0</formula1>
      <formula2>1</formula2>
    </dataValidation>
    <dataValidation type="date" allowBlank="1" showInputMessage="1" showErrorMessage="1" sqref="C2:E9 C10:D10 C11:E11" xr:uid="{00000000-0002-0000-0700-000001000000}">
      <formula1>44562</formula1>
      <formula2>219148</formula2>
    </dataValidation>
    <dataValidation type="whole" allowBlank="1" showInputMessage="1" showErrorMessage="1" prompt="Number of working days" sqref="F2:F9 F11" xr:uid="{00000000-0002-0000-0700-000002000000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I9"/>
  <sheetViews>
    <sheetView showGridLines="0" topLeftCell="A5" zoomScale="145" zoomScaleNormal="145" workbookViewId="0">
      <selection activeCell="B4" sqref="B4"/>
    </sheetView>
  </sheetViews>
  <sheetFormatPr defaultColWidth="8" defaultRowHeight="12.5" x14ac:dyDescent="0.3"/>
  <cols>
    <col min="1" max="1" width="45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ref="B2">MIN(MMULT(TRANSPOSE(B3:B9),D3:D9-C3:C9)/SUM(D3:D9-C3:C9)+0.0005,1)</f>
        <v>1</v>
      </c>
      <c r="C2" s="22" cm="1">
        <f t="array" ref="C2">get_start_date(E2,holidays)</f>
        <v>44691</v>
      </c>
      <c r="D2" s="23">
        <f>MAX(D3:D9)</f>
        <v>44740</v>
      </c>
      <c r="E2" s="23">
        <f>E3</f>
        <v>44691</v>
      </c>
      <c r="F2" s="24">
        <f t="array" ref="F2">SUM(IF(WEEKDAY(_xlfn.SEQUENCE(D2-C2,1,C2,1),2)&lt;6,1,0))-SUM(IF(ISERROR(MATCH(_xlfn.SEQUENCE(D2-C2,1,C2,1),holidays,0)&gt;0)=FALSE,1,0))</f>
        <v>33</v>
      </c>
    </row>
    <row r="3" spans="1:9" x14ac:dyDescent="0.3">
      <c r="A3" s="8" t="s">
        <v>236</v>
      </c>
      <c r="B3" s="9">
        <v>1</v>
      </c>
      <c r="C3" s="10" cm="1">
        <f t="array" ref="C3">get_start_date(E3,holidays)</f>
        <v>44691</v>
      </c>
      <c r="D3" s="11" cm="1">
        <f t="array" ref="D3">get_finish_date(C3,holidays,F3)</f>
        <v>44701</v>
      </c>
      <c r="E3" s="12">
        <v>44691</v>
      </c>
      <c r="F3" s="19">
        <v>7</v>
      </c>
      <c r="G3" s="25"/>
      <c r="I3" s="26"/>
    </row>
    <row r="4" spans="1:9" x14ac:dyDescent="0.3">
      <c r="A4" s="8" t="s">
        <v>237</v>
      </c>
      <c r="B4" s="9">
        <v>1</v>
      </c>
      <c r="C4" s="10" cm="1">
        <f t="array" ref="C4">get_start_date(E4,holidays)</f>
        <v>44701</v>
      </c>
      <c r="D4" s="11" cm="1">
        <f t="array" ref="D4">get_finish_date(C4,holidays,F4)</f>
        <v>44708</v>
      </c>
      <c r="E4" s="12">
        <f t="shared" ref="E4:E7" si="0">D3</f>
        <v>44701</v>
      </c>
      <c r="F4" s="19">
        <v>5</v>
      </c>
      <c r="G4" s="25"/>
    </row>
    <row r="5" spans="1:9" x14ac:dyDescent="0.3">
      <c r="A5" s="8" t="s">
        <v>238</v>
      </c>
      <c r="B5" s="9">
        <v>1</v>
      </c>
      <c r="C5" s="10" cm="1">
        <f t="array" ref="C5">get_start_date(E5,holidays)</f>
        <v>44708</v>
      </c>
      <c r="D5" s="11" cm="1">
        <f t="array" ref="D5">get_finish_date(C5,holidays,F5)</f>
        <v>44712</v>
      </c>
      <c r="E5" s="12">
        <f t="shared" si="0"/>
        <v>44708</v>
      </c>
      <c r="F5" s="19">
        <v>2</v>
      </c>
      <c r="G5" s="25"/>
    </row>
    <row r="6" spans="1:9" x14ac:dyDescent="0.3">
      <c r="A6" s="14" t="s">
        <v>239</v>
      </c>
      <c r="B6" s="9">
        <v>1</v>
      </c>
      <c r="C6" s="10" cm="1">
        <f t="array" ref="C6">get_start_date(E6,holidays)</f>
        <v>44712</v>
      </c>
      <c r="D6" s="11" cm="1">
        <f t="array" ref="D6">get_finish_date(C6,holidays,F6)</f>
        <v>44723</v>
      </c>
      <c r="E6" s="12">
        <f t="shared" si="0"/>
        <v>44712</v>
      </c>
      <c r="F6" s="19">
        <v>8</v>
      </c>
      <c r="G6" s="25"/>
    </row>
    <row r="7" spans="1:9" x14ac:dyDescent="0.3">
      <c r="A7" s="14" t="s">
        <v>240</v>
      </c>
      <c r="B7" s="9">
        <v>1</v>
      </c>
      <c r="C7" s="10" cm="1">
        <f t="array" ref="C7">get_start_date(E7,holidays)</f>
        <v>44725</v>
      </c>
      <c r="D7" s="11" cm="1">
        <f t="array" ref="D7">get_finish_date(C7,holidays,F7)</f>
        <v>44728</v>
      </c>
      <c r="E7" s="12">
        <f t="shared" si="0"/>
        <v>44723</v>
      </c>
      <c r="F7" s="19">
        <v>3</v>
      </c>
      <c r="G7" s="25"/>
    </row>
    <row r="8" spans="1:9" x14ac:dyDescent="0.3">
      <c r="A8" s="14" t="s">
        <v>245</v>
      </c>
      <c r="B8" s="9">
        <v>1</v>
      </c>
      <c r="C8" s="10" cm="1">
        <f t="array" ref="C8">get_start_date(E8,holidays)</f>
        <v>44728</v>
      </c>
      <c r="D8" s="11" cm="1">
        <f t="array" ref="D8">get_finish_date(C8,holidays,F8)</f>
        <v>44733</v>
      </c>
      <c r="E8" s="12">
        <f>D7</f>
        <v>44728</v>
      </c>
      <c r="F8" s="19">
        <v>3</v>
      </c>
      <c r="G8" s="25"/>
    </row>
    <row r="9" spans="1:9" x14ac:dyDescent="0.3">
      <c r="A9" s="14" t="s">
        <v>246</v>
      </c>
      <c r="B9" s="9">
        <v>1</v>
      </c>
      <c r="C9" s="10" cm="1">
        <f t="array" ref="C9">get_start_date(E9,holidays)</f>
        <v>44733</v>
      </c>
      <c r="D9" s="11" cm="1">
        <f t="array" ref="D9">get_finish_date(C9,holidays,F9)</f>
        <v>44740</v>
      </c>
      <c r="E9" s="12">
        <f t="shared" ref="E9" si="1">D8</f>
        <v>44733</v>
      </c>
      <c r="F9" s="19">
        <v>5</v>
      </c>
      <c r="G9" s="25"/>
    </row>
  </sheetData>
  <dataValidations count="3">
    <dataValidation type="decimal" allowBlank="1" showInputMessage="1" showErrorMessage="1" prompt="Actual project completion (%)" sqref="B2:B9" xr:uid="{00000000-0002-0000-0800-000000000000}">
      <formula1>0</formula1>
      <formula2>1</formula2>
    </dataValidation>
    <dataValidation type="date" allowBlank="1" showInputMessage="1" showErrorMessage="1" sqref="C2:E9" xr:uid="{00000000-0002-0000-0800-000001000000}">
      <formula1>44562</formula1>
      <formula2>219148</formula2>
    </dataValidation>
    <dataValidation type="whole" allowBlank="1" showInputMessage="1" showErrorMessage="1" prompt="Number of working days" sqref="F2:F9" xr:uid="{00000000-0002-0000-0800-000002000000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10"/>
  <sheetViews>
    <sheetView showGridLines="0" zoomScale="170" zoomScaleNormal="170" workbookViewId="0">
      <selection activeCell="A23" sqref="A23"/>
    </sheetView>
  </sheetViews>
  <sheetFormatPr defaultColWidth="8" defaultRowHeight="12.5" x14ac:dyDescent="0.3"/>
  <cols>
    <col min="1" max="1" width="45" style="15" customWidth="1"/>
    <col min="2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8" cm="1">
        <f t="array" ref="B2">MIN(MMULT(TRANSPOSE(B3:B9),D3:D9-C3:C9)/SUM(D3:D9-C3:C9)+0.005,1)</f>
        <v>1</v>
      </c>
      <c r="C2" s="22" cm="1">
        <f t="array" ref="C2">get_start_date(E2,holidays)</f>
        <v>45110</v>
      </c>
      <c r="D2" s="23">
        <f>MAX(D3:D9)</f>
        <v>45204</v>
      </c>
      <c r="E2" s="23">
        <f>E3</f>
        <v>45108</v>
      </c>
      <c r="F2" s="24">
        <f t="array" ref="F2">SUM(IF(WEEKDAY(_xlfn.SEQUENCE(D2-C2,1,C2,1),2)&lt;6,1,0))-SUM(IF(ISERROR(MATCH(_xlfn.SEQUENCE(D2-C2,1,C2,1),holidays,0)&gt;0)=FALSE,1,0))</f>
        <v>65</v>
      </c>
    </row>
    <row r="3" spans="1:8" x14ac:dyDescent="0.3">
      <c r="A3" s="8" t="s">
        <v>247</v>
      </c>
      <c r="B3" s="9">
        <v>1</v>
      </c>
      <c r="C3" s="10" cm="1">
        <f t="array" ref="C3">get_start_date(E3,holidays)</f>
        <v>45110</v>
      </c>
      <c r="D3" s="11" cm="1">
        <f t="array" ref="D3">get_finish_date(C3,holidays,F3)</f>
        <v>45115</v>
      </c>
      <c r="E3" s="12">
        <v>45108</v>
      </c>
      <c r="F3" s="19">
        <v>5</v>
      </c>
      <c r="G3" s="26"/>
    </row>
    <row r="4" spans="1:8" x14ac:dyDescent="0.3">
      <c r="A4" s="8" t="s">
        <v>237</v>
      </c>
      <c r="B4" s="9">
        <v>1</v>
      </c>
      <c r="C4" s="10" cm="1">
        <f t="array" ref="C4">get_start_date(E4,holidays)</f>
        <v>45117</v>
      </c>
      <c r="D4" s="11" cm="1">
        <f t="array" ref="D4">get_finish_date(C4,holidays,F4)</f>
        <v>45122</v>
      </c>
      <c r="E4" s="12">
        <f>D3</f>
        <v>45115</v>
      </c>
      <c r="F4" s="19">
        <v>5</v>
      </c>
    </row>
    <row r="5" spans="1:8" x14ac:dyDescent="0.3">
      <c r="A5" s="8" t="s">
        <v>248</v>
      </c>
      <c r="B5" s="9">
        <v>1</v>
      </c>
      <c r="C5" s="10" cm="1">
        <f t="array" ref="C5">get_start_date(E5,holidays)</f>
        <v>45124</v>
      </c>
      <c r="D5" s="11" cm="1">
        <f t="array" ref="D5">get_finish_date(C5,holidays,F5)</f>
        <v>45139</v>
      </c>
      <c r="E5" s="12">
        <f t="shared" ref="E5:E9" si="0">D4</f>
        <v>45122</v>
      </c>
      <c r="F5" s="19">
        <v>10</v>
      </c>
    </row>
    <row r="6" spans="1:8" x14ac:dyDescent="0.3">
      <c r="A6" s="14" t="s">
        <v>249</v>
      </c>
      <c r="B6" s="9">
        <v>1</v>
      </c>
      <c r="C6" s="10" cm="1">
        <f t="array" ref="C6">get_start_date(E6,holidays)</f>
        <v>45140</v>
      </c>
      <c r="D6" s="11" cm="1">
        <f t="array" ref="D6">get_finish_date(C6,holidays,F6)</f>
        <v>45183</v>
      </c>
      <c r="E6" s="12">
        <f t="shared" si="0"/>
        <v>45139</v>
      </c>
      <c r="F6" s="19">
        <v>30</v>
      </c>
    </row>
    <row r="7" spans="1:8" x14ac:dyDescent="0.3">
      <c r="A7" s="14" t="s">
        <v>250</v>
      </c>
      <c r="B7" s="9">
        <v>1</v>
      </c>
      <c r="C7" s="10" cm="1">
        <f t="array" ref="C7">get_start_date(E7,holidays)</f>
        <v>45183</v>
      </c>
      <c r="D7" s="11" cm="1">
        <f t="array" ref="D7">get_finish_date(C7,holidays,F7)</f>
        <v>45190</v>
      </c>
      <c r="E7" s="12">
        <f t="shared" si="0"/>
        <v>45183</v>
      </c>
      <c r="F7" s="19">
        <v>5</v>
      </c>
    </row>
    <row r="8" spans="1:8" x14ac:dyDescent="0.3">
      <c r="A8" s="14" t="s">
        <v>251</v>
      </c>
      <c r="B8" s="9">
        <v>1</v>
      </c>
      <c r="C8" s="10" cm="1">
        <f t="array" ref="C8">get_start_date(E8,holidays)</f>
        <v>45190</v>
      </c>
      <c r="D8" s="11" cm="1">
        <f t="array" ref="D8">get_finish_date(C8,holidays,F8)</f>
        <v>45197</v>
      </c>
      <c r="E8" s="12">
        <f t="shared" si="0"/>
        <v>45190</v>
      </c>
      <c r="F8" s="19">
        <v>5</v>
      </c>
    </row>
    <row r="9" spans="1:8" x14ac:dyDescent="0.3">
      <c r="A9" s="14" t="s">
        <v>246</v>
      </c>
      <c r="B9" s="9">
        <v>1</v>
      </c>
      <c r="C9" s="10" cm="1">
        <f t="array" ref="C9">get_start_date(E9,holidays)</f>
        <v>45197</v>
      </c>
      <c r="D9" s="11" cm="1">
        <f t="array" ref="D9">get_finish_date(C9,holidays,F9)</f>
        <v>45204</v>
      </c>
      <c r="E9" s="12">
        <f t="shared" si="0"/>
        <v>45197</v>
      </c>
      <c r="F9" s="19">
        <v>5</v>
      </c>
    </row>
    <row r="10" spans="1:8" x14ac:dyDescent="0.3">
      <c r="F10" s="25"/>
      <c r="H10" s="25"/>
    </row>
  </sheetData>
  <dataValidations count="3">
    <dataValidation type="decimal" allowBlank="1" showInputMessage="1" showErrorMessage="1" prompt="Actual project completion (%)" sqref="B2:B9" xr:uid="{00000000-0002-0000-0900-000000000000}">
      <formula1>0</formula1>
      <formula2>1</formula2>
    </dataValidation>
    <dataValidation type="date" allowBlank="1" showInputMessage="1" showErrorMessage="1" sqref="C2:E9" xr:uid="{00000000-0002-0000-0900-000001000000}">
      <formula1>44562</formula1>
      <formula2>219148</formula2>
    </dataValidation>
    <dataValidation type="whole" allowBlank="1" showInputMessage="1" showErrorMessage="1" prompt="Number of working days" sqref="F2:F9" xr:uid="{00000000-0002-0000-0900-000002000000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H16"/>
  <sheetViews>
    <sheetView showGridLines="0" topLeftCell="A6" zoomScale="140" zoomScaleNormal="140" workbookViewId="0">
      <selection activeCell="A21" sqref="A21"/>
    </sheetView>
  </sheetViews>
  <sheetFormatPr defaultColWidth="8" defaultRowHeight="12.5" x14ac:dyDescent="0.3"/>
  <cols>
    <col min="1" max="1" width="45" style="15" customWidth="1"/>
    <col min="2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MIN(MMULT(TRANSPOSE(B5:B12),D5:D12-C5:C12)/SUM(D5:D12-C5:C12),1)</f>
        <v>1</v>
      </c>
      <c r="C2" s="22" cm="1">
        <f t="array" ref="C2">get_start_date(E2,holidays)</f>
        <v>44692</v>
      </c>
      <c r="D2" s="23">
        <f>MAX(D5:D12)</f>
        <v>44804</v>
      </c>
      <c r="E2" s="23">
        <f>E5</f>
        <v>44692</v>
      </c>
      <c r="F2" s="24" cm="1">
        <f t="array" ref="F2">SUM(IF(WEEKDAY(_xlfn.SEQUENCE(D2-C2,1,C2,1),2)&lt;6,1,0))-SUM(IF(ISERROR(MATCH(_xlfn.SEQUENCE(D2-C2,1,C2,1),holidays,0)&gt;0)=FALSE,1,0))</f>
        <v>74</v>
      </c>
    </row>
    <row r="3" spans="1:8" ht="50" x14ac:dyDescent="0.3">
      <c r="A3" s="34" t="s">
        <v>252</v>
      </c>
      <c r="B3" s="35">
        <f ca="1">IFERROR(MAX(MIN(TODAY()-C3,D3-C3),0)/(D3-C3),0)</f>
        <v>0</v>
      </c>
      <c r="C3" s="36" cm="1">
        <f t="array" ref="C3">get_start_date(E3,holidays)</f>
        <v>44692</v>
      </c>
      <c r="D3" s="37" cm="1">
        <f t="array" ref="D3">get_finish_date(C3,holidays,F3)</f>
        <v>44692</v>
      </c>
      <c r="E3" s="38">
        <v>44692</v>
      </c>
      <c r="F3" s="39">
        <v>0</v>
      </c>
      <c r="G3" s="26"/>
    </row>
    <row r="4" spans="1:8" ht="25" x14ac:dyDescent="0.3">
      <c r="A4" s="34" t="s">
        <v>253</v>
      </c>
      <c r="B4" s="35">
        <f ca="1">IFERROR(MAX(MIN(TODAY()-C4,D4-C4),0)/(D4-C4),0)</f>
        <v>0</v>
      </c>
      <c r="C4" s="36" cm="1">
        <f t="array" ref="C4">get_start_date(E4,holidays)</f>
        <v>44692</v>
      </c>
      <c r="D4" s="37" cm="1">
        <f t="array" ref="D4">get_finish_date(C4,holidays,F4)</f>
        <v>44692</v>
      </c>
      <c r="E4" s="38">
        <f t="shared" ref="E4:E8" si="0">D3</f>
        <v>44692</v>
      </c>
      <c r="F4" s="39">
        <v>0</v>
      </c>
    </row>
    <row r="5" spans="1:8" ht="25" x14ac:dyDescent="0.3">
      <c r="A5" s="8" t="s">
        <v>254</v>
      </c>
      <c r="B5" s="9">
        <f t="shared" ref="B5:B6" ca="1" si="1">IFERROR(MAX(MIN(TODAY()-C5,D5-C5),0)/(D5-C5),0)</f>
        <v>1</v>
      </c>
      <c r="C5" s="10" cm="1">
        <f t="array" ref="C5">get_start_date(E5,holidays)</f>
        <v>44692</v>
      </c>
      <c r="D5" s="11" cm="1">
        <f t="array" ref="D5">get_finish_date(C5,holidays,F5)</f>
        <v>44705</v>
      </c>
      <c r="E5" s="12">
        <f t="shared" si="0"/>
        <v>44692</v>
      </c>
      <c r="F5" s="19">
        <v>8</v>
      </c>
      <c r="G5" s="15" t="s">
        <v>255</v>
      </c>
    </row>
    <row r="6" spans="1:8" x14ac:dyDescent="0.3">
      <c r="A6" s="14" t="s">
        <v>256</v>
      </c>
      <c r="B6" s="9">
        <f t="shared" ca="1" si="1"/>
        <v>1</v>
      </c>
      <c r="C6" s="10" cm="1">
        <f t="array" ref="C6">get_start_date(E6,holidays)</f>
        <v>44700</v>
      </c>
      <c r="D6" s="11" cm="1">
        <f t="array" ref="D6">get_finish_date(C6,holidays,F6)</f>
        <v>44709</v>
      </c>
      <c r="E6" s="12">
        <v>44700</v>
      </c>
      <c r="F6" s="19">
        <v>7</v>
      </c>
    </row>
    <row r="7" spans="1:8" x14ac:dyDescent="0.3">
      <c r="A7" s="14" t="s">
        <v>257</v>
      </c>
      <c r="B7" s="9">
        <f t="shared" ref="B7" ca="1" si="2">IFERROR(MAX(MIN(TODAY()-C7,D7-C7),0)/(D7-C7),0)</f>
        <v>1</v>
      </c>
      <c r="C7" s="11" cm="1">
        <f t="array" ref="C7">get_start_date(E7,holidays)</f>
        <v>44706</v>
      </c>
      <c r="D7" s="11" cm="1">
        <f t="array" ref="D7">get_finish_date(C7,holidays,F7)</f>
        <v>44713</v>
      </c>
      <c r="E7" s="12">
        <v>44706</v>
      </c>
      <c r="F7" s="19">
        <v>5</v>
      </c>
      <c r="H7" s="25"/>
    </row>
    <row r="8" spans="1:8" x14ac:dyDescent="0.3">
      <c r="A8" s="14" t="s">
        <v>258</v>
      </c>
      <c r="B8" s="9">
        <f t="shared" ref="B8" ca="1" si="3">IFERROR(MAX(MIN(TODAY()-C8,D8-C8),0)/(D8-C8),0)</f>
        <v>1</v>
      </c>
      <c r="C8" s="10" cm="1">
        <f t="array" ref="C8">get_start_date(E8,holidays)</f>
        <v>44713</v>
      </c>
      <c r="D8" s="11" cm="1">
        <f t="array" ref="D8">get_finish_date(C8,holidays,F8)</f>
        <v>44721</v>
      </c>
      <c r="E8" s="12">
        <f t="shared" si="0"/>
        <v>44713</v>
      </c>
      <c r="F8" s="19">
        <v>5</v>
      </c>
    </row>
    <row r="9" spans="1:8" x14ac:dyDescent="0.3">
      <c r="A9" s="14" t="s">
        <v>259</v>
      </c>
      <c r="B9" s="9">
        <f t="shared" ref="B9" ca="1" si="4">IFERROR(MAX(MIN(TODAY()-C9,D9-C9),0)/(D9-C9),0)</f>
        <v>1</v>
      </c>
      <c r="C9" s="10" cm="1">
        <f t="array" ref="C9">get_start_date(E9,holidays)</f>
        <v>44721</v>
      </c>
      <c r="D9" s="11" cm="1">
        <f t="array" ref="D9">get_finish_date(C9,holidays,F9)</f>
        <v>44737</v>
      </c>
      <c r="E9" s="12">
        <f>D8</f>
        <v>44721</v>
      </c>
      <c r="F9" s="19">
        <v>12</v>
      </c>
    </row>
    <row r="10" spans="1:8" x14ac:dyDescent="0.3">
      <c r="A10" s="14" t="s">
        <v>260</v>
      </c>
      <c r="B10" s="9">
        <f ca="1">IFERROR(MAX(MIN(TODAY()-C10,D10-C10),0)/(D10-C10),0)</f>
        <v>1</v>
      </c>
      <c r="C10" s="10" cm="1">
        <f t="array" ref="C10">get_start_date(E10,holidays)</f>
        <v>44721</v>
      </c>
      <c r="D10" s="11" cm="1">
        <f t="array" ref="D10">get_finish_date(C10,holidays,F10)</f>
        <v>44749</v>
      </c>
      <c r="E10" s="12">
        <f>D8</f>
        <v>44721</v>
      </c>
      <c r="F10" s="19">
        <v>20</v>
      </c>
    </row>
    <row r="11" spans="1:8" x14ac:dyDescent="0.3">
      <c r="A11" s="14" t="s">
        <v>261</v>
      </c>
      <c r="B11" s="9">
        <f ca="1">IFERROR(MAX(MIN(TODAY()-C11,D11-C11),0)/(D11-C11),0)</f>
        <v>1</v>
      </c>
      <c r="C11" s="10" cm="1">
        <f t="array" ref="C11">get_start_date(E11,holidays)</f>
        <v>44749</v>
      </c>
      <c r="D11" s="11" cm="1">
        <f t="array" ref="D11">get_finish_date(C11,holidays,F11)</f>
        <v>44782</v>
      </c>
      <c r="E11" s="12">
        <f>D10</f>
        <v>44749</v>
      </c>
      <c r="F11" s="19">
        <v>20</v>
      </c>
    </row>
    <row r="12" spans="1:8" x14ac:dyDescent="0.3">
      <c r="A12" s="14" t="s">
        <v>262</v>
      </c>
      <c r="B12" s="9">
        <f ca="1">IFERROR(MAX(MIN(TODAY()-C12,D12-C12),0)/(D12-C12),0)</f>
        <v>1</v>
      </c>
      <c r="C12" s="10" cm="1">
        <f t="array" ref="C12">get_start_date(E12,holidays)</f>
        <v>44782</v>
      </c>
      <c r="D12" s="11" cm="1">
        <f t="array" ref="D12">get_finish_date(C12,holidays,F12)</f>
        <v>44804</v>
      </c>
      <c r="E12" s="12">
        <f>D11</f>
        <v>44782</v>
      </c>
      <c r="F12" s="19">
        <v>15</v>
      </c>
    </row>
    <row r="13" spans="1:8" x14ac:dyDescent="0.3">
      <c r="A13" s="14" t="s">
        <v>263</v>
      </c>
      <c r="B13" s="9">
        <f ca="1">IFERROR(MAX(MIN(TODAY()-C13,D13-C13),0)/(D13-C13),0)</f>
        <v>1</v>
      </c>
      <c r="C13" s="10" cm="1">
        <f t="array" ref="C13">get_start_date(E13,holidays)</f>
        <v>44802</v>
      </c>
      <c r="D13" s="11" cm="1">
        <f t="array" ref="D13">get_finish_date(C13,holidays,F13)</f>
        <v>44804</v>
      </c>
      <c r="E13" s="12">
        <v>44802</v>
      </c>
      <c r="F13" s="19">
        <v>2</v>
      </c>
    </row>
    <row r="14" spans="1:8" x14ac:dyDescent="0.3">
      <c r="A14" s="14" t="s">
        <v>264</v>
      </c>
      <c r="B14" s="9">
        <v>1</v>
      </c>
      <c r="C14" s="10" cm="1">
        <f t="array" ref="C14">get_start_date(E14,holidays)</f>
        <v>44804</v>
      </c>
      <c r="D14" s="11" cm="1">
        <f t="array" ref="D14">get_finish_date(C14,holidays,F14)</f>
        <v>44804</v>
      </c>
      <c r="E14" s="12">
        <v>44804</v>
      </c>
      <c r="F14" s="19">
        <v>0</v>
      </c>
    </row>
    <row r="15" spans="1:8" x14ac:dyDescent="0.3">
      <c r="A15" s="14" t="s">
        <v>265</v>
      </c>
      <c r="B15" s="9">
        <v>1</v>
      </c>
      <c r="C15" s="10" cm="1">
        <f t="array" ref="C15">get_start_date(E15,holidays)</f>
        <v>44804</v>
      </c>
      <c r="D15" s="11" cm="1">
        <f t="array" ref="D15">get_finish_date(C15,holidays,F15)</f>
        <v>44807</v>
      </c>
      <c r="E15" s="12">
        <v>44804</v>
      </c>
      <c r="F15" s="19">
        <v>3</v>
      </c>
    </row>
    <row r="16" spans="1:8" x14ac:dyDescent="0.3">
      <c r="A16" s="14" t="s">
        <v>266</v>
      </c>
      <c r="B16" s="9">
        <v>0</v>
      </c>
      <c r="C16" s="10" cm="1">
        <f t="array" ref="C16">get_start_date(E16,holidays)</f>
        <v>44812</v>
      </c>
      <c r="D16" s="11" cm="1">
        <f t="array" ref="D16">get_finish_date(C16,holidays,F16)</f>
        <v>44812</v>
      </c>
      <c r="E16" s="12">
        <v>44812</v>
      </c>
      <c r="F16" s="19">
        <v>0</v>
      </c>
    </row>
  </sheetData>
  <dataValidations count="3">
    <dataValidation type="decimal" allowBlank="1" showInputMessage="1" showErrorMessage="1" prompt="Actual project completion (%)" sqref="B3:B16" xr:uid="{00000000-0002-0000-0A00-000000000000}">
      <formula1>0</formula1>
      <formula2>1</formula2>
    </dataValidation>
    <dataValidation type="date" allowBlank="1" showInputMessage="1" showErrorMessage="1" sqref="C3:E16" xr:uid="{00000000-0002-0000-0A00-000001000000}">
      <formula1>44562</formula1>
      <formula2>219148</formula2>
    </dataValidation>
    <dataValidation type="whole" allowBlank="1" showInputMessage="1" showErrorMessage="1" prompt="Number of working days" sqref="F3:F16" xr:uid="{00000000-0002-0000-0A00-000002000000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ignoredErrors>
    <ignoredError sqref="E10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N8"/>
  <sheetViews>
    <sheetView showGridLines="0" zoomScale="140" zoomScaleNormal="140" workbookViewId="0">
      <selection activeCell="H16" sqref="H16"/>
    </sheetView>
  </sheetViews>
  <sheetFormatPr defaultColWidth="8" defaultRowHeight="12.5" x14ac:dyDescent="0.25"/>
  <cols>
    <col min="1" max="1" width="36" style="15" customWidth="1"/>
    <col min="2" max="2" width="10" style="15" customWidth="1"/>
    <col min="3" max="4" width="10.58203125" style="15" bestFit="1" customWidth="1"/>
    <col min="5" max="5" width="11" style="15" bestFit="1" customWidth="1"/>
    <col min="6" max="6" width="8" style="15" customWidth="1"/>
    <col min="7" max="7" width="2" style="15" customWidth="1"/>
    <col min="8" max="14" width="8" style="40"/>
    <col min="15" max="16384" width="8" style="15"/>
  </cols>
  <sheetData>
    <row r="1" spans="1:14" ht="23.25" customHeight="1" x14ac:dyDescent="0.2">
      <c r="A1" s="45" t="s">
        <v>29</v>
      </c>
      <c r="B1" s="45" t="s">
        <v>33</v>
      </c>
      <c r="C1" s="45" t="s">
        <v>34</v>
      </c>
      <c r="D1" s="45" t="s">
        <v>35</v>
      </c>
      <c r="E1" s="45" t="s">
        <v>36</v>
      </c>
      <c r="F1" s="45" t="s">
        <v>37</v>
      </c>
      <c r="H1" s="113" t="s">
        <v>267</v>
      </c>
      <c r="I1" s="113"/>
      <c r="J1" s="113"/>
      <c r="K1" s="113"/>
      <c r="L1" s="113"/>
      <c r="M1" s="113"/>
      <c r="N1" s="113"/>
    </row>
    <row r="2" spans="1:14" ht="20.149999999999999" customHeight="1" x14ac:dyDescent="0.25">
      <c r="A2" s="46" t="s">
        <v>209</v>
      </c>
      <c r="B2" s="47" cm="1">
        <f t="array" aca="1" ref="B2" ca="1">MIN(MMULT(TRANSPOSE(B3:B8),D3:D8-C3:C8)/SUM(D3:D8-C3:C8)+0.005,1)</f>
        <v>1</v>
      </c>
      <c r="C2" s="48" cm="1">
        <f t="array" ref="C2">get_start_date(E2,holidays)</f>
        <v>44718</v>
      </c>
      <c r="D2" s="48">
        <f>MAX(D3:D8)</f>
        <v>44747</v>
      </c>
      <c r="E2" s="48">
        <f>MIN(E3:E8)</f>
        <v>44718</v>
      </c>
      <c r="F2" s="49">
        <f t="array" ref="F2">SUM(IF(WEEKDAY(_xlfn.SEQUENCE(D2-C2,1,C2,1),2)&lt;6,1,0))-SUM(IF(ISERROR(MATCH(_xlfn.SEQUENCE(D2-C2,1,C2,1),holidays,0)&gt;0)=FALSE,1,0))</f>
        <v>21</v>
      </c>
      <c r="H2" s="42" t="s">
        <v>268</v>
      </c>
      <c r="I2" s="43"/>
      <c r="J2" s="43"/>
      <c r="K2" s="44"/>
      <c r="L2" s="43"/>
      <c r="M2" s="43"/>
      <c r="N2" s="43"/>
    </row>
    <row r="3" spans="1:14" ht="34.5" x14ac:dyDescent="0.25">
      <c r="A3" s="50" t="s">
        <v>269</v>
      </c>
      <c r="B3" s="51">
        <f t="shared" ref="B3:B4" ca="1" si="0">IFERROR(MAX(MIN(TODAY()-C3,D3-C3),0)/(D3-C3),0)</f>
        <v>1</v>
      </c>
      <c r="C3" s="52" cm="1">
        <f t="array" ref="C3">get_start_date(E3,holidays)</f>
        <v>44718</v>
      </c>
      <c r="D3" s="52" cm="1">
        <f t="array" ref="D3">get_finish_date(C3,holidays,F3)</f>
        <v>44723</v>
      </c>
      <c r="E3" s="53">
        <v>44718</v>
      </c>
      <c r="F3" s="54">
        <v>5</v>
      </c>
      <c r="I3" s="41"/>
    </row>
    <row r="4" spans="1:14" x14ac:dyDescent="0.25">
      <c r="A4" s="55" t="s">
        <v>270</v>
      </c>
      <c r="B4" s="51">
        <f t="shared" ca="1" si="0"/>
        <v>1</v>
      </c>
      <c r="C4" s="52" cm="1">
        <f t="array" ref="C4">get_start_date(E4,holidays)</f>
        <v>44725</v>
      </c>
      <c r="D4" s="52" cm="1">
        <f t="array" ref="D4">get_finish_date(C4,holidays,F4)</f>
        <v>44730</v>
      </c>
      <c r="E4" s="53">
        <f>D3</f>
        <v>44723</v>
      </c>
      <c r="F4" s="54">
        <v>5</v>
      </c>
    </row>
    <row r="5" spans="1:14" x14ac:dyDescent="0.25">
      <c r="A5" s="55" t="s">
        <v>271</v>
      </c>
      <c r="B5" s="51">
        <f ca="1">IFERROR(MAX(MIN(TODAY()-C5,D5-C5),0)/(D5-C5),0)</f>
        <v>1</v>
      </c>
      <c r="C5" s="52" cm="1">
        <f t="array" ref="C5">get_start_date(E5,holidays)</f>
        <v>44732</v>
      </c>
      <c r="D5" s="52" cm="1">
        <f t="array" ref="D5">get_finish_date(C5,holidays,F5)</f>
        <v>44737</v>
      </c>
      <c r="E5" s="53">
        <f>D4</f>
        <v>44730</v>
      </c>
      <c r="F5" s="54">
        <v>5</v>
      </c>
      <c r="G5" s="25"/>
      <c r="H5" s="41"/>
    </row>
    <row r="6" spans="1:14" x14ac:dyDescent="0.25">
      <c r="A6" s="56" t="s">
        <v>272</v>
      </c>
      <c r="B6" s="51">
        <f ca="1">IFERROR(MAX(MIN(TODAY()-C6,D6-C6),0)/(D6-C6),0)</f>
        <v>1</v>
      </c>
      <c r="C6" s="52" cm="1">
        <f t="array" ref="C6">get_start_date(E6,holidays)</f>
        <v>44718</v>
      </c>
      <c r="D6" s="52" cm="1">
        <f t="array" ref="D6">get_finish_date(C6,holidays,F6)</f>
        <v>44737</v>
      </c>
      <c r="E6" s="53">
        <v>44718</v>
      </c>
      <c r="F6" s="54">
        <v>15</v>
      </c>
      <c r="G6" s="25"/>
      <c r="H6" s="41"/>
    </row>
    <row r="7" spans="1:14" x14ac:dyDescent="0.25">
      <c r="A7" s="56" t="s">
        <v>273</v>
      </c>
      <c r="B7" s="51">
        <f ca="1">IFERROR(MAX(MIN(TODAY()-C7,D7-C7),0)/(D7-C7),0)</f>
        <v>1</v>
      </c>
      <c r="C7" s="52" cm="1">
        <f t="array" ref="C7">get_start_date(E7,holidays)</f>
        <v>44739</v>
      </c>
      <c r="D7" s="52" cm="1">
        <f t="array" ref="D7">get_finish_date(C7,holidays,F7)</f>
        <v>44744</v>
      </c>
      <c r="E7" s="53">
        <f>D5</f>
        <v>44737</v>
      </c>
      <c r="F7" s="54">
        <v>5</v>
      </c>
      <c r="G7" s="25"/>
      <c r="H7" s="57" t="s">
        <v>274</v>
      </c>
    </row>
    <row r="8" spans="1:14" x14ac:dyDescent="0.25">
      <c r="A8" s="56" t="s">
        <v>275</v>
      </c>
      <c r="B8" s="51">
        <f ca="1">IFERROR(MAX(MIN(TODAY()-C8,D8-C8),0)/(D8-C8),0)</f>
        <v>1</v>
      </c>
      <c r="C8" s="52" cm="1">
        <f t="array" ref="C8">get_start_date(E8,holidays)</f>
        <v>44746</v>
      </c>
      <c r="D8" s="52" cm="1">
        <f t="array" ref="D8">get_finish_date(C8,holidays,F8)</f>
        <v>44747</v>
      </c>
      <c r="E8" s="53">
        <f>D7</f>
        <v>44744</v>
      </c>
      <c r="F8" s="54">
        <v>1</v>
      </c>
      <c r="G8" s="25"/>
      <c r="H8" s="41"/>
    </row>
  </sheetData>
  <mergeCells count="1">
    <mergeCell ref="H1:N1"/>
  </mergeCells>
  <dataValidations count="3">
    <dataValidation type="whole" allowBlank="1" showInputMessage="1" showErrorMessage="1" prompt="Number of working days" sqref="F2:F8" xr:uid="{00000000-0002-0000-0B00-000000000000}">
      <formula1>0</formula1>
      <formula2>1000</formula2>
    </dataValidation>
    <dataValidation type="date" allowBlank="1" showInputMessage="1" showErrorMessage="1" sqref="C2:E8" xr:uid="{00000000-0002-0000-0B00-000001000000}">
      <formula1>44562</formula1>
      <formula2>219148</formula2>
    </dataValidation>
    <dataValidation type="decimal" allowBlank="1" showInputMessage="1" showErrorMessage="1" prompt="Actual project completion (%)" sqref="B2:B8" xr:uid="{00000000-0002-0000-0B00-000002000000}">
      <formula1>0</formula1>
      <formula2>1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10"/>
  <sheetViews>
    <sheetView zoomScale="145" zoomScaleNormal="145" workbookViewId="0">
      <selection activeCell="A25" sqref="A25"/>
    </sheetView>
  </sheetViews>
  <sheetFormatPr defaultColWidth="8" defaultRowHeight="12.5" x14ac:dyDescent="0.3"/>
  <cols>
    <col min="1" max="1" width="60.58203125" style="15" bestFit="1" customWidth="1"/>
    <col min="2" max="2" width="12" style="15" customWidth="1"/>
    <col min="3" max="4" width="10.58203125" style="15" bestFit="1" customWidth="1"/>
    <col min="5" max="5" width="11.08203125" style="15" bestFit="1" customWidth="1"/>
    <col min="6" max="6" width="10" style="15" customWidth="1"/>
    <col min="7" max="7" width="1" style="15" customWidth="1"/>
    <col min="8" max="8" width="55" style="15" customWidth="1"/>
    <col min="9" max="16384" width="8" style="15"/>
  </cols>
  <sheetData>
    <row r="1" spans="1:10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  <c r="G1" s="65"/>
    </row>
    <row r="2" spans="1:10" ht="20.149999999999999" customHeight="1" x14ac:dyDescent="0.3">
      <c r="A2" s="27" t="s">
        <v>209</v>
      </c>
      <c r="B2" s="21" cm="1">
        <f t="array" aca="1" ref="B2" ca="1">MIN(MMULT(TRANSPOSE(B3:B10),D3:D10-C3:C10)/SUM(D3:D10-C3:C10)+0.005,1)</f>
        <v>1</v>
      </c>
      <c r="C2" s="23" cm="1">
        <f t="array" ref="C2">get_start_date(E2,holidays)</f>
        <v>44747</v>
      </c>
      <c r="D2" s="23">
        <f>MAX(D3:D10)</f>
        <v>44804</v>
      </c>
      <c r="E2" s="23">
        <f>MIN(E3:E10)</f>
        <v>44747</v>
      </c>
      <c r="F2" s="24">
        <f t="array" ref="F2">SUM(IF(WEEKDAY(_xlfn.SEQUENCE(D2-C2,1,C2,1),2)&lt;6,1,0))-SUM(IF(ISERROR(MATCH(_xlfn.SEQUENCE(D2-C2,1,C2,1),holidays,0)&gt;0)=FALSE,1,0))</f>
        <v>37</v>
      </c>
      <c r="G2" s="66"/>
      <c r="I2" s="26"/>
    </row>
    <row r="3" spans="1:10" x14ac:dyDescent="0.3">
      <c r="A3" s="61" t="s">
        <v>276</v>
      </c>
      <c r="B3" s="9">
        <f t="shared" ref="B3:B9" ca="1" si="0">IFERROR(MAX(MIN(TODAY()-C3,D3-C3),0)/(D3-C3),0)</f>
        <v>1</v>
      </c>
      <c r="C3" s="11" cm="1">
        <f t="array" ref="C3">get_start_date(E3,holidays)</f>
        <v>44747</v>
      </c>
      <c r="D3" s="11" cm="1">
        <f t="array" ref="D3">get_finish_date(C3,holidays,F3)</f>
        <v>44762</v>
      </c>
      <c r="E3" s="12">
        <v>44747</v>
      </c>
      <c r="F3" s="19">
        <v>10</v>
      </c>
      <c r="G3" s="64"/>
      <c r="H3" s="115" t="s">
        <v>277</v>
      </c>
      <c r="I3" s="25"/>
      <c r="J3" s="26"/>
    </row>
    <row r="4" spans="1:10" x14ac:dyDescent="0.3">
      <c r="A4" s="61" t="s">
        <v>278</v>
      </c>
      <c r="B4" s="9">
        <f t="shared" ca="1" si="0"/>
        <v>1</v>
      </c>
      <c r="C4" s="11" cm="1">
        <f t="array" ref="C4">get_start_date(E4,holidays)</f>
        <v>44762</v>
      </c>
      <c r="D4" s="11" cm="1">
        <f t="array" ref="D4">get_finish_date(C4,holidays,F4)</f>
        <v>44764</v>
      </c>
      <c r="E4" s="12">
        <f>D3</f>
        <v>44762</v>
      </c>
      <c r="F4" s="19">
        <v>2</v>
      </c>
      <c r="G4" s="64"/>
      <c r="H4" s="115"/>
      <c r="I4" s="26"/>
    </row>
    <row r="5" spans="1:10" x14ac:dyDescent="0.3">
      <c r="A5" s="61" t="s">
        <v>279</v>
      </c>
      <c r="B5" s="9">
        <f t="shared" ref="B5" ca="1" si="1">IFERROR(MAX(MIN(TODAY()-C5,D5-C5),0)/(D5-C5),0)</f>
        <v>1</v>
      </c>
      <c r="C5" s="11" cm="1">
        <f t="array" ref="C5">get_start_date(E5,holidays)</f>
        <v>44764</v>
      </c>
      <c r="D5" s="11" cm="1">
        <f t="array" ref="D5">get_finish_date(C5,holidays,F5)</f>
        <v>44770</v>
      </c>
      <c r="E5" s="12">
        <f t="shared" ref="E5:E10" si="2">D4</f>
        <v>44764</v>
      </c>
      <c r="F5" s="19">
        <v>4</v>
      </c>
      <c r="G5" s="64"/>
      <c r="H5" s="115"/>
      <c r="I5" s="26"/>
    </row>
    <row r="6" spans="1:10" x14ac:dyDescent="0.3">
      <c r="A6" s="61" t="s">
        <v>280</v>
      </c>
      <c r="B6" s="9">
        <v>1</v>
      </c>
      <c r="C6" s="11" cm="1">
        <f t="array" ref="C6">get_start_date(E6,holidays)</f>
        <v>44774</v>
      </c>
      <c r="D6" s="11" cm="1">
        <f t="array" ref="D6">get_finish_date(C6,holidays,F6)</f>
        <v>44774</v>
      </c>
      <c r="E6" s="12">
        <v>44774</v>
      </c>
      <c r="F6" s="19">
        <v>0</v>
      </c>
      <c r="G6" s="64"/>
      <c r="H6" s="67"/>
      <c r="I6" s="26"/>
    </row>
    <row r="7" spans="1:10" x14ac:dyDescent="0.3">
      <c r="A7" s="62" t="s">
        <v>281</v>
      </c>
      <c r="B7" s="30">
        <f t="shared" ca="1" si="0"/>
        <v>1</v>
      </c>
      <c r="C7" s="11" cm="1">
        <f t="array" ref="C7">get_start_date(E7,holidays)</f>
        <v>44774</v>
      </c>
      <c r="D7" s="11" cm="1">
        <f t="array" ref="D7">get_finish_date(C7,holidays,F7)</f>
        <v>44779</v>
      </c>
      <c r="E7" s="12">
        <f>D6</f>
        <v>44774</v>
      </c>
      <c r="F7" s="31">
        <v>5</v>
      </c>
      <c r="G7" s="64"/>
      <c r="H7" s="114" t="s">
        <v>282</v>
      </c>
      <c r="I7" s="26"/>
    </row>
    <row r="8" spans="1:10" x14ac:dyDescent="0.3">
      <c r="A8" s="63" t="s">
        <v>283</v>
      </c>
      <c r="B8" s="30">
        <f t="shared" ca="1" si="0"/>
        <v>1</v>
      </c>
      <c r="C8" s="11" cm="1">
        <f t="array" ref="C8">get_start_date(E8,holidays)</f>
        <v>44781</v>
      </c>
      <c r="D8" s="11" cm="1">
        <f t="array" ref="D8">get_finish_date(C8,holidays,F8)</f>
        <v>44796</v>
      </c>
      <c r="E8" s="12">
        <f t="shared" si="2"/>
        <v>44779</v>
      </c>
      <c r="F8" s="31">
        <v>10</v>
      </c>
      <c r="G8" s="64"/>
      <c r="H8" s="114"/>
      <c r="I8" s="26"/>
    </row>
    <row r="9" spans="1:10" x14ac:dyDescent="0.3">
      <c r="A9" s="63" t="s">
        <v>272</v>
      </c>
      <c r="B9" s="30">
        <f t="shared" ca="1" si="0"/>
        <v>1</v>
      </c>
      <c r="C9" s="11" cm="1">
        <f t="array" ref="C9">get_start_date(E9,holidays)</f>
        <v>44796</v>
      </c>
      <c r="D9" s="11" cm="1">
        <f t="array" ref="D9">get_finish_date(C9,holidays,F9)</f>
        <v>44803</v>
      </c>
      <c r="E9" s="12">
        <f t="shared" si="2"/>
        <v>44796</v>
      </c>
      <c r="F9" s="31">
        <v>5</v>
      </c>
      <c r="G9" s="64"/>
      <c r="H9" s="114"/>
      <c r="I9" s="26"/>
    </row>
    <row r="10" spans="1:10" x14ac:dyDescent="0.3">
      <c r="A10" s="63" t="s">
        <v>275</v>
      </c>
      <c r="B10" s="30">
        <f ca="1">IFERROR(MAX(MIN(TODAY()-C10,D10-C10),0)/(D10-C10),0)</f>
        <v>1</v>
      </c>
      <c r="C10" s="11" cm="1">
        <f t="array" ref="C10">get_start_date(E10,holidays)</f>
        <v>44803</v>
      </c>
      <c r="D10" s="11" cm="1">
        <f t="array" ref="D10">get_finish_date(C10,holidays,F10)</f>
        <v>44804</v>
      </c>
      <c r="E10" s="12">
        <f t="shared" si="2"/>
        <v>44803</v>
      </c>
      <c r="F10" s="31">
        <v>1</v>
      </c>
      <c r="G10" s="64"/>
      <c r="H10" s="114"/>
      <c r="I10" s="26"/>
    </row>
  </sheetData>
  <mergeCells count="2">
    <mergeCell ref="H7:H10"/>
    <mergeCell ref="H3:H5"/>
  </mergeCells>
  <dataValidations count="3">
    <dataValidation type="decimal" allowBlank="1" showInputMessage="1" showErrorMessage="1" prompt="Actual project completion (%)" sqref="B2:B10" xr:uid="{00000000-0002-0000-0C00-000000000000}">
      <formula1>0</formula1>
      <formula2>1</formula2>
    </dataValidation>
    <dataValidation type="date" allowBlank="1" showInputMessage="1" showErrorMessage="1" sqref="C2:E10" xr:uid="{00000000-0002-0000-0C00-000001000000}">
      <formula1>44562</formula1>
      <formula2>219148</formula2>
    </dataValidation>
    <dataValidation type="whole" allowBlank="1" showInputMessage="1" showErrorMessage="1" prompt="Number of working days" sqref="F2:G10" xr:uid="{00000000-0002-0000-0C00-000002000000}">
      <formula1>0</formula1>
      <formula2>1000</formula2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2B63C-3F54-4FFE-B1F9-DFDEAD0C93E2}">
  <sheetPr codeName="Sheet12"/>
  <dimension ref="A1:I11"/>
  <sheetViews>
    <sheetView showGridLines="0" zoomScale="85" zoomScaleNormal="85" workbookViewId="0">
      <selection activeCell="A11" sqref="A11"/>
    </sheetView>
  </sheetViews>
  <sheetFormatPr defaultColWidth="8" defaultRowHeight="12.5" x14ac:dyDescent="0.3"/>
  <cols>
    <col min="1" max="1" width="39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ref="B2">MIN(MMULT(TRANSPOSE(B3:B11),D3:D11-C3:C11)/SUM(D3:D11-C3:C11)+0.0005,1)</f>
        <v>1</v>
      </c>
      <c r="C2" s="22" cm="1">
        <f t="array" ref="C2">get_start_date(E2,holidays)</f>
        <v>44746</v>
      </c>
      <c r="D2" s="23">
        <f>MAX(D3:D11)</f>
        <v>44775</v>
      </c>
      <c r="E2" s="23">
        <f>MIN(E3:E11)</f>
        <v>44746</v>
      </c>
      <c r="F2" s="24" cm="1">
        <f t="array" ref="F2">SUM(IF(WEEKDAY(_xlfn.SEQUENCE(D2-C2,1,C2,1),2)&lt;6,1,0))-SUM(IF(ISERROR(MATCH(_xlfn.SEQUENCE(D2-C2,1,C2,1),holidays,0)&gt;0)=FALSE,1,0))</f>
        <v>18</v>
      </c>
    </row>
    <row r="3" spans="1:9" x14ac:dyDescent="0.3">
      <c r="A3" s="59" t="s">
        <v>284</v>
      </c>
      <c r="B3" s="58">
        <v>1</v>
      </c>
      <c r="C3" s="10" cm="1">
        <f t="array" ref="C3">get_start_date(E3,holidays)</f>
        <v>44746</v>
      </c>
      <c r="D3" s="11" cm="1">
        <f t="array" ref="D3">get_finish_date(C3,holidays,F3)</f>
        <v>44748</v>
      </c>
      <c r="E3" s="12">
        <v>44746</v>
      </c>
      <c r="F3" s="60">
        <v>2</v>
      </c>
      <c r="G3" s="25"/>
      <c r="I3" s="26"/>
    </row>
    <row r="4" spans="1:9" x14ac:dyDescent="0.3">
      <c r="A4" s="59" t="s">
        <v>285</v>
      </c>
      <c r="B4" s="58">
        <v>1</v>
      </c>
      <c r="C4" s="10" cm="1">
        <f t="array" ref="C4">get_start_date(E4,holidays)</f>
        <v>44748</v>
      </c>
      <c r="D4" s="11" cm="1">
        <f t="array" ref="D4">get_finish_date(C4,holidays,F4)</f>
        <v>44751</v>
      </c>
      <c r="E4" s="12">
        <f t="shared" ref="E4:E5" si="0">D3</f>
        <v>44748</v>
      </c>
      <c r="F4" s="60">
        <v>3</v>
      </c>
      <c r="G4" s="25"/>
    </row>
    <row r="5" spans="1:9" x14ac:dyDescent="0.3">
      <c r="A5" s="59" t="s">
        <v>286</v>
      </c>
      <c r="B5" s="58">
        <v>1</v>
      </c>
      <c r="C5" s="10" cm="1">
        <f t="array" ref="C5">get_start_date(E5,holidays)</f>
        <v>44753</v>
      </c>
      <c r="D5" s="11" cm="1">
        <f t="array" ref="D5">get_finish_date(C5,holidays,F5)</f>
        <v>44757</v>
      </c>
      <c r="E5" s="12">
        <f t="shared" si="0"/>
        <v>44751</v>
      </c>
      <c r="F5" s="60">
        <v>3</v>
      </c>
      <c r="G5" s="25"/>
    </row>
    <row r="6" spans="1:9" x14ac:dyDescent="0.3">
      <c r="A6" s="59" t="s">
        <v>287</v>
      </c>
      <c r="B6" s="58">
        <v>1</v>
      </c>
      <c r="C6" s="10" cm="1">
        <f t="array" ref="C6">get_start_date(E6,holidays)</f>
        <v>44757</v>
      </c>
      <c r="D6" s="11" cm="1">
        <f t="array" ref="D6">get_finish_date(C6,holidays,F6)</f>
        <v>44775</v>
      </c>
      <c r="E6" s="12">
        <f t="shared" ref="E6" si="1">D5</f>
        <v>44757</v>
      </c>
      <c r="F6" s="60">
        <v>10</v>
      </c>
      <c r="G6" s="25"/>
    </row>
    <row r="7" spans="1:9" x14ac:dyDescent="0.3">
      <c r="A7" s="59" t="s">
        <v>288</v>
      </c>
      <c r="B7" s="58">
        <v>1</v>
      </c>
      <c r="C7" s="10" cm="1">
        <f t="array" ref="C7">get_start_date(E7,holidays)</f>
        <v>44757</v>
      </c>
      <c r="D7" s="11" cm="1">
        <f t="array" ref="D7">get_finish_date(C7,holidays,F7)</f>
        <v>44758</v>
      </c>
      <c r="E7" s="12">
        <f>D5</f>
        <v>44757</v>
      </c>
      <c r="F7" s="60">
        <v>1</v>
      </c>
      <c r="G7" s="25"/>
    </row>
    <row r="8" spans="1:9" x14ac:dyDescent="0.3">
      <c r="A8" s="59" t="s">
        <v>289</v>
      </c>
      <c r="B8" s="58">
        <v>1</v>
      </c>
      <c r="C8" s="10" cm="1">
        <f t="array" ref="C8">get_start_date(E8,holidays)</f>
        <v>44760</v>
      </c>
      <c r="D8" s="11" cm="1">
        <f t="array" ref="D8">get_finish_date(C8,holidays,F8)</f>
        <v>44763</v>
      </c>
      <c r="E8" s="12">
        <f>D7</f>
        <v>44758</v>
      </c>
      <c r="F8" s="60">
        <v>3</v>
      </c>
    </row>
    <row r="9" spans="1:9" x14ac:dyDescent="0.3">
      <c r="A9" s="59" t="s">
        <v>290</v>
      </c>
      <c r="B9" s="58">
        <v>1</v>
      </c>
      <c r="C9" s="10" cm="1">
        <f t="array" ref="C9">get_start_date(E9,holidays)</f>
        <v>44760</v>
      </c>
      <c r="D9" s="11" cm="1">
        <f t="array" ref="D9">get_finish_date(C9,holidays,F9)</f>
        <v>44763</v>
      </c>
      <c r="E9" s="12">
        <f>D7</f>
        <v>44758</v>
      </c>
      <c r="F9" s="60">
        <v>3</v>
      </c>
    </row>
    <row r="10" spans="1:9" x14ac:dyDescent="0.3">
      <c r="A10" s="59" t="s">
        <v>291</v>
      </c>
      <c r="B10" s="58">
        <v>1</v>
      </c>
      <c r="C10" s="10" cm="1">
        <f t="array" ref="C10">get_start_date(E10,holidays)</f>
        <v>44763</v>
      </c>
      <c r="D10" s="11" cm="1">
        <f t="array" ref="D10">get_finish_date(C10,holidays,F10)</f>
        <v>44775</v>
      </c>
      <c r="E10" s="12">
        <f>D9</f>
        <v>44763</v>
      </c>
      <c r="F10" s="60">
        <v>6</v>
      </c>
    </row>
    <row r="11" spans="1:9" x14ac:dyDescent="0.3">
      <c r="A11" s="59" t="s">
        <v>292</v>
      </c>
      <c r="B11" s="58">
        <v>1</v>
      </c>
      <c r="C11" s="10" cm="1">
        <f t="array" ref="C11">get_start_date(E11,holidays)</f>
        <v>44769</v>
      </c>
      <c r="D11" s="11">
        <f>D10</f>
        <v>44775</v>
      </c>
      <c r="E11" s="12">
        <v>44769</v>
      </c>
      <c r="F11" s="60">
        <v>3</v>
      </c>
    </row>
  </sheetData>
  <dataValidations count="3">
    <dataValidation type="decimal" allowBlank="1" showInputMessage="1" showErrorMessage="1" prompt="Actual project completion (%)" sqref="B2:B11" xr:uid="{B4B07F4A-41C7-44EF-97B1-B8A01E291ABF}">
      <formula1>0</formula1>
      <formula2>1</formula2>
    </dataValidation>
    <dataValidation type="date" allowBlank="1" showInputMessage="1" showErrorMessage="1" sqref="C2:E7 C8:D11" xr:uid="{71AFF7C7-98C3-46E2-9405-4C15FE959BE5}">
      <formula1>44562</formula1>
      <formula2>219148</formula2>
    </dataValidation>
    <dataValidation type="whole" allowBlank="1" showInputMessage="1" showErrorMessage="1" prompt="Number of working days" sqref="F2:F7" xr:uid="{ED2FD530-8AE6-42AC-811F-25CC1126C15C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ignoredErrors>
    <ignoredError sqref="E7:E8 E9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34C66-4B11-4C18-B71A-69E4876A2F47}">
  <sheetPr codeName="Sheet13"/>
  <dimension ref="A1:I7"/>
  <sheetViews>
    <sheetView showGridLines="0" zoomScaleNormal="100" workbookViewId="0">
      <selection activeCell="C9" sqref="C9"/>
    </sheetView>
  </sheetViews>
  <sheetFormatPr defaultColWidth="8" defaultRowHeight="12.5" x14ac:dyDescent="0.3"/>
  <cols>
    <col min="1" max="1" width="45.58203125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aca="1" ref="B2" ca="1">MIN(MMULT(TRANSPOSE(B3:B7),D3:D7-C3:C7)/SUM(D3:D7-C3:C7)+0.0005,1)</f>
        <v>1</v>
      </c>
      <c r="C2" s="22" cm="1">
        <f t="array" ref="C2">get_start_date(E2,holidays)</f>
        <v>44741</v>
      </c>
      <c r="D2" s="23">
        <f>MAX(D3:D7)</f>
        <v>44812</v>
      </c>
      <c r="E2" s="23">
        <f>E3</f>
        <v>44741</v>
      </c>
      <c r="F2" s="24" cm="1">
        <f t="array" ref="F2">SUM(IF(WEEKDAY(_xlfn.SEQUENCE(D2-C2,1,C2,1),2)&lt;6,1,0))-SUM(IF(ISERROR(MATCH(_xlfn.SEQUENCE(D2-C2,1,C2,1),holidays,0)&gt;0)=FALSE,1,0))</f>
        <v>47</v>
      </c>
    </row>
    <row r="3" spans="1:9" ht="22.4" customHeight="1" x14ac:dyDescent="0.3">
      <c r="A3" s="59" t="s">
        <v>293</v>
      </c>
      <c r="B3" s="58">
        <f ca="1">IFERROR(MAX(MIN(TODAY()-C3,D3-C3),0)/(D3-C3),0)</f>
        <v>1</v>
      </c>
      <c r="C3" s="10" cm="1">
        <f t="array" ref="C3">get_start_date(E3,holidays)</f>
        <v>44741</v>
      </c>
      <c r="D3" s="11" cm="1">
        <f t="array" ref="D3">get_finish_date(C3,holidays,F3)</f>
        <v>44747</v>
      </c>
      <c r="E3" s="12">
        <v>44741</v>
      </c>
      <c r="F3" s="60">
        <v>4</v>
      </c>
      <c r="G3" s="25"/>
      <c r="I3" s="26"/>
    </row>
    <row r="4" spans="1:9" ht="22.4" customHeight="1" x14ac:dyDescent="0.3">
      <c r="A4" s="59" t="s">
        <v>294</v>
      </c>
      <c r="B4" s="58">
        <f t="shared" ref="B4:B7" ca="1" si="0">IFERROR(MAX(MIN(TODAY()-C4,D4-C4),0)/(D4-C4),0)</f>
        <v>1</v>
      </c>
      <c r="C4" s="10" cm="1">
        <f t="array" ref="C4">get_start_date(E4,holidays)</f>
        <v>44747</v>
      </c>
      <c r="D4" s="11" cm="1">
        <f t="array" ref="D4">get_finish_date(C4,holidays,F4)</f>
        <v>44754</v>
      </c>
      <c r="E4" s="12">
        <f>D3</f>
        <v>44747</v>
      </c>
      <c r="F4" s="60">
        <v>5</v>
      </c>
      <c r="G4" s="25"/>
    </row>
    <row r="5" spans="1:9" ht="22.4" customHeight="1" x14ac:dyDescent="0.3">
      <c r="A5" s="59" t="s">
        <v>295</v>
      </c>
      <c r="B5" s="58">
        <f t="shared" ca="1" si="0"/>
        <v>1</v>
      </c>
      <c r="C5" s="10" cm="1">
        <f t="array" ref="C5">get_start_date(E5,holidays)</f>
        <v>44754</v>
      </c>
      <c r="D5" s="11" cm="1">
        <f t="array" ref="D5">get_finish_date(C5,holidays,F5)</f>
        <v>44769</v>
      </c>
      <c r="E5" s="12">
        <f>D4</f>
        <v>44754</v>
      </c>
      <c r="F5" s="60">
        <v>10</v>
      </c>
      <c r="G5" s="25"/>
    </row>
    <row r="6" spans="1:9" ht="22.4" customHeight="1" x14ac:dyDescent="0.3">
      <c r="A6" s="59" t="s">
        <v>296</v>
      </c>
      <c r="B6" s="58">
        <f t="shared" ca="1" si="0"/>
        <v>1</v>
      </c>
      <c r="C6" s="10" cm="1">
        <f t="array" ref="C6">get_start_date(E6,holidays)</f>
        <v>44769</v>
      </c>
      <c r="D6" s="11" cm="1">
        <f t="array" ref="D6">get_finish_date(C6,holidays,F6)</f>
        <v>44782</v>
      </c>
      <c r="E6" s="12">
        <f>D5</f>
        <v>44769</v>
      </c>
      <c r="F6" s="60">
        <v>7</v>
      </c>
      <c r="G6" s="25"/>
    </row>
    <row r="7" spans="1:9" ht="22.4" customHeight="1" x14ac:dyDescent="0.3">
      <c r="A7" s="59" t="s">
        <v>297</v>
      </c>
      <c r="B7" s="58">
        <f t="shared" ca="1" si="0"/>
        <v>1</v>
      </c>
      <c r="C7" s="10" cm="1">
        <f t="array" ref="C7">get_start_date(E7,holidays)</f>
        <v>44782</v>
      </c>
      <c r="D7" s="11" cm="1">
        <f t="array" ref="D7">get_finish_date(C7,holidays,F7)</f>
        <v>44812</v>
      </c>
      <c r="E7" s="12">
        <f>D6</f>
        <v>44782</v>
      </c>
      <c r="F7" s="60">
        <v>21</v>
      </c>
      <c r="G7" s="25"/>
    </row>
  </sheetData>
  <dataValidations count="3">
    <dataValidation type="decimal" allowBlank="1" showInputMessage="1" showErrorMessage="1" prompt="Actual project completion (%)" sqref="B2:B7" xr:uid="{7480EF34-5AD7-4687-AEB0-DB923D199FE2}">
      <formula1>0</formula1>
      <formula2>1</formula2>
    </dataValidation>
    <dataValidation type="date" allowBlank="1" showInputMessage="1" showErrorMessage="1" sqref="C2:E7" xr:uid="{54FD40E8-ED00-465A-A5C9-4FF058EE64FA}">
      <formula1>44562</formula1>
      <formula2>219148</formula2>
    </dataValidation>
    <dataValidation type="whole" allowBlank="1" showInputMessage="1" showErrorMessage="1" prompt="Number of working days" sqref="F2:F7" xr:uid="{A941FC5E-E3D3-49C8-A0D8-6BCC918F639A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8823-D4CD-4CA8-B9B4-766B6ECB2DCF}">
  <sheetPr codeName="Sheet14"/>
  <dimension ref="A1:H11"/>
  <sheetViews>
    <sheetView showGridLines="0" zoomScale="130" zoomScaleNormal="130" workbookViewId="0">
      <selection activeCell="A10" sqref="A10:XFD10"/>
    </sheetView>
  </sheetViews>
  <sheetFormatPr defaultColWidth="8" defaultRowHeight="12.5" x14ac:dyDescent="0.3"/>
  <cols>
    <col min="1" max="1" width="45" style="15" customWidth="1"/>
    <col min="2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MIN(MMULT(TRANSPOSE(B3:B10),D3:D10-C3:C10)/SUM(D3:D10-C3:C10)+0.0005,1)</f>
        <v>1</v>
      </c>
      <c r="C2" s="22" cm="1">
        <f t="array" ref="C2">get_start_date(E2,holidays)</f>
        <v>44762</v>
      </c>
      <c r="D2" s="23">
        <f>MAX(D3:D10)</f>
        <v>44805</v>
      </c>
      <c r="E2" s="23">
        <f>E3</f>
        <v>44762</v>
      </c>
      <c r="F2" s="24">
        <f t="array" ref="F2">SUM(IF(WEEKDAY(_xlfn.SEQUENCE(D2-C2,1,C2,1),2)&lt;6,1,0))-SUM(IF(ISERROR(MATCH(_xlfn.SEQUENCE(D2-C2,1,C2,1),holidays,0)&gt;0)=FALSE,1,0))</f>
        <v>28</v>
      </c>
    </row>
    <row r="3" spans="1:8" x14ac:dyDescent="0.3">
      <c r="A3" s="8" t="s">
        <v>298</v>
      </c>
      <c r="B3" s="9">
        <f t="shared" ref="B3:B5" ca="1" si="0">IFERROR(MAX(MIN(TODAY()-C3,D3-C3),0)/(D3-C3),0)</f>
        <v>1</v>
      </c>
      <c r="C3" s="10" cm="1">
        <f t="array" ref="C3">get_start_date(E3,holidays)</f>
        <v>44762</v>
      </c>
      <c r="D3" s="11" cm="1">
        <f t="array" ref="D3">get_finish_date(C3,holidays,F3)</f>
        <v>44775</v>
      </c>
      <c r="E3" s="12">
        <v>44762</v>
      </c>
      <c r="F3" s="19">
        <v>7</v>
      </c>
      <c r="G3" s="26"/>
    </row>
    <row r="4" spans="1:8" x14ac:dyDescent="0.3">
      <c r="A4" s="8" t="s">
        <v>299</v>
      </c>
      <c r="B4" s="9">
        <f t="shared" ca="1" si="0"/>
        <v>1</v>
      </c>
      <c r="C4" s="10" cm="1">
        <f t="array" ref="C4">get_start_date(E4,holidays)</f>
        <v>44762</v>
      </c>
      <c r="D4" s="11" cm="1">
        <f t="array" ref="D4">get_finish_date(C4,holidays,F4)</f>
        <v>44764</v>
      </c>
      <c r="E4" s="12">
        <f>E3</f>
        <v>44762</v>
      </c>
      <c r="F4" s="19">
        <v>2</v>
      </c>
    </row>
    <row r="5" spans="1:8" x14ac:dyDescent="0.3">
      <c r="A5" s="8" t="s">
        <v>300</v>
      </c>
      <c r="B5" s="9">
        <f t="shared" ca="1" si="0"/>
        <v>1</v>
      </c>
      <c r="C5" s="10" cm="1">
        <f t="array" ref="C5">get_start_date(E5,holidays)</f>
        <v>44775</v>
      </c>
      <c r="D5" s="11" cm="1">
        <f t="array" ref="D5">get_finish_date(C5,holidays,F5)</f>
        <v>44777</v>
      </c>
      <c r="E5" s="12">
        <f>D3</f>
        <v>44775</v>
      </c>
      <c r="F5" s="19">
        <v>2</v>
      </c>
    </row>
    <row r="6" spans="1:8" x14ac:dyDescent="0.3">
      <c r="A6" s="8" t="s">
        <v>301</v>
      </c>
      <c r="B6" s="9">
        <v>1</v>
      </c>
      <c r="C6" s="10" cm="1">
        <f t="array" ref="C6">get_start_date(E6,holidays)</f>
        <v>44777</v>
      </c>
      <c r="D6" s="11" cm="1">
        <f t="array" ref="D6">get_finish_date(C6,holidays,F6)</f>
        <v>44782</v>
      </c>
      <c r="E6" s="12">
        <f>D5</f>
        <v>44777</v>
      </c>
      <c r="F6" s="19">
        <v>3</v>
      </c>
    </row>
    <row r="7" spans="1:8" x14ac:dyDescent="0.3">
      <c r="A7" s="8" t="s">
        <v>302</v>
      </c>
      <c r="B7" s="9">
        <v>1</v>
      </c>
      <c r="C7" s="10" cm="1">
        <f t="array" ref="C7">get_start_date(E7,holidays)</f>
        <v>44782</v>
      </c>
      <c r="D7" s="11" cm="1">
        <f t="array" ref="D7">get_finish_date(C7,holidays,F7)</f>
        <v>44790</v>
      </c>
      <c r="E7" s="12">
        <f>D6</f>
        <v>44782</v>
      </c>
      <c r="F7" s="19">
        <v>5</v>
      </c>
    </row>
    <row r="8" spans="1:8" x14ac:dyDescent="0.3">
      <c r="A8" s="14" t="s">
        <v>303</v>
      </c>
      <c r="B8" s="9">
        <f t="shared" ref="B8:B9" ca="1" si="1">IFERROR(MAX(MIN(TODAY()-C8,D8-C8),0)/(D8-C8),0)</f>
        <v>1</v>
      </c>
      <c r="C8" s="10" cm="1">
        <f t="array" ref="C8">get_start_date(E8,holidays)</f>
        <v>44790</v>
      </c>
      <c r="D8" s="11" cm="1">
        <f t="array" ref="D8">get_finish_date(C8,holidays,F8)</f>
        <v>44793</v>
      </c>
      <c r="E8" s="12">
        <f>D7</f>
        <v>44790</v>
      </c>
      <c r="F8" s="19">
        <v>3</v>
      </c>
    </row>
    <row r="9" spans="1:8" x14ac:dyDescent="0.3">
      <c r="A9" s="14" t="s">
        <v>304</v>
      </c>
      <c r="B9" s="9">
        <f t="shared" ca="1" si="1"/>
        <v>1</v>
      </c>
      <c r="C9" s="10" cm="1">
        <f t="array" ref="C9">get_start_date(E9,holidays)</f>
        <v>44795</v>
      </c>
      <c r="D9" s="11" cm="1">
        <f t="array" ref="D9">get_finish_date(C9,holidays,F9)</f>
        <v>44797</v>
      </c>
      <c r="E9" s="12">
        <f>D8</f>
        <v>44793</v>
      </c>
      <c r="F9" s="19">
        <v>2</v>
      </c>
    </row>
    <row r="10" spans="1:8" x14ac:dyDescent="0.3">
      <c r="A10" s="14" t="s">
        <v>305</v>
      </c>
      <c r="B10" s="9">
        <v>1</v>
      </c>
      <c r="C10" s="10" cm="1">
        <f t="array" ref="C10">get_start_date(E10,holidays)</f>
        <v>44805</v>
      </c>
      <c r="D10" s="11" cm="1">
        <f t="array" ref="D10">get_finish_date(C10,holidays,F10)</f>
        <v>44805</v>
      </c>
      <c r="E10" s="12">
        <v>44805</v>
      </c>
      <c r="F10" s="19"/>
    </row>
    <row r="11" spans="1:8" x14ac:dyDescent="0.3">
      <c r="F11" s="25"/>
      <c r="H11" s="25"/>
    </row>
  </sheetData>
  <dataValidations count="3">
    <dataValidation type="decimal" allowBlank="1" showInputMessage="1" showErrorMessage="1" prompt="Actual project completion (%)" sqref="B2:B10" xr:uid="{B0D1BBD0-A379-4EE5-AC89-CEAFD51AC61C}">
      <formula1>0</formula1>
      <formula2>1</formula2>
    </dataValidation>
    <dataValidation type="date" allowBlank="1" showInputMessage="1" showErrorMessage="1" sqref="C2:E10" xr:uid="{64AAD733-F336-438C-9B0E-4A1AE55ABB98}">
      <formula1>44562</formula1>
      <formula2>219148</formula2>
    </dataValidation>
    <dataValidation type="whole" allowBlank="1" showInputMessage="1" showErrorMessage="1" prompt="Number of working days" sqref="F2:F10" xr:uid="{31F59FCC-DD96-4395-8DB9-E08FE52C99EC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4D86-F512-4139-8249-DBD3D7637191}">
  <sheetPr codeName="Sheet15"/>
  <dimension ref="A1:I10"/>
  <sheetViews>
    <sheetView showGridLines="0" zoomScale="130" zoomScaleNormal="130" workbookViewId="0">
      <selection activeCell="N10" sqref="N10"/>
    </sheetView>
  </sheetViews>
  <sheetFormatPr defaultColWidth="8" defaultRowHeight="12.5" x14ac:dyDescent="0.3"/>
  <cols>
    <col min="1" max="1" width="42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aca="1" ref="B2" ca="1">MIN(MMULT(TRANSPOSE(B3:B10),D3:D10-C3:C10)/SUM(D3:D10-C3:C10)+0.0005,1)</f>
        <v>1</v>
      </c>
      <c r="C2" s="22" cm="1">
        <f t="array" ref="C2">get_start_date(E2,holidays)</f>
        <v>44760</v>
      </c>
      <c r="D2" s="23">
        <f>MAX(D3:D10)</f>
        <v>44860</v>
      </c>
      <c r="E2" s="23">
        <f>MIN(E3:E10)</f>
        <v>44760</v>
      </c>
      <c r="F2" s="24" cm="1">
        <f t="array" ref="F2">SUM(IF(WEEKDAY(_xlfn.SEQUENCE(D2-C2,1,C2,1),2)&lt;6,1,0))-SUM(IF(ISERROR(MATCH(_xlfn.SEQUENCE(D2-C2,1,C2,1),holidays,0)&gt;0)=FALSE,1,0))</f>
        <v>65</v>
      </c>
    </row>
    <row r="3" spans="1:9" ht="25" x14ac:dyDescent="0.3">
      <c r="A3" s="59" t="s">
        <v>306</v>
      </c>
      <c r="B3" s="9">
        <f t="shared" ref="B3:B6" ca="1" si="0">IFERROR(MAX(MIN(TODAY()-C3,D3-C3),0)/(D3-C3),0)</f>
        <v>1</v>
      </c>
      <c r="C3" s="10" cm="1">
        <f t="array" ref="C3">get_start_date(E3,holidays)</f>
        <v>44760</v>
      </c>
      <c r="D3" s="11" cm="1">
        <f t="array" ref="D3">get_finish_date(C3,holidays,F3)</f>
        <v>44764</v>
      </c>
      <c r="E3" s="12">
        <v>44760</v>
      </c>
      <c r="F3" s="60">
        <v>4</v>
      </c>
      <c r="G3" s="25"/>
      <c r="I3" s="26"/>
    </row>
    <row r="4" spans="1:9" x14ac:dyDescent="0.3">
      <c r="A4" s="59" t="s">
        <v>307</v>
      </c>
      <c r="B4" s="9">
        <f t="shared" ca="1" si="0"/>
        <v>1</v>
      </c>
      <c r="C4" s="10" cm="1">
        <f t="array" ref="C4">get_start_date(E4,holidays)</f>
        <v>44764</v>
      </c>
      <c r="D4" s="11" cm="1">
        <f t="array" ref="D4">get_finish_date(C4,holidays,F4)</f>
        <v>44778</v>
      </c>
      <c r="E4" s="12">
        <f t="shared" ref="E4:E6" si="1">D3</f>
        <v>44764</v>
      </c>
      <c r="F4" s="60">
        <v>8</v>
      </c>
      <c r="G4" s="25"/>
    </row>
    <row r="5" spans="1:9" ht="15.65" customHeight="1" x14ac:dyDescent="0.3">
      <c r="A5" s="59" t="s">
        <v>308</v>
      </c>
      <c r="B5" s="9">
        <f t="shared" ca="1" si="0"/>
        <v>1</v>
      </c>
      <c r="C5" s="10" cm="1">
        <f t="array" ref="C5">get_start_date(E5,holidays)</f>
        <v>44778</v>
      </c>
      <c r="D5" s="11" cm="1">
        <f t="array" ref="D5">get_finish_date(C5,holidays,F5)</f>
        <v>44791</v>
      </c>
      <c r="E5" s="12">
        <f t="shared" si="1"/>
        <v>44778</v>
      </c>
      <c r="F5" s="60">
        <v>8</v>
      </c>
      <c r="G5" s="25"/>
    </row>
    <row r="6" spans="1:9" x14ac:dyDescent="0.3">
      <c r="A6" s="59" t="s">
        <v>309</v>
      </c>
      <c r="B6" s="9">
        <f t="shared" ca="1" si="0"/>
        <v>1</v>
      </c>
      <c r="C6" s="10" cm="1">
        <f t="array" ref="C6">get_start_date(E6,holidays)</f>
        <v>44791</v>
      </c>
      <c r="D6" s="11" cm="1">
        <f t="array" ref="D6">get_finish_date(C6,holidays,F6)</f>
        <v>44796</v>
      </c>
      <c r="E6" s="12">
        <f t="shared" si="1"/>
        <v>44791</v>
      </c>
      <c r="F6" s="60">
        <v>3</v>
      </c>
    </row>
    <row r="7" spans="1:9" x14ac:dyDescent="0.3">
      <c r="A7" s="59" t="s">
        <v>310</v>
      </c>
      <c r="B7" s="9">
        <v>1</v>
      </c>
      <c r="C7" s="10" cm="1">
        <f t="array" ref="C7">get_start_date(E7,holidays)</f>
        <v>44806</v>
      </c>
      <c r="D7" s="11" cm="1">
        <f t="array" ref="D7">get_finish_date(C7,holidays,F7)</f>
        <v>44832</v>
      </c>
      <c r="E7" s="12">
        <v>44806</v>
      </c>
      <c r="F7" s="60">
        <v>18</v>
      </c>
    </row>
    <row r="8" spans="1:9" ht="25" x14ac:dyDescent="0.3">
      <c r="A8" s="59" t="s">
        <v>311</v>
      </c>
      <c r="B8" s="9">
        <v>1</v>
      </c>
      <c r="C8" s="10" cm="1">
        <f t="array" ref="C8">get_start_date(E8,holidays)</f>
        <v>44832</v>
      </c>
      <c r="D8" s="11" cm="1">
        <f t="array" ref="D8">get_finish_date(C8,holidays,F8)</f>
        <v>44847</v>
      </c>
      <c r="E8" s="12">
        <f t="shared" ref="E8:E10" si="2">D7</f>
        <v>44832</v>
      </c>
      <c r="F8" s="60">
        <v>10</v>
      </c>
    </row>
    <row r="9" spans="1:9" x14ac:dyDescent="0.3">
      <c r="A9" s="14" t="s">
        <v>245</v>
      </c>
      <c r="B9" s="9">
        <v>1</v>
      </c>
      <c r="C9" s="10" cm="1">
        <f t="array" ref="C9">get_start_date(E9,holidays)</f>
        <v>44851</v>
      </c>
      <c r="D9" s="11" cm="1">
        <f t="array" ref="D9">get_finish_date(C9,holidays,F9)</f>
        <v>44854</v>
      </c>
      <c r="E9" s="12">
        <f t="shared" si="2"/>
        <v>44847</v>
      </c>
      <c r="F9" s="60">
        <v>3</v>
      </c>
    </row>
    <row r="10" spans="1:9" x14ac:dyDescent="0.3">
      <c r="A10" s="14" t="s">
        <v>312</v>
      </c>
      <c r="B10" s="9">
        <v>1</v>
      </c>
      <c r="C10" s="10" cm="1">
        <f t="array" ref="C10">get_start_date(E10,holidays)</f>
        <v>44854</v>
      </c>
      <c r="D10" s="11" cm="1">
        <f t="array" ref="D10">get_finish_date(C10,holidays,F10)</f>
        <v>44860</v>
      </c>
      <c r="E10" s="12">
        <f t="shared" si="2"/>
        <v>44854</v>
      </c>
      <c r="F10" s="60">
        <v>3</v>
      </c>
    </row>
  </sheetData>
  <dataValidations count="3">
    <dataValidation type="date" allowBlank="1" showInputMessage="1" showErrorMessage="1" sqref="C2:E5 E6 C6:D10" xr:uid="{691D8048-D5C7-4758-A3AF-49C356545525}">
      <formula1>44562</formula1>
      <formula2>219148</formula2>
    </dataValidation>
    <dataValidation type="whole" allowBlank="1" showInputMessage="1" showErrorMessage="1" prompt="Number of working days" sqref="F2:F5" xr:uid="{FB66384A-AE3A-4A59-BB80-971CC353CF6B}">
      <formula1>0</formula1>
      <formula2>1000</formula2>
    </dataValidation>
    <dataValidation type="decimal" allowBlank="1" showInputMessage="1" showErrorMessage="1" prompt="Actual project completion (%)" sqref="B2:B10" xr:uid="{7A9FC278-CBAD-41F2-B67E-E6BDF3771CDE}">
      <formula1>0</formula1>
      <formula2>1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907FE-C497-4C65-A7A5-663079A71B18}">
  <sheetPr codeName="Sheet16"/>
  <dimension ref="A1:I20"/>
  <sheetViews>
    <sheetView showGridLines="0" zoomScale="130" zoomScaleNormal="130" workbookViewId="0">
      <selection activeCell="A11" sqref="A11"/>
    </sheetView>
  </sheetViews>
  <sheetFormatPr defaultColWidth="8" defaultRowHeight="12.5" x14ac:dyDescent="0.3"/>
  <cols>
    <col min="1" max="1" width="45.08203125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ref="B2">MIN(MMULT(TRANSPOSE(B3:B18),D3:D18-C3:C18)/SUM(D3:D18-C3:C18)+0.0005,1)</f>
        <v>1</v>
      </c>
      <c r="C2" s="22" cm="1">
        <f t="array" ref="C2">get_start_date(E2,holidays)</f>
        <v>44805</v>
      </c>
      <c r="D2" s="23">
        <f>MAX(D3:D20)</f>
        <v>44898</v>
      </c>
      <c r="E2" s="23">
        <f>MIN(E3:E20)</f>
        <v>44805</v>
      </c>
      <c r="F2" s="24" cm="1">
        <f t="array" ref="F2">SUM(IF(WEEKDAY(_xlfn.SEQUENCE(D2-C2,1,C2,1),2)&lt;6,1,0))-SUM(IF(ISERROR(MATCH(_xlfn.SEQUENCE(D2-C2,1,C2,1),holidays,0)&gt;0)=FALSE,1,0))</f>
        <v>63</v>
      </c>
    </row>
    <row r="3" spans="1:9" ht="20.149999999999999" customHeight="1" x14ac:dyDescent="0.3">
      <c r="A3" s="69" t="s">
        <v>313</v>
      </c>
      <c r="B3" s="82">
        <v>1</v>
      </c>
      <c r="C3" s="10" cm="1">
        <f t="array" ref="C3">get_start_date(E3,holidays)</f>
        <v>44805</v>
      </c>
      <c r="D3" s="11" cm="1">
        <f t="array" ref="D3">get_finish_date(C3,holidays,F3)</f>
        <v>44807</v>
      </c>
      <c r="E3" s="12">
        <v>44805</v>
      </c>
      <c r="F3" s="60">
        <v>2</v>
      </c>
      <c r="G3" s="25"/>
      <c r="I3" s="26"/>
    </row>
    <row r="4" spans="1:9" ht="20.149999999999999" customHeight="1" x14ac:dyDescent="0.3">
      <c r="A4" s="69" t="s">
        <v>314</v>
      </c>
      <c r="B4" s="82">
        <v>1</v>
      </c>
      <c r="C4" s="10" cm="1">
        <f t="array" ref="C4">get_start_date(E4,holidays)</f>
        <v>44809</v>
      </c>
      <c r="D4" s="11" cm="1">
        <f t="array" ref="D4">get_finish_date(C4,holidays,F4)</f>
        <v>44814</v>
      </c>
      <c r="E4" s="12">
        <f>D3</f>
        <v>44807</v>
      </c>
      <c r="F4" s="60">
        <v>5</v>
      </c>
      <c r="G4" s="25"/>
    </row>
    <row r="5" spans="1:9" ht="20.149999999999999" customHeight="1" x14ac:dyDescent="0.3">
      <c r="A5" s="69" t="s">
        <v>315</v>
      </c>
      <c r="B5" s="82">
        <v>1</v>
      </c>
      <c r="C5" s="10" cm="1">
        <f t="array" ref="C5">get_start_date(E5,holidays)</f>
        <v>44816</v>
      </c>
      <c r="D5" s="11" cm="1">
        <f t="array" ref="D5">get_finish_date(C5,holidays,F5)</f>
        <v>44818</v>
      </c>
      <c r="E5" s="12">
        <f>D4</f>
        <v>44814</v>
      </c>
      <c r="F5" s="60">
        <v>2</v>
      </c>
      <c r="G5" s="25"/>
    </row>
    <row r="6" spans="1:9" ht="20.149999999999999" customHeight="1" x14ac:dyDescent="0.3">
      <c r="A6" s="69" t="s">
        <v>316</v>
      </c>
      <c r="B6" s="82">
        <v>1</v>
      </c>
      <c r="C6" s="10" cm="1">
        <f t="array" ref="C6">get_start_date(E6,holidays)</f>
        <v>44818</v>
      </c>
      <c r="D6" s="11" cm="1">
        <f t="array" ref="D6">get_finish_date(C6,holidays,F6)</f>
        <v>44824</v>
      </c>
      <c r="E6" s="12">
        <f>D5</f>
        <v>44818</v>
      </c>
      <c r="F6" s="60">
        <v>4</v>
      </c>
      <c r="G6" s="25"/>
    </row>
    <row r="7" spans="1:9" ht="20.149999999999999" customHeight="1" x14ac:dyDescent="0.3">
      <c r="A7" s="69" t="s">
        <v>317</v>
      </c>
      <c r="B7" s="82">
        <v>1</v>
      </c>
      <c r="C7" s="10" cm="1">
        <f t="array" ref="C7">get_start_date(E7,holidays)</f>
        <v>44824</v>
      </c>
      <c r="D7" s="11" cm="1">
        <f t="array" ref="D7">get_finish_date(C7,holidays,F7)</f>
        <v>44831</v>
      </c>
      <c r="E7" s="12">
        <f t="shared" ref="E7" si="0">D6</f>
        <v>44824</v>
      </c>
      <c r="F7" s="60">
        <v>5</v>
      </c>
      <c r="G7" s="25"/>
    </row>
    <row r="8" spans="1:9" ht="20.149999999999999" customHeight="1" x14ac:dyDescent="0.3">
      <c r="A8" s="69" t="s">
        <v>318</v>
      </c>
      <c r="B8" s="82">
        <v>1</v>
      </c>
      <c r="C8" s="10" cm="1">
        <f t="array" ref="C8">get_start_date(E8,holidays)</f>
        <v>44826</v>
      </c>
      <c r="D8" s="11" cm="1">
        <f t="array" ref="D8">get_finish_date(C8,holidays,F8)</f>
        <v>44833</v>
      </c>
      <c r="E8" s="12">
        <f>D7-5</f>
        <v>44826</v>
      </c>
      <c r="F8" s="60">
        <v>5</v>
      </c>
    </row>
    <row r="9" spans="1:9" ht="20.149999999999999" customHeight="1" x14ac:dyDescent="0.3">
      <c r="A9" s="69" t="s">
        <v>319</v>
      </c>
      <c r="B9" s="82">
        <v>1</v>
      </c>
      <c r="C9" s="10" cm="1">
        <f t="array" ref="C9">get_start_date(E9,holidays)</f>
        <v>44833</v>
      </c>
      <c r="D9" s="11" cm="1">
        <f t="array" ref="D9">get_finish_date(C9,holidays,F9)</f>
        <v>44833</v>
      </c>
      <c r="E9" s="12">
        <f>D10</f>
        <v>44833</v>
      </c>
      <c r="F9" s="60">
        <v>0</v>
      </c>
      <c r="G9" s="25"/>
    </row>
    <row r="10" spans="1:9" ht="20.149999999999999" customHeight="1" x14ac:dyDescent="0.3">
      <c r="A10" s="69" t="s">
        <v>320</v>
      </c>
      <c r="B10" s="82">
        <v>1</v>
      </c>
      <c r="C10" s="10" cm="1">
        <f t="array" ref="C10">get_start_date(E10,holidays)</f>
        <v>44831</v>
      </c>
      <c r="D10" s="11" cm="1">
        <f t="array" ref="D10">get_finish_date(C10,holidays,F10)</f>
        <v>44833</v>
      </c>
      <c r="E10" s="12">
        <f>D8-2</f>
        <v>44831</v>
      </c>
      <c r="F10" s="60">
        <v>2</v>
      </c>
    </row>
    <row r="11" spans="1:9" ht="20.149999999999999" customHeight="1" x14ac:dyDescent="0.3">
      <c r="A11" s="69" t="s">
        <v>321</v>
      </c>
      <c r="B11" s="82">
        <v>1</v>
      </c>
      <c r="C11" s="10" cm="1">
        <f t="array" ref="C11">get_start_date(E11,holidays)</f>
        <v>44833</v>
      </c>
      <c r="D11" s="11" cm="1">
        <f t="array" ref="D11">get_finish_date(C11,holidays,F11)</f>
        <v>44839</v>
      </c>
      <c r="E11" s="12">
        <f>D10</f>
        <v>44833</v>
      </c>
      <c r="F11" s="60">
        <v>4</v>
      </c>
    </row>
    <row r="12" spans="1:9" ht="20.149999999999999" customHeight="1" x14ac:dyDescent="0.3">
      <c r="A12" s="69" t="s">
        <v>322</v>
      </c>
      <c r="B12" s="82">
        <v>1</v>
      </c>
      <c r="C12" s="10" cm="1">
        <f t="array" ref="C12">get_start_date(E12,holidays)</f>
        <v>44837</v>
      </c>
      <c r="D12" s="11" cm="1">
        <f t="array" ref="D12">get_finish_date(C12,holidays,F12)</f>
        <v>44841</v>
      </c>
      <c r="E12" s="12">
        <f>D11-2</f>
        <v>44837</v>
      </c>
      <c r="F12" s="60">
        <v>4</v>
      </c>
    </row>
    <row r="13" spans="1:9" ht="20.149999999999999" customHeight="1" x14ac:dyDescent="0.3">
      <c r="A13" s="69" t="s">
        <v>323</v>
      </c>
      <c r="B13" s="82">
        <v>1</v>
      </c>
      <c r="C13" s="10" cm="1">
        <f t="array" ref="C13">get_start_date(E13,holidays)</f>
        <v>44839</v>
      </c>
      <c r="D13" s="11" cm="1">
        <f t="array" ref="D13">get_finish_date(C13,holidays,F13)</f>
        <v>44846</v>
      </c>
      <c r="E13" s="12">
        <f>D12-2</f>
        <v>44839</v>
      </c>
      <c r="F13" s="60">
        <v>4</v>
      </c>
    </row>
    <row r="14" spans="1:9" ht="20.149999999999999" customHeight="1" x14ac:dyDescent="0.3">
      <c r="A14" s="69" t="s">
        <v>324</v>
      </c>
      <c r="B14" s="82">
        <v>1</v>
      </c>
      <c r="C14" s="10" cm="1">
        <f t="array" ref="C14">get_start_date(E14,holidays)</f>
        <v>44846</v>
      </c>
      <c r="D14" s="11" cm="1">
        <f t="array" ref="D14">get_finish_date(C14,holidays,F14)</f>
        <v>44855</v>
      </c>
      <c r="E14" s="12">
        <f t="shared" ref="E14" si="1">D13</f>
        <v>44846</v>
      </c>
      <c r="F14" s="60">
        <v>5</v>
      </c>
    </row>
    <row r="15" spans="1:9" ht="20.149999999999999" customHeight="1" x14ac:dyDescent="0.3">
      <c r="A15" s="69" t="s">
        <v>325</v>
      </c>
      <c r="B15" s="82">
        <v>1</v>
      </c>
      <c r="C15" s="10" cm="1">
        <f t="array" ref="C15">get_start_date(E15,holidays)</f>
        <v>44855</v>
      </c>
      <c r="D15" s="11" cm="1">
        <f t="array" ref="D15">get_finish_date(C15,holidays,F15)</f>
        <v>44863</v>
      </c>
      <c r="E15" s="12">
        <f t="shared" ref="E15" si="2">D14</f>
        <v>44855</v>
      </c>
      <c r="F15" s="60">
        <v>5</v>
      </c>
    </row>
    <row r="16" spans="1:9" ht="20.149999999999999" customHeight="1" x14ac:dyDescent="0.3">
      <c r="A16" s="69" t="s">
        <v>326</v>
      </c>
      <c r="B16" s="82">
        <v>1</v>
      </c>
      <c r="C16" s="10" cm="1">
        <f t="array" ref="C16">get_start_date(E16,holidays)</f>
        <v>44865</v>
      </c>
      <c r="D16" s="11" cm="1">
        <f t="array" ref="D16">get_finish_date(C16,holidays,F16)</f>
        <v>44870</v>
      </c>
      <c r="E16" s="12">
        <f t="shared" ref="E16:E18" si="3">D15</f>
        <v>44863</v>
      </c>
      <c r="F16" s="60">
        <v>5</v>
      </c>
    </row>
    <row r="17" spans="1:6" ht="20.149999999999999" customHeight="1" x14ac:dyDescent="0.3">
      <c r="A17" s="69" t="s">
        <v>327</v>
      </c>
      <c r="B17" s="82">
        <v>1</v>
      </c>
      <c r="C17" s="10" cm="1">
        <f t="array" ref="C17">get_start_date(E17,holidays)</f>
        <v>44872</v>
      </c>
      <c r="D17" s="11" cm="1">
        <f t="array" ref="D17">get_finish_date(C17,holidays,F17)</f>
        <v>44877</v>
      </c>
      <c r="E17" s="12">
        <f t="shared" si="3"/>
        <v>44870</v>
      </c>
      <c r="F17" s="60">
        <v>5</v>
      </c>
    </row>
    <row r="18" spans="1:6" ht="20.149999999999999" customHeight="1" x14ac:dyDescent="0.3">
      <c r="A18" s="69" t="s">
        <v>328</v>
      </c>
      <c r="B18" s="82">
        <v>1</v>
      </c>
      <c r="C18" s="10" cm="1">
        <f t="array" ref="C18">get_start_date(E18,holidays)</f>
        <v>44879</v>
      </c>
      <c r="D18" s="11" cm="1">
        <f t="array" ref="D18">get_finish_date(C18,holidays,F18)</f>
        <v>44888</v>
      </c>
      <c r="E18" s="12">
        <f t="shared" si="3"/>
        <v>44877</v>
      </c>
      <c r="F18" s="60">
        <v>7</v>
      </c>
    </row>
    <row r="19" spans="1:6" ht="20.149999999999999" customHeight="1" x14ac:dyDescent="0.3">
      <c r="A19" s="69" t="s">
        <v>329</v>
      </c>
      <c r="B19" s="82">
        <v>1</v>
      </c>
      <c r="C19" s="10" cm="1">
        <f t="array" ref="C19">get_start_date(E19,holidays)</f>
        <v>44893</v>
      </c>
      <c r="D19" s="11" cm="1">
        <f t="array" ref="D19">get_finish_date(C19,holidays,F19)</f>
        <v>44894</v>
      </c>
      <c r="E19" s="12">
        <v>44893</v>
      </c>
      <c r="F19" s="60">
        <v>1</v>
      </c>
    </row>
    <row r="20" spans="1:6" ht="20.149999999999999" customHeight="1" x14ac:dyDescent="0.3">
      <c r="A20" s="69" t="s">
        <v>330</v>
      </c>
      <c r="B20" s="82">
        <v>1</v>
      </c>
      <c r="C20" s="10" cm="1">
        <f t="array" ref="C20">get_start_date(E20,holidays)</f>
        <v>44893</v>
      </c>
      <c r="D20" s="11" cm="1">
        <f t="array" ref="D20">get_finish_date(C20,holidays,F20)</f>
        <v>44898</v>
      </c>
      <c r="E20" s="12">
        <v>44893</v>
      </c>
      <c r="F20" s="60">
        <v>5</v>
      </c>
    </row>
  </sheetData>
  <phoneticPr fontId="9" type="noConversion"/>
  <dataValidations count="3">
    <dataValidation type="whole" allowBlank="1" showInputMessage="1" showErrorMessage="1" prompt="Number of working days" sqref="F9 F2:F7" xr:uid="{0E8A71CF-DA35-4AF7-981F-248867F3FF1F}">
      <formula1>0</formula1>
      <formula2>1000</formula2>
    </dataValidation>
    <dataValidation type="decimal" allowBlank="1" showInputMessage="1" showErrorMessage="1" prompt="Actual project completion (%)" sqref="B2:B20" xr:uid="{10CA5EBE-06B5-4FDA-9FF4-E04F878D985C}">
      <formula1>0</formula1>
      <formula2>1</formula2>
    </dataValidation>
    <dataValidation type="date" allowBlank="1" showInputMessage="1" showErrorMessage="1" sqref="C2:E20" xr:uid="{D556E002-593E-45D6-8E62-B915AF4E1033}">
      <formula1>44562</formula1>
      <formula2>219148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309D7-4EB0-4F28-A2C4-29EBD2908EFC}">
  <sheetPr codeName="Sheet17"/>
  <dimension ref="A1:I10"/>
  <sheetViews>
    <sheetView showGridLines="0" zoomScaleNormal="100" workbookViewId="0">
      <selection activeCell="D20" sqref="D20"/>
    </sheetView>
  </sheetViews>
  <sheetFormatPr defaultColWidth="8" defaultRowHeight="12.5" x14ac:dyDescent="0.3"/>
  <cols>
    <col min="1" max="1" width="39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aca="1" ref="B2" ca="1">MIN(MMULT(TRANSPOSE(B3:B10),D3:D10-C3:C10)/SUM(D3:D10-C3:C10)+0.0005,1)</f>
        <v>1</v>
      </c>
      <c r="C2" s="22" cm="1">
        <f t="array" ref="C2">get_start_date(E2,holidays)</f>
        <v>44796</v>
      </c>
      <c r="D2" s="23">
        <f>MAX(D3:D10)</f>
        <v>44860</v>
      </c>
      <c r="E2" s="23">
        <f>MIN(E3:E10)</f>
        <v>44796</v>
      </c>
      <c r="F2" s="24" cm="1">
        <f t="array" ref="F2">SUM(IF(WEEKDAY(_xlfn.SEQUENCE(D2-C2,1,C2,1),2)&lt;6,1,0))-SUM(IF(ISERROR(MATCH(_xlfn.SEQUENCE(D2-C2,1,C2,1),holidays,0)&gt;0)=FALSE,1,0))</f>
        <v>42</v>
      </c>
    </row>
    <row r="3" spans="1:9" x14ac:dyDescent="0.3">
      <c r="A3" s="59" t="s">
        <v>237</v>
      </c>
      <c r="B3" s="58">
        <v>1</v>
      </c>
      <c r="C3" s="10" cm="1">
        <f t="array" ref="C3">get_start_date(E3,holidays)</f>
        <v>44796</v>
      </c>
      <c r="D3" s="11" cm="1">
        <f t="array" ref="D3">get_finish_date(C3,holidays,F3)</f>
        <v>44797</v>
      </c>
      <c r="E3" s="12">
        <v>44796</v>
      </c>
      <c r="F3" s="60">
        <v>1</v>
      </c>
      <c r="G3" s="25"/>
      <c r="I3" s="26"/>
    </row>
    <row r="4" spans="1:9" x14ac:dyDescent="0.3">
      <c r="A4" s="59" t="s">
        <v>331</v>
      </c>
      <c r="B4" s="58">
        <v>1</v>
      </c>
      <c r="C4" s="10" cm="1">
        <f t="array" ref="C4">get_start_date(E4,holidays)</f>
        <v>44797</v>
      </c>
      <c r="D4" s="11" cm="1">
        <f t="array" ref="D4">get_finish_date(C4,holidays,F4)</f>
        <v>44799</v>
      </c>
      <c r="E4" s="12">
        <f t="shared" ref="E4:E6" si="0">D3</f>
        <v>44797</v>
      </c>
      <c r="F4" s="60">
        <v>2</v>
      </c>
      <c r="G4" s="25"/>
    </row>
    <row r="5" spans="1:9" x14ac:dyDescent="0.3">
      <c r="A5" s="59" t="s">
        <v>332</v>
      </c>
      <c r="B5" s="58">
        <v>1</v>
      </c>
      <c r="C5" s="10" cm="1">
        <f t="array" ref="C5">get_start_date(E5,holidays)</f>
        <v>44799</v>
      </c>
      <c r="D5" s="11" cm="1">
        <f t="array" ref="D5">get_finish_date(C5,holidays,F5)</f>
        <v>44799</v>
      </c>
      <c r="E5" s="12">
        <f t="shared" si="0"/>
        <v>44799</v>
      </c>
      <c r="F5" s="60"/>
      <c r="G5" s="25"/>
    </row>
    <row r="6" spans="1:9" x14ac:dyDescent="0.3">
      <c r="A6" s="59" t="s">
        <v>333</v>
      </c>
      <c r="B6" s="58">
        <v>1</v>
      </c>
      <c r="C6" s="10" cm="1">
        <f t="array" ref="C6">get_start_date(E6,holidays)</f>
        <v>44799</v>
      </c>
      <c r="D6" s="11" cm="1">
        <f t="array" ref="D6">get_finish_date(C6,holidays,F6)</f>
        <v>44803</v>
      </c>
      <c r="E6" s="12">
        <f t="shared" si="0"/>
        <v>44799</v>
      </c>
      <c r="F6" s="60">
        <v>2</v>
      </c>
      <c r="G6" s="25"/>
    </row>
    <row r="7" spans="1:9" x14ac:dyDescent="0.3">
      <c r="A7" s="59" t="s">
        <v>334</v>
      </c>
      <c r="B7" s="58">
        <v>1</v>
      </c>
      <c r="C7" s="11" cm="1">
        <f t="array" ref="C7">get_start_date(E7,holidays)</f>
        <v>44799</v>
      </c>
      <c r="D7" s="11" cm="1">
        <f t="array" ref="D7">get_finish_date(C7,holidays,F7)</f>
        <v>44799</v>
      </c>
      <c r="E7" s="12">
        <f>D4</f>
        <v>44799</v>
      </c>
      <c r="F7" s="60"/>
      <c r="G7" s="25"/>
    </row>
    <row r="8" spans="1:9" x14ac:dyDescent="0.3">
      <c r="A8" s="59" t="s">
        <v>335</v>
      </c>
      <c r="B8" s="30">
        <f ca="1">IFERROR(MAX(MIN(TODAY()-C8,D8-C8),0)/(D8-C8),0)</f>
        <v>1</v>
      </c>
      <c r="C8" s="11" cm="1">
        <f t="array" ref="C8">get_start_date(E8,holidays)</f>
        <v>44799</v>
      </c>
      <c r="D8" s="11" cm="1">
        <f t="array" ref="D8">get_finish_date(C8,holidays,F8)</f>
        <v>44840</v>
      </c>
      <c r="E8" s="12">
        <f>D5</f>
        <v>44799</v>
      </c>
      <c r="F8" s="60">
        <v>29</v>
      </c>
      <c r="G8" s="25"/>
    </row>
    <row r="9" spans="1:9" ht="25" x14ac:dyDescent="0.3">
      <c r="A9" s="59" t="s">
        <v>336</v>
      </c>
      <c r="B9" s="30">
        <f ca="1">IFERROR(MAX(MIN(TODAY()-C9,D9-C9),0)/(D9-C9),0)</f>
        <v>1</v>
      </c>
      <c r="C9" s="11" cm="1">
        <f t="array" ref="C9">get_start_date(E9,holidays)</f>
        <v>44840</v>
      </c>
      <c r="D9" s="11" cm="1">
        <f t="array" ref="D9">get_finish_date(C9,holidays,F9)</f>
        <v>44846</v>
      </c>
      <c r="E9" s="12">
        <f>D8</f>
        <v>44840</v>
      </c>
      <c r="F9" s="60">
        <v>3</v>
      </c>
      <c r="G9" s="25"/>
    </row>
    <row r="10" spans="1:9" ht="25" x14ac:dyDescent="0.3">
      <c r="A10" s="59" t="s">
        <v>337</v>
      </c>
      <c r="B10" s="30">
        <f ca="1">IFERROR(MAX(MIN(TODAY()-C10,D10-C10),0)/(D10-C10),0)</f>
        <v>1</v>
      </c>
      <c r="C10" s="11" cm="1">
        <f t="array" ref="C10">get_start_date(E10,holidays)</f>
        <v>44846</v>
      </c>
      <c r="D10" s="11" cm="1">
        <f t="array" ref="D10">get_finish_date(C10,holidays,F10)</f>
        <v>44860</v>
      </c>
      <c r="E10" s="12">
        <f>D9</f>
        <v>44846</v>
      </c>
      <c r="F10" s="60">
        <v>7</v>
      </c>
      <c r="G10" s="25"/>
    </row>
  </sheetData>
  <dataValidations count="3">
    <dataValidation type="decimal" allowBlank="1" showInputMessage="1" showErrorMessage="1" prompt="Actual project completion (%)" sqref="B2:B10" xr:uid="{810D61AC-99D4-4150-8612-0978B4B89757}">
      <formula1>0</formula1>
      <formula2>1</formula2>
    </dataValidation>
    <dataValidation type="date" allowBlank="1" showInputMessage="1" showErrorMessage="1" sqref="C2:E10" xr:uid="{A322C2E7-DFF4-4124-B7D6-6969258C5CA9}">
      <formula1>44562</formula1>
      <formula2>219148</formula2>
    </dataValidation>
    <dataValidation type="whole" allowBlank="1" showInputMessage="1" showErrorMessage="1" prompt="Number of working days" sqref="F2:F10" xr:uid="{EDC51E34-DAF7-49DF-9BBA-0534B0DC133F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2E1E6-412D-46D2-8124-EC2AB47C6F3E}">
  <sheetPr codeName="Sheet18"/>
  <dimension ref="A1:I5"/>
  <sheetViews>
    <sheetView showGridLines="0" zoomScaleNormal="100" workbookViewId="0">
      <selection activeCell="C15" sqref="C15"/>
    </sheetView>
  </sheetViews>
  <sheetFormatPr defaultColWidth="8" defaultRowHeight="12.5" x14ac:dyDescent="0.3"/>
  <cols>
    <col min="1" max="1" width="39" style="15" customWidth="1"/>
    <col min="2" max="6" width="10" style="15" customWidth="1"/>
    <col min="7" max="16384" width="8" style="15"/>
  </cols>
  <sheetData>
    <row r="1" spans="1:9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9" ht="20.149999999999999" customHeight="1" x14ac:dyDescent="0.3">
      <c r="A2" s="27" t="s">
        <v>209</v>
      </c>
      <c r="B2" s="21" cm="1">
        <f t="array" aca="1" ref="B2" ca="1">MIN(MMULT(TRANSPOSE(B3:B5),D3:D5-C3:C5)/SUM(D3:D5-C3:C5)+0.0005,1)</f>
        <v>1</v>
      </c>
      <c r="C2" s="23" cm="1">
        <f t="array" ref="C2">get_start_date(E2,holidays)</f>
        <v>44910</v>
      </c>
      <c r="D2" s="23">
        <f>MAX(D3:D5)</f>
        <v>44922</v>
      </c>
      <c r="E2" s="23">
        <f>MIN(E3:E5)</f>
        <v>44910</v>
      </c>
      <c r="F2" s="24" cm="1">
        <f t="array" ref="F2">SUM(IF(WEEKDAY(_xlfn.SEQUENCE(D2-C2,1,C2,1),2)&lt;6,1,0))-SUM(IF(ISERROR(MATCH(_xlfn.SEQUENCE(D2-C2,1,C2,1),holidays,0)&gt;0)=FALSE,1,0))</f>
        <v>8</v>
      </c>
    </row>
    <row r="3" spans="1:9" x14ac:dyDescent="0.3">
      <c r="A3" s="59" t="s">
        <v>338</v>
      </c>
      <c r="B3" s="30">
        <f ca="1">IFERROR(MAX(MIN(TODAY()-C3,D3-C3),0)/(D3-C3),0)</f>
        <v>1</v>
      </c>
      <c r="C3" s="11" cm="1">
        <f t="array" ref="C3">get_start_date(E3,holidays)</f>
        <v>44910</v>
      </c>
      <c r="D3" s="11" cm="1">
        <f t="array" ref="D3">get_finish_date(C3,holidays,F3)</f>
        <v>44915</v>
      </c>
      <c r="E3" s="12">
        <v>44910</v>
      </c>
      <c r="F3" s="70">
        <v>3</v>
      </c>
      <c r="G3" s="25"/>
      <c r="I3" s="26"/>
    </row>
    <row r="4" spans="1:9" x14ac:dyDescent="0.3">
      <c r="A4" s="59" t="s">
        <v>339</v>
      </c>
      <c r="B4" s="30">
        <f ca="1">IFERROR(MAX(MIN(TODAY()-C4,D4-C4),0)/(D4-C4),0)</f>
        <v>1</v>
      </c>
      <c r="C4" s="11" cm="1">
        <f t="array" ref="C4">get_start_date(E4,holidays)</f>
        <v>44915</v>
      </c>
      <c r="D4" s="11" cm="1">
        <f t="array" ref="D4">get_finish_date(C4,holidays,F4)</f>
        <v>44918</v>
      </c>
      <c r="E4" s="12">
        <f>D3</f>
        <v>44915</v>
      </c>
      <c r="F4" s="70">
        <v>3</v>
      </c>
      <c r="G4" s="25" t="s">
        <v>340</v>
      </c>
    </row>
    <row r="5" spans="1:9" x14ac:dyDescent="0.3">
      <c r="A5" s="59" t="s">
        <v>341</v>
      </c>
      <c r="B5" s="30">
        <f ca="1">IFERROR(MAX(MIN(TODAY()-C5,D5-C5),0)/(D5-C5),0)</f>
        <v>1</v>
      </c>
      <c r="C5" s="11" cm="1">
        <f t="array" ref="C5">get_start_date(E5,holidays)</f>
        <v>44918</v>
      </c>
      <c r="D5" s="11" cm="1">
        <f t="array" ref="D5">get_finish_date(C5,holidays,F5)</f>
        <v>44922</v>
      </c>
      <c r="E5" s="12">
        <f>D4</f>
        <v>44918</v>
      </c>
      <c r="F5" s="70">
        <v>2</v>
      </c>
      <c r="G5" s="25"/>
    </row>
  </sheetData>
  <dataValidations count="3">
    <dataValidation type="whole" allowBlank="1" showInputMessage="1" showErrorMessage="1" prompt="Number of working days" sqref="F2:F5" xr:uid="{A92A5CA7-B48E-4773-9E6D-D7521016EFD0}">
      <formula1>0</formula1>
      <formula2>1000</formula2>
    </dataValidation>
    <dataValidation type="date" allowBlank="1" showInputMessage="1" showErrorMessage="1" sqref="C2:E5" xr:uid="{149A7EEC-D906-42C3-A82F-E73E5D1524A9}">
      <formula1>44562</formula1>
      <formula2>219148</formula2>
    </dataValidation>
    <dataValidation type="decimal" allowBlank="1" showInputMessage="1" showErrorMessage="1" prompt="Actual project completion (%)" sqref="B2:B5" xr:uid="{24CC627F-E424-4DBC-BC7B-B3AACAECF430}">
      <formula1>0</formula1>
      <formula2>1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2D109-B777-4FB2-B087-D9B685C4BD90}">
  <sheetPr codeName="Sheet19"/>
  <dimension ref="A1:H13"/>
  <sheetViews>
    <sheetView showGridLines="0" zoomScale="140" zoomScaleNormal="140" workbookViewId="0">
      <selection activeCell="C17" sqref="C17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MIN(MMULT(TRANSPOSE(B3:B13),D3:D13-C3:C13)/SUM(D3:D13-C3:C13)+0.0005,1)</f>
        <v>1</v>
      </c>
      <c r="C2" s="22" cm="1">
        <f t="array" ref="C2">get_start_date(E2,holidays)</f>
        <v>44827</v>
      </c>
      <c r="D2" s="23">
        <f>MAX(D3:D13)</f>
        <v>44869</v>
      </c>
      <c r="E2" s="23">
        <f>MIN(E3:E13)</f>
        <v>44827</v>
      </c>
      <c r="F2" s="24" cm="1">
        <f t="array" ref="F2">SUM(IF(WEEKDAY(_xlfn.SEQUENCE(D2-C2,1,C2,1),2)&lt;6,1,0))-SUM(IF(ISERROR(MATCH(_xlfn.SEQUENCE(D2-C2,1,C2,1),holidays,0)&gt;0)=FALSE,1,0))</f>
        <v>26</v>
      </c>
      <c r="H2" s="26"/>
    </row>
    <row r="3" spans="1:8" x14ac:dyDescent="0.3">
      <c r="A3" s="84" t="s">
        <v>237</v>
      </c>
      <c r="B3" s="9">
        <f t="shared" ref="B3:B9" ca="1" si="0">IFERROR(MAX(MIN(TODAY()-C3,D3-C3),0)/(D3-C3),0)</f>
        <v>1</v>
      </c>
      <c r="C3" s="10" cm="1">
        <f t="array" ref="C3">get_start_date(E3,holidays)</f>
        <v>44827</v>
      </c>
      <c r="D3" s="11" cm="1">
        <f t="array" ref="D3">get_finish_date(C3,holidays,F3)</f>
        <v>44828</v>
      </c>
      <c r="E3" s="12">
        <v>44827</v>
      </c>
      <c r="F3" s="19">
        <v>1</v>
      </c>
      <c r="G3" s="25"/>
      <c r="H3" s="26"/>
    </row>
    <row r="4" spans="1:8" x14ac:dyDescent="0.3">
      <c r="A4" s="84" t="s">
        <v>342</v>
      </c>
      <c r="B4" s="9">
        <f t="shared" ca="1" si="0"/>
        <v>1</v>
      </c>
      <c r="C4" s="10" cm="1">
        <f t="array" ref="C4">get_start_date(E4,holidays)</f>
        <v>44830</v>
      </c>
      <c r="D4" s="11" cm="1">
        <f t="array" ref="D4">get_finish_date(C4,holidays,F4)</f>
        <v>44833</v>
      </c>
      <c r="E4" s="12">
        <f t="shared" ref="E4" si="1">D3</f>
        <v>44828</v>
      </c>
      <c r="F4" s="19">
        <v>3</v>
      </c>
      <c r="G4" s="25"/>
      <c r="H4" s="26"/>
    </row>
    <row r="5" spans="1:8" x14ac:dyDescent="0.3">
      <c r="A5" s="84" t="s">
        <v>343</v>
      </c>
      <c r="B5" s="9">
        <f t="shared" ca="1" si="0"/>
        <v>1</v>
      </c>
      <c r="C5" s="10" cm="1">
        <f t="array" ref="C5">get_start_date(E5,holidays)</f>
        <v>44831</v>
      </c>
      <c r="D5" s="11" cm="1">
        <f t="array" ref="D5">get_finish_date(C5,holidays,F5)</f>
        <v>44833</v>
      </c>
      <c r="E5" s="12">
        <v>44831</v>
      </c>
      <c r="F5" s="19">
        <v>2</v>
      </c>
      <c r="G5" s="25"/>
      <c r="H5" s="26"/>
    </row>
    <row r="6" spans="1:8" x14ac:dyDescent="0.3">
      <c r="A6" s="84" t="s">
        <v>344</v>
      </c>
      <c r="B6" s="9">
        <v>1</v>
      </c>
      <c r="C6" s="10" cm="1">
        <f t="array" ref="C6">get_start_date(E6,holidays)</f>
        <v>44833</v>
      </c>
      <c r="D6" s="11" cm="1">
        <f t="array" ref="D6">get_finish_date(C6,holidays,F6)</f>
        <v>44833</v>
      </c>
      <c r="E6" s="12">
        <v>44833</v>
      </c>
      <c r="F6" s="19">
        <v>0</v>
      </c>
      <c r="G6" s="25"/>
      <c r="H6" s="26"/>
    </row>
    <row r="7" spans="1:8" x14ac:dyDescent="0.3">
      <c r="A7" s="85" t="s">
        <v>345</v>
      </c>
      <c r="B7" s="9">
        <v>1</v>
      </c>
      <c r="C7" s="10" cm="1">
        <f t="array" ref="C7">get_start_date(E7,holidays)</f>
        <v>44833</v>
      </c>
      <c r="D7" s="11" cm="1">
        <f t="array" ref="D7">get_finish_date(C7,holidays,F7)</f>
        <v>44839</v>
      </c>
      <c r="E7" s="12">
        <f>D4</f>
        <v>44833</v>
      </c>
      <c r="F7" s="19">
        <v>4</v>
      </c>
      <c r="G7" s="25"/>
      <c r="H7" s="26"/>
    </row>
    <row r="8" spans="1:8" x14ac:dyDescent="0.3">
      <c r="A8" s="85" t="s">
        <v>245</v>
      </c>
      <c r="B8" s="9">
        <f t="shared" ca="1" si="0"/>
        <v>1</v>
      </c>
      <c r="C8" s="10" cm="1">
        <f t="array" ref="C8">get_start_date(E8,holidays)</f>
        <v>44839</v>
      </c>
      <c r="D8" s="11" cm="1">
        <f t="array" ref="D8">get_finish_date(C8,holidays,F8)</f>
        <v>44840</v>
      </c>
      <c r="E8" s="12">
        <f>D7</f>
        <v>44839</v>
      </c>
      <c r="F8" s="19">
        <v>1</v>
      </c>
      <c r="G8" s="25"/>
      <c r="H8" s="26"/>
    </row>
    <row r="9" spans="1:8" x14ac:dyDescent="0.3">
      <c r="A9" s="83" t="s">
        <v>346</v>
      </c>
      <c r="B9" s="9">
        <f t="shared" ca="1" si="0"/>
        <v>1</v>
      </c>
      <c r="C9" s="10" cm="1">
        <f t="array" ref="C9">get_start_date(E9,holidays)</f>
        <v>44840</v>
      </c>
      <c r="D9" s="11" cm="1">
        <f t="array" ref="D9">get_finish_date(C9,holidays,F9)</f>
        <v>44847</v>
      </c>
      <c r="E9" s="12">
        <f>D8</f>
        <v>44840</v>
      </c>
      <c r="F9" s="19">
        <v>4</v>
      </c>
    </row>
    <row r="10" spans="1:8" x14ac:dyDescent="0.3">
      <c r="A10" s="83" t="s">
        <v>347</v>
      </c>
      <c r="B10" s="9">
        <v>1</v>
      </c>
      <c r="C10" s="10" cm="1">
        <f t="array" ref="C10">get_start_date(E10,holidays)</f>
        <v>44851</v>
      </c>
      <c r="D10" s="11" cm="1">
        <f t="array" ref="D10">get_finish_date(C10,holidays,F10)</f>
        <v>44853</v>
      </c>
      <c r="E10" s="12">
        <f>D9</f>
        <v>44847</v>
      </c>
      <c r="F10" s="19">
        <v>2</v>
      </c>
    </row>
    <row r="11" spans="1:8" x14ac:dyDescent="0.3">
      <c r="A11" s="68" t="s">
        <v>348</v>
      </c>
      <c r="B11" s="9">
        <f t="shared" ref="B11:B12" ca="1" si="2">IFERROR(MAX(MIN(TODAY()-C11,D11-C11),0)/(D11-C11),0)</f>
        <v>1</v>
      </c>
      <c r="C11" s="10" cm="1">
        <f t="array" ref="C11">get_start_date(E11,holidays)</f>
        <v>44840</v>
      </c>
      <c r="D11" s="11" cm="1">
        <f t="array" ref="D11">get_finish_date(C11,holidays,F11)</f>
        <v>44852</v>
      </c>
      <c r="E11" s="12">
        <f>D8</f>
        <v>44840</v>
      </c>
      <c r="F11" s="19">
        <v>5</v>
      </c>
    </row>
    <row r="12" spans="1:8" x14ac:dyDescent="0.3">
      <c r="A12" s="83" t="s">
        <v>349</v>
      </c>
      <c r="B12" s="9">
        <f t="shared" ca="1" si="2"/>
        <v>1</v>
      </c>
      <c r="C12" s="10" cm="1">
        <f t="array" ref="C12">get_start_date(E12,holidays)</f>
        <v>44866</v>
      </c>
      <c r="D12" s="11" cm="1">
        <f t="array" ref="D12">get_finish_date(C12,holidays,F12)</f>
        <v>44867</v>
      </c>
      <c r="E12" s="12">
        <v>44866</v>
      </c>
      <c r="F12" s="19">
        <v>1</v>
      </c>
    </row>
    <row r="13" spans="1:8" x14ac:dyDescent="0.3">
      <c r="A13" s="68" t="s">
        <v>350</v>
      </c>
      <c r="B13" s="9">
        <f t="shared" ref="B13" ca="1" si="3">IFERROR(MAX(MIN(TODAY()-C13,D13-C13),0)/(D13-C13),0)</f>
        <v>1</v>
      </c>
      <c r="C13" s="10" cm="1">
        <f t="array" ref="C13">get_start_date(E13,holidays)</f>
        <v>44868</v>
      </c>
      <c r="D13" s="11" cm="1">
        <f t="array" ref="D13">get_finish_date(C13,holidays,F13)</f>
        <v>44869</v>
      </c>
      <c r="E13" s="12">
        <v>44868</v>
      </c>
      <c r="F13" s="19">
        <v>1</v>
      </c>
    </row>
  </sheetData>
  <dataValidations disablePrompts="1" count="3">
    <dataValidation type="date" allowBlank="1" showInputMessage="1" showErrorMessage="1" sqref="C2:E8 C9:D13" xr:uid="{B3C1BEF2-2FB3-47CF-B7C1-A88201EFD9A2}">
      <formula1>44562</formula1>
      <formula2>219148</formula2>
    </dataValidation>
    <dataValidation type="whole" allowBlank="1" showInputMessage="1" showErrorMessage="1" prompt="Number of working days" sqref="F2:F8" xr:uid="{5DBF715D-9696-4512-B91D-F7BF2194D488}">
      <formula1>0</formula1>
      <formula2>1000</formula2>
    </dataValidation>
    <dataValidation type="decimal" allowBlank="1" showInputMessage="1" showErrorMessage="1" prompt="Actual project completion (%)" sqref="B2:B13" xr:uid="{1A674117-28D9-4088-9643-3FB7FDCA126F}">
      <formula1>0</formula1>
      <formula2>1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B746F-E63A-4681-9F85-75EFA3658A6D}">
  <sheetPr codeName="Sheet20"/>
  <dimension ref="A1:H14"/>
  <sheetViews>
    <sheetView showGridLines="0" zoomScale="140" zoomScaleNormal="140" workbookViewId="0"/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MIN(MMULT(TRANSPOSE(B3:B14),D3:D14-C3:C14)/SUM(D3:D14-C3:C14)+0.005,1)</f>
        <v>1</v>
      </c>
      <c r="C2" s="22" cm="1">
        <f t="array" ref="C2">get_start_date(E2,holidays)</f>
        <v>44827</v>
      </c>
      <c r="D2" s="23">
        <f>MAX(D3:D14)</f>
        <v>44868</v>
      </c>
      <c r="E2" s="23">
        <f>MIN(E3:E14)</f>
        <v>44827</v>
      </c>
      <c r="F2" s="24" cm="1">
        <f t="array" ref="F2">SUM(IF(WEEKDAY(_xlfn.SEQUENCE(D2-C2,1,C2,1),2)&lt;6,1,0))-SUM(IF(ISERROR(MATCH(_xlfn.SEQUENCE(D2-C2,1,C2,1),holidays,0)&gt;0)=FALSE,1,0))</f>
        <v>25</v>
      </c>
      <c r="G2" s="15" t="s">
        <v>351</v>
      </c>
      <c r="H2" s="26"/>
    </row>
    <row r="3" spans="1:8" x14ac:dyDescent="0.3">
      <c r="A3" s="8" t="s">
        <v>352</v>
      </c>
      <c r="B3" s="9">
        <f t="shared" ref="B3:B8" ca="1" si="0">IFERROR(MAX(MIN(TODAY()-C3,D3-C3),0)/(D3-C3),0)</f>
        <v>1</v>
      </c>
      <c r="C3" s="10" cm="1">
        <f t="array" ref="C3">get_start_date(E3,holidays)</f>
        <v>44827</v>
      </c>
      <c r="D3" s="11" cm="1">
        <f t="array" ref="D3">get_finish_date(C3,holidays,F3)</f>
        <v>44833</v>
      </c>
      <c r="E3" s="12">
        <v>44827</v>
      </c>
      <c r="F3" s="19">
        <v>4</v>
      </c>
      <c r="G3" s="25"/>
      <c r="H3" s="26"/>
    </row>
    <row r="4" spans="1:8" x14ac:dyDescent="0.3">
      <c r="A4" s="8" t="s">
        <v>353</v>
      </c>
      <c r="B4" s="9">
        <v>0</v>
      </c>
      <c r="C4" s="10" cm="1">
        <f t="array" ref="C4">get_start_date(E4,holidays)</f>
        <v>44833</v>
      </c>
      <c r="D4" s="11" cm="1">
        <f t="array" ref="D4">get_finish_date(C4,holidays,F4)</f>
        <v>44833</v>
      </c>
      <c r="E4" s="12">
        <v>44833</v>
      </c>
      <c r="F4" s="19">
        <v>0</v>
      </c>
      <c r="G4" s="25"/>
      <c r="H4" s="26"/>
    </row>
    <row r="5" spans="1:8" x14ac:dyDescent="0.3">
      <c r="A5" s="8" t="s">
        <v>354</v>
      </c>
      <c r="B5" s="9">
        <f t="shared" ca="1" si="0"/>
        <v>1</v>
      </c>
      <c r="C5" s="10" cm="1">
        <f t="array" ref="C5">get_start_date(E5,holidays)</f>
        <v>44833</v>
      </c>
      <c r="D5" s="11" cm="1">
        <f t="array" ref="D5">get_finish_date(C5,holidays,F5)</f>
        <v>44838</v>
      </c>
      <c r="E5" s="12">
        <f t="shared" ref="E5" si="1">D3</f>
        <v>44833</v>
      </c>
      <c r="F5" s="19">
        <v>3</v>
      </c>
      <c r="G5" s="25"/>
      <c r="H5" s="26"/>
    </row>
    <row r="6" spans="1:8" x14ac:dyDescent="0.3">
      <c r="A6" s="8" t="s">
        <v>355</v>
      </c>
      <c r="B6" s="9">
        <f t="shared" ca="1" si="0"/>
        <v>1</v>
      </c>
      <c r="C6" s="10" cm="1">
        <f t="array" ref="C6">get_start_date(E6,holidays)</f>
        <v>44838</v>
      </c>
      <c r="D6" s="11" cm="1">
        <f t="array" ref="D6">get_finish_date(C6,holidays,F6)</f>
        <v>44839</v>
      </c>
      <c r="E6" s="12">
        <v>44838</v>
      </c>
      <c r="F6" s="19">
        <v>1</v>
      </c>
      <c r="G6" s="25"/>
      <c r="H6" s="26"/>
    </row>
    <row r="7" spans="1:8" x14ac:dyDescent="0.3">
      <c r="A7" s="14" t="s">
        <v>237</v>
      </c>
      <c r="B7" s="9">
        <f t="shared" ca="1" si="0"/>
        <v>1</v>
      </c>
      <c r="C7" s="10" cm="1">
        <f t="array" ref="C7">get_start_date(E7,holidays)</f>
        <v>44838</v>
      </c>
      <c r="D7" s="11" cm="1">
        <f t="array" ref="D7">get_finish_date(C7,holidays,F7)</f>
        <v>44841</v>
      </c>
      <c r="E7" s="12">
        <f>D5</f>
        <v>44838</v>
      </c>
      <c r="F7" s="19">
        <v>3</v>
      </c>
      <c r="G7" s="25"/>
      <c r="H7" s="26"/>
    </row>
    <row r="8" spans="1:8" x14ac:dyDescent="0.3">
      <c r="A8" s="14" t="s">
        <v>356</v>
      </c>
      <c r="B8" s="9">
        <f t="shared" ca="1" si="0"/>
        <v>1</v>
      </c>
      <c r="C8" s="10" cm="1">
        <f t="array" ref="C8">get_start_date(E8,holidays)</f>
        <v>44844</v>
      </c>
      <c r="D8" s="11" cm="1">
        <f t="array" ref="D8">get_finish_date(C8,holidays,F8)</f>
        <v>44847</v>
      </c>
      <c r="E8" s="12">
        <f>D7</f>
        <v>44841</v>
      </c>
      <c r="F8" s="19">
        <v>3</v>
      </c>
      <c r="G8" s="25"/>
      <c r="H8" s="26"/>
    </row>
    <row r="9" spans="1:8" x14ac:dyDescent="0.3">
      <c r="A9" s="14" t="s">
        <v>357</v>
      </c>
      <c r="B9" s="9">
        <v>1</v>
      </c>
      <c r="C9" s="10" cm="1">
        <f t="array" ref="C9">get_start_date(E9,holidays)</f>
        <v>44851</v>
      </c>
      <c r="D9" s="11" cm="1">
        <f t="array" ref="D9">get_finish_date(C9,holidays,F9)</f>
        <v>44854</v>
      </c>
      <c r="E9" s="12">
        <f>D8</f>
        <v>44847</v>
      </c>
      <c r="F9" s="19">
        <v>3</v>
      </c>
      <c r="G9" s="25" t="s">
        <v>358</v>
      </c>
      <c r="H9" s="26"/>
    </row>
    <row r="10" spans="1:8" x14ac:dyDescent="0.3">
      <c r="A10" s="8" t="s">
        <v>359</v>
      </c>
      <c r="B10" s="9">
        <f t="shared" ref="B10" ca="1" si="2">IFERROR(MAX(MIN(TODAY()-C10,D10-C10),0)/(D10-C10),0)</f>
        <v>0</v>
      </c>
      <c r="C10" s="10" cm="1">
        <f t="array" ref="C10">get_start_date(E10,holidays)</f>
        <v>44854</v>
      </c>
      <c r="D10" s="11" cm="1">
        <f t="array" ref="D10">get_finish_date(C10,holidays,F10)</f>
        <v>44854</v>
      </c>
      <c r="E10" s="12">
        <v>44854</v>
      </c>
      <c r="F10" s="19">
        <v>0</v>
      </c>
      <c r="G10" s="25"/>
      <c r="H10" s="26"/>
    </row>
    <row r="11" spans="1:8" x14ac:dyDescent="0.3">
      <c r="A11" s="8" t="s">
        <v>360</v>
      </c>
      <c r="B11" s="9">
        <v>1</v>
      </c>
      <c r="C11" s="10" cm="1">
        <f t="array" ref="C11">get_start_date(E11,holidays)</f>
        <v>44854</v>
      </c>
      <c r="D11" s="11" cm="1">
        <f t="array" ref="D11">get_finish_date(C11,holidays,F11)</f>
        <v>44861</v>
      </c>
      <c r="E11" s="12">
        <v>44854</v>
      </c>
      <c r="F11" s="19">
        <v>4</v>
      </c>
      <c r="G11" s="25" t="s">
        <v>358</v>
      </c>
      <c r="H11" s="26"/>
    </row>
    <row r="12" spans="1:8" x14ac:dyDescent="0.3">
      <c r="A12" s="8" t="s">
        <v>361</v>
      </c>
      <c r="B12" s="9">
        <f t="shared" ref="B12" ca="1" si="3">IFERROR(MAX(MIN(TODAY()-C12,D12-C12),0)/(D12-C12),0)</f>
        <v>0</v>
      </c>
      <c r="C12" s="10" cm="1">
        <f t="array" ref="C12">get_start_date(E12,holidays)</f>
        <v>44861</v>
      </c>
      <c r="D12" s="11" cm="1">
        <f t="array" ref="D12">get_finish_date(C12,holidays,F12)</f>
        <v>44861</v>
      </c>
      <c r="E12" s="12">
        <f>D11</f>
        <v>44861</v>
      </c>
      <c r="F12" s="19">
        <v>0</v>
      </c>
      <c r="G12" s="25"/>
      <c r="H12" s="26"/>
    </row>
    <row r="13" spans="1:8" x14ac:dyDescent="0.3">
      <c r="A13" s="8" t="s">
        <v>362</v>
      </c>
      <c r="B13" s="9">
        <v>1</v>
      </c>
      <c r="C13" s="10" cm="1">
        <f t="array" ref="C13">get_start_date(E13,holidays)</f>
        <v>44862</v>
      </c>
      <c r="D13" s="11" cm="1">
        <f t="array" ref="D13">get_finish_date(C13,holidays,F13)</f>
        <v>44868</v>
      </c>
      <c r="E13" s="12">
        <v>44862</v>
      </c>
      <c r="F13" s="19">
        <v>4</v>
      </c>
      <c r="G13" s="25" t="s">
        <v>358</v>
      </c>
    </row>
    <row r="14" spans="1:8" x14ac:dyDescent="0.3">
      <c r="A14" s="8" t="s">
        <v>363</v>
      </c>
      <c r="B14" s="9">
        <f t="shared" ref="B14" ca="1" si="4">IFERROR(MAX(MIN(TODAY()-C14,D14-C14),0)/(D14-C14),0)</f>
        <v>0</v>
      </c>
      <c r="C14" s="10" cm="1">
        <f t="array" ref="C14">get_start_date(E14,holidays)</f>
        <v>44868</v>
      </c>
      <c r="D14" s="11" cm="1">
        <f t="array" ref="D14">get_finish_date(C14,holidays,F14)</f>
        <v>44868</v>
      </c>
      <c r="E14" s="12">
        <f>D13</f>
        <v>44868</v>
      </c>
      <c r="F14" s="19">
        <v>0</v>
      </c>
      <c r="G14" s="25"/>
    </row>
  </sheetData>
  <dataValidations count="3">
    <dataValidation type="decimal" allowBlank="1" showInputMessage="1" showErrorMessage="1" prompt="Actual project completion (%)" sqref="B2:B14" xr:uid="{EDAD9862-D95B-45B2-80E6-B2FEFD9FEB73}">
      <formula1>0</formula1>
      <formula2>1</formula2>
    </dataValidation>
    <dataValidation type="date" allowBlank="1" showInputMessage="1" showErrorMessage="1" sqref="C2:E14" xr:uid="{C9F38533-BC9F-4767-9B71-57CA3828B2A6}">
      <formula1>44562</formula1>
      <formula2>219148</formula2>
    </dataValidation>
    <dataValidation type="whole" allowBlank="1" showInputMessage="1" showErrorMessage="1" prompt="Number of working days" sqref="F2:F14" xr:uid="{E9FA760A-1299-4726-8543-5E99EA5D0132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4F50-D324-48F6-A255-1A6D69BF06E9}">
  <sheetPr codeName="Sheet21"/>
  <dimension ref="A1:H14"/>
  <sheetViews>
    <sheetView showGridLines="0" zoomScale="150" zoomScaleNormal="150" workbookViewId="0">
      <selection activeCell="G11" sqref="G11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MIN(MMULT(TRANSPOSE(B3:B14),D3:D14-C3:C14)/SUM(D3:D14-C3:C14)+0.005,1)</f>
        <v>1</v>
      </c>
      <c r="C2" s="22" cm="1">
        <f t="array" ref="C2">get_start_date(E2,holidays)</f>
        <v>44837</v>
      </c>
      <c r="D2" s="23">
        <f>MAX(D3:D14)</f>
        <v>44895</v>
      </c>
      <c r="E2" s="23">
        <f>MIN(E3:E14)</f>
        <v>44837</v>
      </c>
      <c r="F2" s="24" cm="1">
        <f t="array" ref="F2">SUM(IF(WEEKDAY(_xlfn.SEQUENCE(D2-C2,1,C2,1),2)&lt;6,1,0))-SUM(IF(ISERROR(MATCH(_xlfn.SEQUENCE(D2-C2,1,C2,1),holidays,0)&gt;0)=FALSE,1,0))</f>
        <v>38</v>
      </c>
      <c r="H2" s="26"/>
    </row>
    <row r="3" spans="1:8" x14ac:dyDescent="0.3">
      <c r="A3" s="8" t="s">
        <v>236</v>
      </c>
      <c r="B3" s="9">
        <f t="shared" ref="B3" ca="1" si="0">IFERROR(MAX(MIN(TODAY()-C3,D3-C3),0)/(D3-C3),0)</f>
        <v>1</v>
      </c>
      <c r="C3" s="10" cm="1">
        <f t="array" ref="C3">get_start_date(E3,holidays)</f>
        <v>44837</v>
      </c>
      <c r="D3" s="11" cm="1">
        <f t="array" ref="D3">get_finish_date(C3,holidays,F3)</f>
        <v>44841</v>
      </c>
      <c r="E3" s="12">
        <v>44837</v>
      </c>
      <c r="F3" s="19">
        <v>4</v>
      </c>
      <c r="G3" s="25"/>
      <c r="H3" s="26"/>
    </row>
    <row r="4" spans="1:8" x14ac:dyDescent="0.3">
      <c r="A4" s="8" t="s">
        <v>364</v>
      </c>
      <c r="B4" s="9">
        <v>1</v>
      </c>
      <c r="C4" s="10" cm="1">
        <f t="array" ref="C4">get_start_date(E4,holidays)</f>
        <v>44844</v>
      </c>
      <c r="D4" s="11" cm="1">
        <f t="array" ref="D4">get_finish_date(C4,holidays,F4)</f>
        <v>44855</v>
      </c>
      <c r="E4" s="12">
        <v>44844</v>
      </c>
      <c r="F4" s="19">
        <v>7</v>
      </c>
      <c r="G4" s="25"/>
      <c r="H4" s="26"/>
    </row>
    <row r="5" spans="1:8" x14ac:dyDescent="0.3">
      <c r="A5" s="8" t="s">
        <v>365</v>
      </c>
      <c r="B5" s="9">
        <v>1</v>
      </c>
      <c r="C5" s="10" cm="1">
        <f t="array" ref="C5">get_start_date(E5,holidays)</f>
        <v>44859</v>
      </c>
      <c r="D5" s="11" cm="1">
        <f t="array" ref="D5">get_finish_date(C5,holidays,F5)</f>
        <v>44859</v>
      </c>
      <c r="E5" s="12">
        <v>44859</v>
      </c>
      <c r="F5" s="19">
        <v>0</v>
      </c>
      <c r="G5" s="25"/>
      <c r="H5" s="26"/>
    </row>
    <row r="6" spans="1:8" x14ac:dyDescent="0.3">
      <c r="A6" s="8" t="s">
        <v>366</v>
      </c>
      <c r="B6" s="9">
        <v>1</v>
      </c>
      <c r="C6" s="10" cm="1">
        <f t="array" ref="C6">get_start_date(E6,holidays)</f>
        <v>44859</v>
      </c>
      <c r="D6" s="11" cm="1">
        <f t="array" ref="D6">get_finish_date(C6,holidays,F6)</f>
        <v>44862</v>
      </c>
      <c r="E6" s="12">
        <f>D5</f>
        <v>44859</v>
      </c>
      <c r="F6" s="19">
        <v>3</v>
      </c>
      <c r="G6" s="25" t="s">
        <v>367</v>
      </c>
      <c r="H6" s="26"/>
    </row>
    <row r="7" spans="1:8" x14ac:dyDescent="0.3">
      <c r="A7" s="8" t="s">
        <v>368</v>
      </c>
      <c r="B7" s="9">
        <v>1</v>
      </c>
      <c r="C7" s="10" cm="1">
        <f t="array" ref="C7">get_start_date(E7,holidays)</f>
        <v>44862</v>
      </c>
      <c r="D7" s="11" cm="1">
        <f t="array" ref="D7">get_finish_date(C7,holidays,F7)</f>
        <v>44863</v>
      </c>
      <c r="E7" s="12">
        <f>D6</f>
        <v>44862</v>
      </c>
      <c r="F7" s="19">
        <v>1</v>
      </c>
      <c r="G7" s="25"/>
      <c r="H7" s="26"/>
    </row>
    <row r="8" spans="1:8" x14ac:dyDescent="0.3">
      <c r="A8" s="14" t="s">
        <v>369</v>
      </c>
      <c r="B8" s="9">
        <v>1</v>
      </c>
      <c r="C8" s="10" cm="1">
        <f t="array" ref="C8">get_start_date(E8,holidays)</f>
        <v>44865</v>
      </c>
      <c r="D8" s="11" cm="1">
        <f t="array" ref="D8">get_finish_date(C8,holidays,F8)</f>
        <v>44873</v>
      </c>
      <c r="E8" s="12">
        <f>D7</f>
        <v>44863</v>
      </c>
      <c r="F8" s="19">
        <v>6</v>
      </c>
      <c r="G8" s="25"/>
      <c r="H8" s="26"/>
    </row>
    <row r="9" spans="1:8" x14ac:dyDescent="0.3">
      <c r="A9" s="14" t="s">
        <v>370</v>
      </c>
      <c r="B9" s="9">
        <v>1</v>
      </c>
      <c r="C9" s="10" cm="1">
        <f t="array" ref="C9">get_start_date(E9,holidays)</f>
        <v>44873</v>
      </c>
      <c r="D9" s="11" cm="1">
        <f t="array" ref="D9">get_finish_date(C9,holidays,F9)</f>
        <v>44874</v>
      </c>
      <c r="E9" s="12">
        <f>D8</f>
        <v>44873</v>
      </c>
      <c r="F9" s="19">
        <v>1</v>
      </c>
      <c r="G9" s="25"/>
      <c r="H9" s="26"/>
    </row>
    <row r="10" spans="1:8" x14ac:dyDescent="0.3">
      <c r="A10" s="14" t="s">
        <v>371</v>
      </c>
      <c r="B10" s="9">
        <v>1</v>
      </c>
      <c r="C10" s="10">
        <v>44876</v>
      </c>
      <c r="D10" s="10">
        <v>44876</v>
      </c>
      <c r="E10" s="88">
        <v>44876</v>
      </c>
      <c r="F10" s="19">
        <v>1</v>
      </c>
      <c r="G10" s="25"/>
      <c r="H10" s="26"/>
    </row>
    <row r="11" spans="1:8" x14ac:dyDescent="0.3">
      <c r="A11" s="14" t="s">
        <v>372</v>
      </c>
      <c r="B11" s="9">
        <v>1</v>
      </c>
      <c r="C11" s="11" cm="1">
        <f t="array" ref="C11">get_start_date(E11,holidays)</f>
        <v>44888</v>
      </c>
      <c r="D11" s="11" cm="1">
        <f t="array" ref="D11">get_finish_date(C11,holidays,F11)</f>
        <v>44890</v>
      </c>
      <c r="E11" s="88">
        <v>44888</v>
      </c>
      <c r="F11" s="19">
        <v>2</v>
      </c>
      <c r="G11" s="25" t="s">
        <v>373</v>
      </c>
      <c r="H11" s="26"/>
    </row>
    <row r="12" spans="1:8" x14ac:dyDescent="0.3">
      <c r="A12" s="14" t="s">
        <v>374</v>
      </c>
      <c r="B12" s="9">
        <v>1</v>
      </c>
      <c r="C12" s="11" cm="1">
        <f t="array" ref="C12">get_start_date(E12,holidays)</f>
        <v>44890</v>
      </c>
      <c r="D12" s="11" cm="1">
        <f t="array" ref="D12">get_finish_date(C12,holidays,F12)</f>
        <v>44891</v>
      </c>
      <c r="E12" s="89">
        <f>D11</f>
        <v>44890</v>
      </c>
      <c r="F12" s="19">
        <v>1</v>
      </c>
      <c r="G12" s="25"/>
      <c r="H12" s="26"/>
    </row>
    <row r="13" spans="1:8" x14ac:dyDescent="0.3">
      <c r="A13" s="14" t="s">
        <v>375</v>
      </c>
      <c r="B13" s="9">
        <v>1</v>
      </c>
      <c r="C13" s="11" cm="1">
        <f t="array" ref="C13">get_start_date(E13,holidays)</f>
        <v>44893</v>
      </c>
      <c r="D13" s="11" cm="1">
        <f t="array" ref="D13">get_finish_date(C13,holidays,F13)</f>
        <v>44894</v>
      </c>
      <c r="E13" s="89">
        <f>D12</f>
        <v>44891</v>
      </c>
      <c r="F13" s="19">
        <v>1</v>
      </c>
      <c r="G13" s="25" t="s">
        <v>376</v>
      </c>
      <c r="H13" s="26"/>
    </row>
    <row r="14" spans="1:8" x14ac:dyDescent="0.3">
      <c r="A14" s="68" t="s">
        <v>377</v>
      </c>
      <c r="B14" s="9">
        <v>1</v>
      </c>
      <c r="C14" s="10" cm="1">
        <f t="array" ref="C14">get_start_date(E14,holidays)</f>
        <v>44895</v>
      </c>
      <c r="D14" s="11" cm="1">
        <f t="array" ref="D14">get_finish_date(C14,holidays,F14)</f>
        <v>44895</v>
      </c>
      <c r="E14" s="89">
        <v>44895</v>
      </c>
      <c r="F14" s="19">
        <v>0</v>
      </c>
    </row>
  </sheetData>
  <dataValidations xWindow="1435" yWindow="593" count="3">
    <dataValidation type="date" allowBlank="1" showInputMessage="1" showErrorMessage="1" sqref="E2:E8 C2:D14 E10:E14" xr:uid="{2515E799-1122-4973-A28D-384C8B5A151C}">
      <formula1>44562</formula1>
      <formula2>219148</formula2>
    </dataValidation>
    <dataValidation type="whole" allowBlank="1" showInputMessage="1" showErrorMessage="1" prompt="Number of working days" sqref="F2:F9" xr:uid="{4731F45E-BD92-43FF-AE5D-42E620C5ED1B}">
      <formula1>0</formula1>
      <formula2>1000</formula2>
    </dataValidation>
    <dataValidation type="decimal" allowBlank="1" showInputMessage="1" showErrorMessage="1" prompt="Actual project completion (%)" sqref="B2:B14" xr:uid="{7169E28A-4CC2-48DF-8190-73E2E3BE88EB}">
      <formula1>0</formula1>
      <formula2>1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CBE04-0140-4967-A0D4-D34B7A34BCA6}">
  <sheetPr codeName="Sheet23"/>
  <dimension ref="A1:H7"/>
  <sheetViews>
    <sheetView showGridLines="0" zoomScale="140" zoomScaleNormal="140" workbookViewId="0">
      <selection activeCell="D10" sqref="D10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MIN(MMULT(TRANSPOSE(B3:B7),D3:D7-C3:C7)/SUM(D3:D7-C3:C7)+0.0005,1)</f>
        <v>1</v>
      </c>
      <c r="C2" s="22" cm="1">
        <f t="array" ref="C2">get_start_date(E2,holidays)</f>
        <v>44846</v>
      </c>
      <c r="D2" s="23">
        <f>MAX(D3:D7)</f>
        <v>44897</v>
      </c>
      <c r="E2" s="23">
        <f>MIN(E3:E7)</f>
        <v>44846</v>
      </c>
      <c r="F2" s="24" cm="1">
        <f t="array" ref="F2">SUM(IF(WEEKDAY(_xlfn.SEQUENCE(D2-C2,1,C2,1),2)&lt;6,1,0))-SUM(IF(ISERROR(MATCH(_xlfn.SEQUENCE(D2-C2,1,C2,1),holidays,0)&gt;0)=FALSE,1,0))</f>
        <v>34</v>
      </c>
      <c r="H2" s="26"/>
    </row>
    <row r="3" spans="1:8" x14ac:dyDescent="0.3">
      <c r="A3" s="8" t="s">
        <v>378</v>
      </c>
      <c r="B3" s="9">
        <f t="shared" ref="B3:B4" ca="1" si="0">IFERROR(MAX(MIN(TODAY()-C3,D3-C3),0)/(D3-C3),0)</f>
        <v>1</v>
      </c>
      <c r="C3" s="10" cm="1">
        <f t="array" ref="C3">get_start_date(E3,holidays)</f>
        <v>44846</v>
      </c>
      <c r="D3" s="11" cm="1">
        <f t="array" ref="D3">get_finish_date(C3,holidays,F3)</f>
        <v>44854</v>
      </c>
      <c r="E3" s="12">
        <v>44846</v>
      </c>
      <c r="F3" s="19">
        <v>4</v>
      </c>
      <c r="G3" s="25"/>
      <c r="H3" s="26"/>
    </row>
    <row r="4" spans="1:8" x14ac:dyDescent="0.3">
      <c r="A4" s="8" t="s">
        <v>379</v>
      </c>
      <c r="B4" s="9">
        <f t="shared" ca="1" si="0"/>
        <v>1</v>
      </c>
      <c r="C4" s="10" cm="1">
        <f t="array" ref="C4">get_start_date(E4,holidays)</f>
        <v>44854</v>
      </c>
      <c r="D4" s="11" cm="1">
        <f t="array" ref="D4">get_finish_date(C4,holidays,F4)</f>
        <v>44861</v>
      </c>
      <c r="E4" s="12">
        <f>D3</f>
        <v>44854</v>
      </c>
      <c r="F4" s="19">
        <v>4</v>
      </c>
      <c r="G4" s="25"/>
      <c r="H4" s="26"/>
    </row>
    <row r="5" spans="1:8" x14ac:dyDescent="0.3">
      <c r="A5" s="8" t="s">
        <v>380</v>
      </c>
      <c r="B5" s="9">
        <v>1</v>
      </c>
      <c r="C5" s="10" cm="1">
        <f t="array" ref="C5">get_start_date(E5,holidays)</f>
        <v>44861</v>
      </c>
      <c r="D5" s="11" cm="1">
        <f t="array" ref="D5">get_finish_date(C5,holidays,F5)</f>
        <v>44867</v>
      </c>
      <c r="E5" s="12">
        <f>D4</f>
        <v>44861</v>
      </c>
      <c r="F5" s="19">
        <v>4</v>
      </c>
      <c r="G5" s="25"/>
      <c r="H5" s="26"/>
    </row>
    <row r="6" spans="1:8" x14ac:dyDescent="0.3">
      <c r="A6" s="8" t="s">
        <v>381</v>
      </c>
      <c r="B6" s="9">
        <v>1</v>
      </c>
      <c r="C6" s="10" cm="1">
        <f t="array" ref="C6">get_start_date(E6,holidays)</f>
        <v>44867</v>
      </c>
      <c r="D6" s="11" cm="1">
        <f t="array" ref="D6">get_finish_date(C6,holidays,F6)</f>
        <v>44876</v>
      </c>
      <c r="E6" s="12">
        <f>D5</f>
        <v>44867</v>
      </c>
      <c r="F6" s="19">
        <v>7</v>
      </c>
      <c r="G6" s="25"/>
      <c r="H6" s="26"/>
    </row>
    <row r="7" spans="1:8" x14ac:dyDescent="0.3">
      <c r="A7" s="14" t="s">
        <v>382</v>
      </c>
      <c r="B7" s="9">
        <v>1</v>
      </c>
      <c r="C7" s="10" cm="1">
        <f t="array" ref="C7">get_start_date(E7,holidays)</f>
        <v>44897</v>
      </c>
      <c r="D7" s="11" cm="1">
        <f t="array" ref="D7">get_finish_date(C7,holidays,F7)</f>
        <v>44897</v>
      </c>
      <c r="E7" s="12">
        <v>44897</v>
      </c>
      <c r="F7" s="19">
        <v>0</v>
      </c>
      <c r="G7" s="25"/>
      <c r="H7" s="26"/>
    </row>
  </sheetData>
  <dataValidations count="3">
    <dataValidation type="decimal" allowBlank="1" showInputMessage="1" showErrorMessage="1" prompt="Actual project completion (%)" sqref="B2:B7" xr:uid="{E627C7B1-8994-49EC-A9A7-DC34A79C1687}">
      <formula1>0</formula1>
      <formula2>1</formula2>
    </dataValidation>
    <dataValidation type="date" allowBlank="1" showInputMessage="1" showErrorMessage="1" sqref="C2:E7" xr:uid="{CF06D067-1FFD-4518-8329-50E46AD82CEA}">
      <formula1>44562</formula1>
      <formula2>219148</formula2>
    </dataValidation>
    <dataValidation type="whole" allowBlank="1" showInputMessage="1" showErrorMessage="1" prompt="Number of working days" sqref="F2:F7" xr:uid="{23F78225-E99E-4A4F-89C0-992CA48422C1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5C88-E676-4EBF-9735-8DCA9E1E9C5F}">
  <sheetPr codeName="Sheet22"/>
  <dimension ref="A1:H13"/>
  <sheetViews>
    <sheetView showGridLines="0" zoomScale="140" zoomScaleNormal="140" workbookViewId="0">
      <selection activeCell="C24" sqref="C24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MIN(MMULT(TRANSPOSE(B3:B13),D3:D13-C3:C13)/SUM(D3:D13-C3:C13)+0.0005,1)</f>
        <v>1</v>
      </c>
      <c r="C2" s="22" cm="1">
        <f t="array" ref="C2">get_start_date(E2,holidays)</f>
        <v>44867</v>
      </c>
      <c r="D2" s="23">
        <f>MAX(D3:D11)</f>
        <v>44884</v>
      </c>
      <c r="E2" s="23">
        <f>MIN(E3:E13)</f>
        <v>44867</v>
      </c>
      <c r="F2" s="24" cm="1">
        <f t="array" ref="F2">SUM(IF(WEEKDAY(_xlfn.SEQUENCE(D2-C2,1,C2,1),2)&lt;6,1,0))-SUM(IF(ISERROR(MATCH(_xlfn.SEQUENCE(D2-C2,1,C2,1),holidays,0)&gt;0)=FALSE,1,0))</f>
        <v>13</v>
      </c>
      <c r="G2" s="15" t="s">
        <v>383</v>
      </c>
      <c r="H2" s="26"/>
    </row>
    <row r="3" spans="1:8" x14ac:dyDescent="0.3">
      <c r="A3" s="8" t="s">
        <v>384</v>
      </c>
      <c r="B3" s="9">
        <f t="shared" ref="B3:B7" ca="1" si="0">IFERROR(MAX(MIN(TODAY()-C3,D3-C3),0)/(D3-C3),0)</f>
        <v>1</v>
      </c>
      <c r="C3" s="10" cm="1">
        <f t="array" ref="C3">get_start_date(E3,holidays)</f>
        <v>44867</v>
      </c>
      <c r="D3" s="11" cm="1">
        <f t="array" ref="D3">get_finish_date(C3,holidays,F3)</f>
        <v>44868</v>
      </c>
      <c r="E3" s="12">
        <v>44867</v>
      </c>
      <c r="F3" s="19">
        <v>1</v>
      </c>
      <c r="G3" s="25"/>
      <c r="H3" s="26"/>
    </row>
    <row r="4" spans="1:8" x14ac:dyDescent="0.3">
      <c r="A4" s="8" t="s">
        <v>237</v>
      </c>
      <c r="B4" s="9">
        <f t="shared" ca="1" si="0"/>
        <v>1</v>
      </c>
      <c r="C4" s="10" cm="1">
        <f t="array" ref="C4">get_start_date(E4,holidays)</f>
        <v>44867</v>
      </c>
      <c r="D4" s="11" cm="1">
        <f t="array" ref="D4">get_finish_date(C4,holidays,F4)</f>
        <v>44869</v>
      </c>
      <c r="E4" s="12">
        <v>44867</v>
      </c>
      <c r="F4" s="19">
        <v>2</v>
      </c>
      <c r="G4" s="25"/>
      <c r="H4" s="26"/>
    </row>
    <row r="5" spans="1:8" x14ac:dyDescent="0.3">
      <c r="A5" s="8" t="s">
        <v>385</v>
      </c>
      <c r="B5" s="9">
        <f t="shared" ca="1" si="0"/>
        <v>1</v>
      </c>
      <c r="C5" s="10" cm="1">
        <f t="array" ref="C5">get_start_date(E5,holidays)</f>
        <v>44869</v>
      </c>
      <c r="D5" s="11" cm="1">
        <f t="array" ref="D5">get_finish_date(C5,holidays,F5)</f>
        <v>44873</v>
      </c>
      <c r="E5" s="12">
        <f>D4</f>
        <v>44869</v>
      </c>
      <c r="F5" s="19">
        <v>2</v>
      </c>
      <c r="G5" s="25"/>
      <c r="H5" s="26"/>
    </row>
    <row r="6" spans="1:8" x14ac:dyDescent="0.3">
      <c r="A6" s="8" t="s">
        <v>245</v>
      </c>
      <c r="B6" s="9">
        <v>1</v>
      </c>
      <c r="C6" s="10" cm="1">
        <f t="array" ref="C6">get_start_date(E6,holidays)</f>
        <v>44873</v>
      </c>
      <c r="D6" s="11" cm="1">
        <f t="array" ref="D6">get_finish_date(C6,holidays,F6)</f>
        <v>44875</v>
      </c>
      <c r="E6" s="12">
        <f>D5</f>
        <v>44873</v>
      </c>
      <c r="F6" s="19">
        <v>2</v>
      </c>
      <c r="G6" s="25"/>
      <c r="H6" s="26"/>
    </row>
    <row r="7" spans="1:8" x14ac:dyDescent="0.3">
      <c r="A7" s="8" t="s">
        <v>386</v>
      </c>
      <c r="B7" s="9">
        <f t="shared" ca="1" si="0"/>
        <v>0</v>
      </c>
      <c r="C7" s="10" cm="1">
        <f t="array" ref="C7">get_start_date(E7,holidays)</f>
        <v>44875</v>
      </c>
      <c r="D7" s="11" cm="1">
        <f t="array" ref="D7">get_finish_date(C7,holidays,F7)</f>
        <v>44875</v>
      </c>
      <c r="E7" s="12">
        <v>44875</v>
      </c>
      <c r="F7" s="19">
        <v>0</v>
      </c>
      <c r="G7" s="25"/>
      <c r="H7" s="26"/>
    </row>
    <row r="8" spans="1:8" x14ac:dyDescent="0.3">
      <c r="A8" s="8" t="s">
        <v>387</v>
      </c>
      <c r="B8" s="9">
        <v>1</v>
      </c>
      <c r="C8" s="10" cm="1">
        <f t="array" ref="C8">get_start_date(E8,holidays)</f>
        <v>44876</v>
      </c>
      <c r="D8" s="11" cm="1">
        <f t="array" ref="D8">get_finish_date(C8,holidays,F8)</f>
        <v>44880</v>
      </c>
      <c r="E8" s="12">
        <v>44876</v>
      </c>
      <c r="F8" s="19">
        <v>2</v>
      </c>
      <c r="G8" s="25"/>
      <c r="H8" s="26"/>
    </row>
    <row r="9" spans="1:8" x14ac:dyDescent="0.3">
      <c r="A9" s="8" t="s">
        <v>388</v>
      </c>
      <c r="B9" s="9">
        <v>0</v>
      </c>
      <c r="C9" s="10" cm="1">
        <f t="array" ref="C9">get_start_date(E9,holidays)</f>
        <v>44879</v>
      </c>
      <c r="D9" s="11" cm="1">
        <f t="array" ref="D9">get_finish_date(C9,holidays,F9)</f>
        <v>44879</v>
      </c>
      <c r="E9" s="12">
        <v>44879</v>
      </c>
      <c r="F9" s="19">
        <v>0</v>
      </c>
      <c r="G9" s="25"/>
      <c r="H9" s="26"/>
    </row>
    <row r="10" spans="1:8" x14ac:dyDescent="0.3">
      <c r="A10" s="8" t="s">
        <v>389</v>
      </c>
      <c r="B10" s="9">
        <v>0</v>
      </c>
      <c r="C10" s="10" cm="1">
        <f t="array" ref="C10">get_start_date(E10,holidays)</f>
        <v>44880</v>
      </c>
      <c r="D10" s="11" cm="1">
        <f t="array" ref="D10">get_finish_date(C10,holidays,F10)</f>
        <v>44880</v>
      </c>
      <c r="E10" s="12">
        <v>44880</v>
      </c>
      <c r="F10" s="19">
        <v>0</v>
      </c>
      <c r="G10" s="25"/>
      <c r="H10" s="26"/>
    </row>
    <row r="11" spans="1:8" x14ac:dyDescent="0.3">
      <c r="A11" s="8" t="s">
        <v>390</v>
      </c>
      <c r="B11" s="9">
        <v>1</v>
      </c>
      <c r="C11" s="10" cm="1">
        <f t="array" ref="C11">get_start_date(E11,holidays)</f>
        <v>44881</v>
      </c>
      <c r="D11" s="11" cm="1">
        <f t="array" ref="D11">get_finish_date(C11,holidays,F11)</f>
        <v>44884</v>
      </c>
      <c r="E11" s="12">
        <v>44881</v>
      </c>
      <c r="F11" s="19">
        <v>3</v>
      </c>
      <c r="G11" s="25"/>
      <c r="H11" s="26"/>
    </row>
    <row r="12" spans="1:8" x14ac:dyDescent="0.3">
      <c r="A12" s="8" t="s">
        <v>391</v>
      </c>
      <c r="B12" s="9">
        <f t="shared" ref="B12" ca="1" si="1">IFERROR(MAX(MIN(TODAY()-C12,D12-C12),0)/(D12-C12),0)</f>
        <v>0</v>
      </c>
      <c r="C12" s="10" cm="1">
        <f t="array" ref="C12">get_start_date(E12,holidays)</f>
        <v>44887</v>
      </c>
      <c r="D12" s="11" cm="1">
        <f t="array" ref="D12">get_finish_date(C12,holidays,F12)</f>
        <v>44887</v>
      </c>
      <c r="E12" s="12">
        <v>44887</v>
      </c>
      <c r="F12" s="19">
        <v>0</v>
      </c>
      <c r="G12" s="25"/>
      <c r="H12" s="26"/>
    </row>
    <row r="13" spans="1:8" x14ac:dyDescent="0.3">
      <c r="A13" s="14" t="s">
        <v>389</v>
      </c>
      <c r="B13" s="9">
        <f t="shared" ref="B13" ca="1" si="2">IFERROR(MAX(MIN(TODAY()-C13,D13-C13),0)/(D13-C13),0)</f>
        <v>0</v>
      </c>
      <c r="C13" s="10" cm="1">
        <f t="array" ref="C13">get_start_date(E13,holidays)</f>
        <v>44890</v>
      </c>
      <c r="D13" s="11" cm="1">
        <f t="array" ref="D13">get_finish_date(C13,holidays,F13)</f>
        <v>44890</v>
      </c>
      <c r="E13" s="12">
        <v>44890</v>
      </c>
      <c r="F13" s="19">
        <v>0</v>
      </c>
      <c r="G13" s="25"/>
      <c r="H13" s="26"/>
    </row>
  </sheetData>
  <dataValidations count="3">
    <dataValidation type="decimal" allowBlank="1" showInputMessage="1" showErrorMessage="1" prompt="Actual project completion (%)" sqref="B2:B13" xr:uid="{20F98A84-873F-4EE9-867F-E65342B9A23C}">
      <formula1>0</formula1>
      <formula2>1</formula2>
    </dataValidation>
    <dataValidation type="date" allowBlank="1" showInputMessage="1" showErrorMessage="1" sqref="C2:E13" xr:uid="{6BE3CCAC-E559-45B5-B48E-F6AD6ED64FD4}">
      <formula1>44562</formula1>
      <formula2>219148</formula2>
    </dataValidation>
    <dataValidation type="whole" allowBlank="1" showInputMessage="1" showErrorMessage="1" prompt="Number of working days" sqref="F2:F13" xr:uid="{38CA2AFB-9E14-427D-8400-B7352C93E421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EEBA-97B8-4801-8271-BFE8097405A9}">
  <sheetPr codeName="Sheet24">
    <tabColor rgb="FFFF0000"/>
  </sheetPr>
  <dimension ref="A1:H7"/>
  <sheetViews>
    <sheetView showGridLines="0" zoomScale="140" zoomScaleNormal="140" workbookViewId="0">
      <selection activeCell="A17" sqref="A17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MIN(MMULT(TRANSPOSE(B3:B7),D3:D7-C3:C7)/SUM(D3:D7-C3:C7)+0.0005,1)</f>
        <v>1</v>
      </c>
      <c r="C2" s="22" cm="1">
        <f t="array" ref="C2">get_start_date(E2,holidays)</f>
        <v>44874</v>
      </c>
      <c r="D2" s="23">
        <f>MAX(D3:D7)</f>
        <v>44889</v>
      </c>
      <c r="E2" s="23">
        <f>MIN(E3:E7)</f>
        <v>44874</v>
      </c>
      <c r="F2" s="24" cm="1">
        <f t="array" ref="F2">SUM(IF(WEEKDAY(_xlfn.SEQUENCE(D2-C2,1,C2,1),2)&lt;6,1,0))-SUM(IF(ISERROR(MATCH(_xlfn.SEQUENCE(D2-C2,1,C2,1),holidays,0)&gt;0)=FALSE,1,0))</f>
        <v>11</v>
      </c>
      <c r="H2" s="26"/>
    </row>
    <row r="3" spans="1:8" x14ac:dyDescent="0.3">
      <c r="A3" s="8" t="s">
        <v>392</v>
      </c>
      <c r="B3" s="9">
        <f t="shared" ref="B3:B6" ca="1" si="0">IFERROR(MAX(MIN(TODAY()-C3,D3-C3),0)/(D3-C3),0)</f>
        <v>1</v>
      </c>
      <c r="C3" s="10" cm="1">
        <f t="array" ref="C3">get_start_date(E3,holidays)</f>
        <v>44874</v>
      </c>
      <c r="D3" s="11" cm="1">
        <f t="array" ref="D3">get_finish_date(C3,holidays,F3)</f>
        <v>44875</v>
      </c>
      <c r="E3" s="12">
        <v>44874</v>
      </c>
      <c r="F3" s="19">
        <v>1</v>
      </c>
      <c r="G3" s="25"/>
      <c r="H3" s="26"/>
    </row>
    <row r="4" spans="1:8" x14ac:dyDescent="0.3">
      <c r="A4" s="8" t="s">
        <v>393</v>
      </c>
      <c r="B4" s="9">
        <f t="shared" ca="1" si="0"/>
        <v>1</v>
      </c>
      <c r="C4" s="10" cm="1">
        <f t="array" ref="C4">get_start_date(E4,holidays)</f>
        <v>44874</v>
      </c>
      <c r="D4" s="11" cm="1">
        <f t="array" ref="D4">get_finish_date(C4,holidays,F4)</f>
        <v>44875</v>
      </c>
      <c r="E4" s="12">
        <v>44874</v>
      </c>
      <c r="F4" s="19">
        <v>1</v>
      </c>
      <c r="G4" s="25"/>
      <c r="H4" s="26"/>
    </row>
    <row r="5" spans="1:8" x14ac:dyDescent="0.3">
      <c r="A5" s="8" t="s">
        <v>380</v>
      </c>
      <c r="B5" s="9">
        <f t="shared" ca="1" si="0"/>
        <v>1</v>
      </c>
      <c r="C5" s="10" cm="1">
        <f t="array" ref="C5">get_start_date(E5,holidays)</f>
        <v>44876</v>
      </c>
      <c r="D5" s="11" cm="1">
        <f t="array" ref="D5">get_finish_date(C5,holidays,F5)</f>
        <v>44880</v>
      </c>
      <c r="E5" s="12">
        <v>44876</v>
      </c>
      <c r="F5" s="19">
        <v>2</v>
      </c>
      <c r="G5" s="25"/>
      <c r="H5" s="26"/>
    </row>
    <row r="6" spans="1:8" x14ac:dyDescent="0.3">
      <c r="A6" s="8" t="s">
        <v>394</v>
      </c>
      <c r="B6" s="9">
        <f t="shared" ca="1" si="0"/>
        <v>1</v>
      </c>
      <c r="C6" s="10" cm="1">
        <f t="array" ref="C6">get_start_date(E6,holidays)</f>
        <v>44880</v>
      </c>
      <c r="D6" s="11" cm="1">
        <f t="array" ref="D6">get_finish_date(C6,holidays,F6)</f>
        <v>44882</v>
      </c>
      <c r="E6" s="12">
        <f t="shared" ref="E6" si="1">D5</f>
        <v>44880</v>
      </c>
      <c r="F6" s="19">
        <v>2</v>
      </c>
      <c r="G6" s="25"/>
      <c r="H6" s="26"/>
    </row>
    <row r="7" spans="1:8" x14ac:dyDescent="0.3">
      <c r="A7" s="14" t="s">
        <v>395</v>
      </c>
      <c r="B7" s="9">
        <f t="shared" ref="B7" ca="1" si="2">IFERROR(MAX(MIN(TODAY()-C7,D7-C7),0)/(D7-C7),0)</f>
        <v>1</v>
      </c>
      <c r="C7" s="10" cm="1">
        <f t="array" ref="C7">get_start_date(E7,holidays)</f>
        <v>44888</v>
      </c>
      <c r="D7" s="11" cm="1">
        <f t="array" ref="D7">get_finish_date(C7,holidays,F7)</f>
        <v>44889</v>
      </c>
      <c r="E7" s="12">
        <v>44888</v>
      </c>
      <c r="F7" s="19">
        <v>1</v>
      </c>
      <c r="G7" s="25"/>
      <c r="H7" s="26"/>
    </row>
  </sheetData>
  <dataValidations count="3">
    <dataValidation type="decimal" allowBlank="1" showInputMessage="1" showErrorMessage="1" prompt="Actual project completion (%)" sqref="B2:B7" xr:uid="{DCC4FE37-BD7A-4FA3-BBBC-99893DA3EC5C}">
      <formula1>0</formula1>
      <formula2>1</formula2>
    </dataValidation>
    <dataValidation type="date" allowBlank="1" showInputMessage="1" showErrorMessage="1" sqref="C2:E7" xr:uid="{EF7383E2-FFBF-401B-9CF4-4A59B891CB90}">
      <formula1>44562</formula1>
      <formula2>219148</formula2>
    </dataValidation>
    <dataValidation type="whole" allowBlank="1" showInputMessage="1" showErrorMessage="1" prompt="Number of working days" sqref="F2:F7" xr:uid="{64801F2E-A125-4230-8673-D9A957E0CF87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3F900-6D71-444E-A26B-62444862011C}">
  <sheetPr codeName="Sheet25"/>
  <dimension ref="A1:H16"/>
  <sheetViews>
    <sheetView showGridLines="0" zoomScale="110" zoomScaleNormal="110" workbookViewId="0">
      <selection activeCell="A17" sqref="A17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MIN(MMULT(TRANSPOSE(B3:B16),D3:D16-C3:C16)/SUM(D3:D16-C3:C16)+0.0005,1)</f>
        <v>1</v>
      </c>
      <c r="C2" s="22" cm="1">
        <f t="array" ref="C2">get_start_date(E2,holidays)</f>
        <v>44881</v>
      </c>
      <c r="D2" s="23">
        <f>MAX(D3:D16)</f>
        <v>44917</v>
      </c>
      <c r="E2" s="23">
        <f>MIN(E3:E16)</f>
        <v>44881</v>
      </c>
      <c r="F2" s="24" cm="1">
        <f t="array" ref="F2">SUM(IF(WEEKDAY(_xlfn.SEQUENCE(D2-C2,1,C2,1),2)&lt;6,1,0))-SUM(IF(ISERROR(MATCH(_xlfn.SEQUENCE(D2-C2,1,C2,1),holidays,0)&gt;0)=FALSE,1,0))</f>
        <v>24</v>
      </c>
      <c r="H2" s="26"/>
    </row>
    <row r="3" spans="1:8" x14ac:dyDescent="0.3">
      <c r="A3" s="8" t="s">
        <v>396</v>
      </c>
      <c r="B3" s="9">
        <v>1</v>
      </c>
      <c r="C3" s="10" cm="1">
        <f t="array" ref="C3">get_start_date(E3,holidays)</f>
        <v>44881</v>
      </c>
      <c r="D3" s="11" cm="1">
        <f t="array" ref="D3">get_finish_date(C3,holidays,F3)</f>
        <v>44881</v>
      </c>
      <c r="E3" s="12">
        <v>44881</v>
      </c>
      <c r="F3" s="19">
        <v>0</v>
      </c>
      <c r="G3" s="15" t="s">
        <v>397</v>
      </c>
      <c r="H3" s="26"/>
    </row>
    <row r="4" spans="1:8" x14ac:dyDescent="0.3">
      <c r="A4" s="8" t="s">
        <v>398</v>
      </c>
      <c r="B4" s="9">
        <f t="shared" ref="B4" ca="1" si="0">IFERROR(MAX(MIN(TODAY()-C4,D4-C4),0)/(D4-C4),0)</f>
        <v>1</v>
      </c>
      <c r="C4" s="10" cm="1">
        <f t="array" ref="C4">get_start_date(E4,holidays)</f>
        <v>44882</v>
      </c>
      <c r="D4" s="11" cm="1">
        <f t="array" ref="D4">get_finish_date(C4,holidays,F4)</f>
        <v>44896</v>
      </c>
      <c r="E4" s="12">
        <v>44882</v>
      </c>
      <c r="F4" s="19">
        <v>10</v>
      </c>
      <c r="G4" s="15" t="s">
        <v>399</v>
      </c>
      <c r="H4" s="26"/>
    </row>
    <row r="5" spans="1:8" x14ac:dyDescent="0.3">
      <c r="A5" s="8" t="s">
        <v>400</v>
      </c>
      <c r="B5" s="9">
        <v>0</v>
      </c>
      <c r="C5" s="10" cm="1">
        <f t="array" ref="C5">get_start_date(E5,holidays)</f>
        <v>44888</v>
      </c>
      <c r="D5" s="11" cm="1">
        <f t="array" ref="D5">get_finish_date(C5,holidays,F5)</f>
        <v>44888</v>
      </c>
      <c r="E5" s="12">
        <f>E4+F4/2+1</f>
        <v>44888</v>
      </c>
      <c r="F5" s="19">
        <v>0</v>
      </c>
      <c r="G5" s="15" t="s">
        <v>397</v>
      </c>
      <c r="H5" s="26"/>
    </row>
    <row r="6" spans="1:8" x14ac:dyDescent="0.3">
      <c r="A6" s="8" t="s">
        <v>401</v>
      </c>
      <c r="B6" s="9">
        <v>0</v>
      </c>
      <c r="C6" s="10" cm="1">
        <f t="array" ref="C6">get_start_date(E6,holidays)</f>
        <v>44896</v>
      </c>
      <c r="D6" s="11" cm="1">
        <f t="array" ref="D6">get_finish_date(C6,holidays,F6)</f>
        <v>44896</v>
      </c>
      <c r="E6" s="12">
        <f>D4</f>
        <v>44896</v>
      </c>
      <c r="F6" s="19">
        <v>0</v>
      </c>
      <c r="G6" s="15" t="s">
        <v>397</v>
      </c>
      <c r="H6" s="26"/>
    </row>
    <row r="7" spans="1:8" x14ac:dyDescent="0.3">
      <c r="A7" s="8" t="s">
        <v>402</v>
      </c>
      <c r="B7" s="9">
        <v>1</v>
      </c>
      <c r="C7" s="10" cm="1">
        <f t="array" ref="C7">get_start_date(E7,holidays)</f>
        <v>44882</v>
      </c>
      <c r="D7" s="11" cm="1">
        <f t="array" ref="D7">get_finish_date(C7,holidays,F7)</f>
        <v>44883</v>
      </c>
      <c r="E7" s="12">
        <f>E4</f>
        <v>44882</v>
      </c>
      <c r="F7" s="19">
        <v>1</v>
      </c>
      <c r="G7" s="15" t="s">
        <v>403</v>
      </c>
      <c r="H7" s="26"/>
    </row>
    <row r="8" spans="1:8" x14ac:dyDescent="0.3">
      <c r="A8" s="14" t="s">
        <v>404</v>
      </c>
      <c r="B8" s="9">
        <v>1</v>
      </c>
      <c r="C8" s="10" cm="1">
        <f t="array" ref="C8">get_start_date(E8,holidays)</f>
        <v>44883</v>
      </c>
      <c r="D8" s="11" cm="1">
        <f t="array" ref="D8">get_finish_date(C8,holidays,F8)</f>
        <v>44897</v>
      </c>
      <c r="E8" s="12">
        <f>D7</f>
        <v>44883</v>
      </c>
      <c r="F8" s="19">
        <v>10</v>
      </c>
      <c r="G8" s="15" t="s">
        <v>405</v>
      </c>
    </row>
    <row r="9" spans="1:8" x14ac:dyDescent="0.3">
      <c r="A9" s="14" t="s">
        <v>406</v>
      </c>
      <c r="B9" s="9">
        <f t="shared" ref="B9" ca="1" si="1">IFERROR(MAX(MIN(TODAY()-C9,D9-C9),0)/(D9-C9),0)</f>
        <v>1</v>
      </c>
      <c r="C9" s="10" cm="1">
        <f t="array" ref="C9">get_start_date(E9,holidays)</f>
        <v>44883</v>
      </c>
      <c r="D9" s="11" cm="1">
        <f t="array" ref="D9">get_finish_date(C9,holidays,F9)</f>
        <v>44897</v>
      </c>
      <c r="E9" s="12">
        <f>D7</f>
        <v>44883</v>
      </c>
      <c r="F9" s="19">
        <v>10</v>
      </c>
      <c r="G9" s="15" t="s">
        <v>407</v>
      </c>
    </row>
    <row r="10" spans="1:8" x14ac:dyDescent="0.3">
      <c r="A10" s="14" t="s">
        <v>408</v>
      </c>
      <c r="B10" s="9">
        <v>0</v>
      </c>
      <c r="C10" s="10" cm="1">
        <f t="array" ref="C10">get_start_date(E10,holidays)</f>
        <v>44889</v>
      </c>
      <c r="D10" s="11" cm="1">
        <f t="array" ref="D10">get_finish_date(C10,holidays,F10)</f>
        <v>44889</v>
      </c>
      <c r="E10" s="12">
        <f>E8+F8/2+1</f>
        <v>44889</v>
      </c>
      <c r="F10" s="19">
        <v>0</v>
      </c>
      <c r="G10" s="15" t="s">
        <v>409</v>
      </c>
    </row>
    <row r="11" spans="1:8" x14ac:dyDescent="0.3">
      <c r="A11" s="14" t="s">
        <v>410</v>
      </c>
      <c r="B11" s="9">
        <v>0</v>
      </c>
      <c r="C11" s="10" cm="1">
        <f t="array" ref="C11">get_start_date(E11,holidays)</f>
        <v>44897</v>
      </c>
      <c r="D11" s="11" cm="1">
        <f t="array" ref="D11">get_finish_date(C11,holidays,F11)</f>
        <v>44897</v>
      </c>
      <c r="E11" s="12">
        <f>D9</f>
        <v>44897</v>
      </c>
      <c r="F11" s="19">
        <v>0</v>
      </c>
      <c r="G11" s="15" t="s">
        <v>409</v>
      </c>
    </row>
    <row r="12" spans="1:8" x14ac:dyDescent="0.3">
      <c r="A12" s="14" t="s">
        <v>411</v>
      </c>
      <c r="B12" s="9">
        <f t="shared" ref="B12:B13" ca="1" si="2">IFERROR(MAX(MIN(TODAY()-C12,D12-C12),0)/(D12-C12),0)</f>
        <v>1</v>
      </c>
      <c r="C12" s="10" cm="1">
        <f t="array" ref="C12">get_start_date(E12,holidays)</f>
        <v>44897</v>
      </c>
      <c r="D12" s="11" cm="1">
        <f t="array" ref="D12">get_finish_date(C12,holidays,F12)</f>
        <v>44905</v>
      </c>
      <c r="E12" s="12">
        <f>D8</f>
        <v>44897</v>
      </c>
      <c r="F12" s="19">
        <v>5</v>
      </c>
      <c r="G12" s="15" t="s">
        <v>399</v>
      </c>
    </row>
    <row r="13" spans="1:8" x14ac:dyDescent="0.3">
      <c r="A13" s="14" t="s">
        <v>412</v>
      </c>
      <c r="B13" s="9">
        <f t="shared" ca="1" si="2"/>
        <v>1</v>
      </c>
      <c r="C13" s="10" cm="1">
        <f t="array" ref="C13">get_start_date(E13,holidays)</f>
        <v>44897</v>
      </c>
      <c r="D13" s="11" cm="1">
        <f t="array" ref="D13">get_finish_date(C13,holidays,F13)</f>
        <v>44905</v>
      </c>
      <c r="E13" s="12">
        <f>D9</f>
        <v>44897</v>
      </c>
      <c r="F13" s="19">
        <v>5</v>
      </c>
      <c r="G13" s="15" t="s">
        <v>399</v>
      </c>
    </row>
    <row r="14" spans="1:8" x14ac:dyDescent="0.3">
      <c r="A14" s="14" t="s">
        <v>413</v>
      </c>
      <c r="B14" s="9">
        <f t="shared" ref="B14" ca="1" si="3">IFERROR(MAX(MIN(TODAY()-C14,D14-C14),0)/(D14-C14),0)</f>
        <v>0</v>
      </c>
      <c r="C14" s="10" cm="1">
        <f t="array" ref="C14">get_start_date(E14,holidays)</f>
        <v>44908</v>
      </c>
      <c r="D14" s="11" cm="1">
        <f t="array" ref="D14">get_finish_date(C14,holidays,F14)</f>
        <v>44908</v>
      </c>
      <c r="E14" s="12">
        <v>44908</v>
      </c>
      <c r="F14" s="19">
        <v>0</v>
      </c>
    </row>
    <row r="15" spans="1:8" x14ac:dyDescent="0.3">
      <c r="A15" s="14" t="s">
        <v>414</v>
      </c>
      <c r="B15" s="9">
        <v>1</v>
      </c>
      <c r="C15" s="10" cm="1">
        <f t="array" ref="C15">get_start_date(E15,holidays)</f>
        <v>44908</v>
      </c>
      <c r="D15" s="11" cm="1">
        <f t="array" ref="D15">get_finish_date(C15,holidays,F15)</f>
        <v>44911</v>
      </c>
      <c r="E15" s="12">
        <f>D14</f>
        <v>44908</v>
      </c>
      <c r="F15" s="19">
        <v>3</v>
      </c>
      <c r="G15" s="15" t="s">
        <v>405</v>
      </c>
    </row>
    <row r="16" spans="1:8" x14ac:dyDescent="0.3">
      <c r="A16" s="14" t="s">
        <v>415</v>
      </c>
      <c r="B16" s="9">
        <v>1</v>
      </c>
      <c r="C16" s="10" cm="1">
        <f t="array" ref="C16">get_start_date(E16,holidays)</f>
        <v>44911</v>
      </c>
      <c r="D16" s="11" cm="1">
        <f t="array" ref="D16">get_finish_date(C16,holidays,F16)</f>
        <v>44917</v>
      </c>
      <c r="E16" s="12">
        <f>D15</f>
        <v>44911</v>
      </c>
      <c r="F16" s="19">
        <v>4</v>
      </c>
      <c r="G16" s="15" t="s">
        <v>405</v>
      </c>
    </row>
  </sheetData>
  <dataValidations count="3">
    <dataValidation type="decimal" allowBlank="1" showInputMessage="1" showErrorMessage="1" prompt="Actual project completion (%)" sqref="B2:B16" xr:uid="{21AA1F6F-F231-456A-898C-8395FB5F3EA9}">
      <formula1>0</formula1>
      <formula2>1</formula2>
    </dataValidation>
    <dataValidation type="date" allowBlank="1" showInputMessage="1" showErrorMessage="1" sqref="C2:E16" xr:uid="{60BEAF99-5F09-4492-A91E-5F1358FAE4F7}">
      <formula1>44562</formula1>
      <formula2>219148</formula2>
    </dataValidation>
    <dataValidation type="whole" allowBlank="1" showInputMessage="1" showErrorMessage="1" prompt="Number of working days" sqref="F2:F16" xr:uid="{32D9EF2A-6D89-477B-BBBB-C1AB07DEA7ED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ignoredErrors>
    <ignoredError sqref="E1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A9AE-3789-438F-BC93-C06A80099C63}">
  <sheetPr codeName="Sheet26"/>
  <dimension ref="A1:H24"/>
  <sheetViews>
    <sheetView showGridLines="0" topLeftCell="A5" zoomScale="110" zoomScaleNormal="110" workbookViewId="0">
      <selection activeCell="J22" sqref="J22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MIN(MMULT(TRANSPOSE(B3:B24),D3:D24-C3:C24)/SUM(D3:D24-C3:C24)+0.005,1)</f>
        <v>1</v>
      </c>
      <c r="C2" s="22" cm="1">
        <f t="array" ref="C2">get_start_date(E2,holidays)</f>
        <v>44883</v>
      </c>
      <c r="D2" s="23">
        <f>MAX(D3:D24)</f>
        <v>44999</v>
      </c>
      <c r="E2" s="23">
        <f>MIN(E3:E24)</f>
        <v>44883</v>
      </c>
      <c r="F2" s="24" cm="1">
        <f t="array" ref="F2">SUM(IF(WEEKDAY(_xlfn.SEQUENCE(D2-C2,1,C2,1),2)&lt;6,1,0))-SUM(IF(ISERROR(MATCH(_xlfn.SEQUENCE(D2-C2,1,C2,1),holidays,0)&gt;0)=FALSE,1,0))</f>
        <v>78</v>
      </c>
      <c r="H2" s="26"/>
    </row>
    <row r="3" spans="1:8" x14ac:dyDescent="0.3">
      <c r="A3" s="8" t="s">
        <v>396</v>
      </c>
      <c r="B3" s="9">
        <v>1</v>
      </c>
      <c r="C3" s="10" cm="1">
        <f t="array" ref="C3">get_start_date(E3,holidays)</f>
        <v>44883</v>
      </c>
      <c r="D3" s="11" cm="1">
        <f t="array" ref="D3">get_finish_date(C3,holidays,F3)</f>
        <v>44883</v>
      </c>
      <c r="E3" s="12">
        <v>44883</v>
      </c>
      <c r="F3" s="19">
        <v>0</v>
      </c>
      <c r="H3" s="26"/>
    </row>
    <row r="4" spans="1:8" x14ac:dyDescent="0.3">
      <c r="A4" s="8" t="s">
        <v>416</v>
      </c>
      <c r="B4" s="9">
        <f ca="1">IFERROR(MAX(MIN(TODAY()-C4,D4-C4),0)/(D4-C4),0)</f>
        <v>1</v>
      </c>
      <c r="C4" s="10" cm="1">
        <f t="array" ref="C4">get_start_date(E4,holidays)</f>
        <v>44886</v>
      </c>
      <c r="D4" s="11" cm="1">
        <f t="array" ref="D4">get_finish_date(C4,holidays,F4)</f>
        <v>44890</v>
      </c>
      <c r="E4" s="12">
        <v>44884</v>
      </c>
      <c r="F4" s="19">
        <v>4</v>
      </c>
      <c r="H4" s="26"/>
    </row>
    <row r="5" spans="1:8" x14ac:dyDescent="0.3">
      <c r="A5" s="8" t="s">
        <v>417</v>
      </c>
      <c r="B5" s="9">
        <f ca="1">IFERROR(MAX(MIN(TODAY()-C5,D5-C5),0)/(D5-C5),0)</f>
        <v>1</v>
      </c>
      <c r="C5" s="10" cm="1">
        <f t="array" ref="C5">get_start_date(E5,holidays)</f>
        <v>44890</v>
      </c>
      <c r="D5" s="11" cm="1">
        <f t="array" ref="D5">get_finish_date(C5,holidays,F5)</f>
        <v>44894</v>
      </c>
      <c r="E5" s="12">
        <f t="shared" ref="E5:E11" si="0">D4</f>
        <v>44890</v>
      </c>
      <c r="F5" s="19">
        <v>2</v>
      </c>
      <c r="H5" s="26"/>
    </row>
    <row r="6" spans="1:8" x14ac:dyDescent="0.3">
      <c r="A6" s="8" t="s">
        <v>418</v>
      </c>
      <c r="B6" s="9">
        <v>0</v>
      </c>
      <c r="C6" s="10" cm="1">
        <f t="array" ref="C6">get_start_date(E6,holidays)</f>
        <v>44894</v>
      </c>
      <c r="D6" s="11" cm="1">
        <f t="array" ref="D6">get_finish_date(C6,holidays,F6)</f>
        <v>44894</v>
      </c>
      <c r="E6" s="12">
        <f t="shared" si="0"/>
        <v>44894</v>
      </c>
      <c r="F6" s="19">
        <v>0</v>
      </c>
      <c r="H6" s="26"/>
    </row>
    <row r="7" spans="1:8" x14ac:dyDescent="0.3">
      <c r="A7" s="8" t="s">
        <v>419</v>
      </c>
      <c r="B7" s="9">
        <v>1</v>
      </c>
      <c r="C7" s="10" cm="1">
        <f t="array" ref="C7">get_start_date(E7,holidays)</f>
        <v>44894</v>
      </c>
      <c r="D7" s="11" cm="1">
        <f t="array" ref="D7">get_finish_date(C7,holidays,F7)</f>
        <v>44897</v>
      </c>
      <c r="E7" s="12">
        <f t="shared" si="0"/>
        <v>44894</v>
      </c>
      <c r="F7" s="19">
        <v>3</v>
      </c>
      <c r="H7" s="26"/>
    </row>
    <row r="8" spans="1:8" x14ac:dyDescent="0.3">
      <c r="A8" s="14" t="s">
        <v>420</v>
      </c>
      <c r="B8" s="9">
        <v>0</v>
      </c>
      <c r="C8" s="10" cm="1">
        <f t="array" ref="C8">get_start_date(E8,holidays)</f>
        <v>44897</v>
      </c>
      <c r="D8" s="11" cm="1">
        <f t="array" ref="D8">get_finish_date(C8,holidays,F8)</f>
        <v>44897</v>
      </c>
      <c r="E8" s="12">
        <f t="shared" si="0"/>
        <v>44897</v>
      </c>
      <c r="F8" s="19">
        <v>0</v>
      </c>
    </row>
    <row r="9" spans="1:8" x14ac:dyDescent="0.3">
      <c r="A9" s="8" t="s">
        <v>421</v>
      </c>
      <c r="B9" s="9">
        <f t="shared" ref="B9:B16" ca="1" si="1">IFERROR(MAX(MIN(TODAY()-C9,D9-C9),0)/(D9-C9),0)</f>
        <v>1</v>
      </c>
      <c r="C9" s="10" cm="1">
        <f t="array" ref="C9">get_start_date(E9,holidays)</f>
        <v>44897</v>
      </c>
      <c r="D9" s="11" cm="1">
        <f t="array" ref="D9">get_finish_date(C9,holidays,F9)</f>
        <v>44902</v>
      </c>
      <c r="E9" s="12">
        <f t="shared" si="0"/>
        <v>44897</v>
      </c>
      <c r="F9" s="19">
        <v>2</v>
      </c>
    </row>
    <row r="10" spans="1:8" x14ac:dyDescent="0.3">
      <c r="A10" s="8" t="s">
        <v>422</v>
      </c>
      <c r="B10" s="9">
        <f t="shared" ca="1" si="1"/>
        <v>1</v>
      </c>
      <c r="C10" s="10" cm="1">
        <f t="array" ref="C10">get_start_date(E10,holidays)</f>
        <v>44902</v>
      </c>
      <c r="D10" s="11" cm="1">
        <f t="array" ref="D10">get_finish_date(C10,holidays,F10)</f>
        <v>44910</v>
      </c>
      <c r="E10" s="12">
        <f t="shared" si="0"/>
        <v>44902</v>
      </c>
      <c r="F10" s="19">
        <v>5</v>
      </c>
      <c r="G10" s="15" t="s">
        <v>423</v>
      </c>
    </row>
    <row r="11" spans="1:8" x14ac:dyDescent="0.3">
      <c r="A11" s="14" t="s">
        <v>424</v>
      </c>
      <c r="B11" s="9">
        <v>0</v>
      </c>
      <c r="C11" s="10" cm="1">
        <f t="array" ref="C11">get_start_date(E11,holidays)</f>
        <v>44910</v>
      </c>
      <c r="D11" s="11" cm="1">
        <f t="array" ref="D11">get_finish_date(C11,holidays,F11)</f>
        <v>44910</v>
      </c>
      <c r="E11" s="12">
        <f t="shared" si="0"/>
        <v>44910</v>
      </c>
      <c r="F11" s="19">
        <v>0</v>
      </c>
    </row>
    <row r="12" spans="1:8" x14ac:dyDescent="0.3">
      <c r="A12" s="8" t="s">
        <v>425</v>
      </c>
      <c r="B12" s="9">
        <v>1</v>
      </c>
      <c r="C12" s="10" cm="1">
        <f t="array" ref="C12">get_start_date(E12,holidays)</f>
        <v>44910</v>
      </c>
      <c r="D12" s="11" cm="1">
        <f t="array" ref="D12">get_finish_date(C12,holidays,F12)</f>
        <v>44917</v>
      </c>
      <c r="E12" s="12">
        <f>D10</f>
        <v>44910</v>
      </c>
      <c r="F12" s="19">
        <v>5</v>
      </c>
    </row>
    <row r="13" spans="1:8" x14ac:dyDescent="0.3">
      <c r="A13" s="14" t="s">
        <v>426</v>
      </c>
      <c r="B13" s="9">
        <f t="shared" ref="B13" ca="1" si="2">IFERROR(MAX(MIN(TODAY()-C13,D13-C13),0)/(D13-C13),0)</f>
        <v>0</v>
      </c>
      <c r="C13" s="10" cm="1">
        <f t="array" ref="C13">get_start_date(E13,holidays)</f>
        <v>44917</v>
      </c>
      <c r="D13" s="11" cm="1">
        <f t="array" ref="D13">get_finish_date(C13,holidays,F13)</f>
        <v>44917</v>
      </c>
      <c r="E13" s="12">
        <v>44917</v>
      </c>
      <c r="F13" s="19">
        <v>0</v>
      </c>
    </row>
    <row r="14" spans="1:8" x14ac:dyDescent="0.3">
      <c r="A14" s="8" t="s">
        <v>427</v>
      </c>
      <c r="B14" s="9">
        <v>1</v>
      </c>
      <c r="C14" s="10" cm="1">
        <f t="array" ref="C14">get_start_date(E14,holidays)</f>
        <v>44917</v>
      </c>
      <c r="D14" s="11" cm="1">
        <f t="array" ref="D14">get_finish_date(C14,holidays,F14)</f>
        <v>44925</v>
      </c>
      <c r="E14" s="12">
        <f>D13</f>
        <v>44917</v>
      </c>
      <c r="F14" s="19">
        <v>6</v>
      </c>
    </row>
    <row r="15" spans="1:8" x14ac:dyDescent="0.3">
      <c r="A15" s="14" t="s">
        <v>428</v>
      </c>
      <c r="B15" s="9">
        <f t="shared" ref="B15" ca="1" si="3">IFERROR(MAX(MIN(TODAY()-C15,D15-C15),0)/(D15-C15),0)</f>
        <v>0</v>
      </c>
      <c r="C15" s="10" cm="1">
        <f t="array" ref="C15">get_start_date(E15,holidays)</f>
        <v>44925</v>
      </c>
      <c r="D15" s="11" cm="1">
        <f t="array" ref="D15">get_finish_date(C15,holidays,F15)</f>
        <v>44925</v>
      </c>
      <c r="E15" s="12">
        <f>D14</f>
        <v>44925</v>
      </c>
      <c r="F15" s="19">
        <v>0</v>
      </c>
    </row>
    <row r="16" spans="1:8" x14ac:dyDescent="0.3">
      <c r="A16" s="8" t="s">
        <v>429</v>
      </c>
      <c r="B16" s="9">
        <f t="shared" ca="1" si="1"/>
        <v>1</v>
      </c>
      <c r="C16" s="10" cm="1">
        <f t="array" ref="C16">get_start_date(E16,holidays)</f>
        <v>44929</v>
      </c>
      <c r="D16" s="11" cm="1">
        <f t="array" ref="D16">get_finish_date(C16,holidays,F16)</f>
        <v>44939</v>
      </c>
      <c r="E16" s="12">
        <v>44929</v>
      </c>
      <c r="F16" s="19">
        <v>8</v>
      </c>
    </row>
    <row r="17" spans="1:7" x14ac:dyDescent="0.3">
      <c r="A17" s="14" t="s">
        <v>430</v>
      </c>
      <c r="B17" s="9">
        <f t="shared" ref="B17" ca="1" si="4">IFERROR(MAX(MIN(TODAY()-C17,D17-C17),0)/(D17-C17),0)</f>
        <v>0</v>
      </c>
      <c r="C17" s="10" cm="1">
        <f t="array" ref="C17">get_start_date(E17,holidays)</f>
        <v>44939</v>
      </c>
      <c r="D17" s="11" cm="1">
        <f t="array" ref="D17">get_finish_date(C17,holidays,F17)</f>
        <v>44939</v>
      </c>
      <c r="E17" s="12">
        <f>D16</f>
        <v>44939</v>
      </c>
      <c r="F17" s="19">
        <v>0</v>
      </c>
    </row>
    <row r="18" spans="1:7" x14ac:dyDescent="0.3">
      <c r="A18" s="8" t="s">
        <v>431</v>
      </c>
      <c r="B18" s="9">
        <v>1</v>
      </c>
      <c r="C18" s="10" cm="1">
        <f t="array" ref="C18">get_start_date(E18,holidays)</f>
        <v>44942</v>
      </c>
      <c r="D18" s="11" cm="1">
        <f t="array" ref="D18">get_finish_date(C18,holidays,F18)</f>
        <v>44952</v>
      </c>
      <c r="E18" s="12">
        <v>44940</v>
      </c>
      <c r="F18" s="19">
        <v>8</v>
      </c>
      <c r="G18" s="15" t="s">
        <v>432</v>
      </c>
    </row>
    <row r="19" spans="1:7" x14ac:dyDescent="0.3">
      <c r="A19" s="14" t="s">
        <v>433</v>
      </c>
      <c r="B19" s="9">
        <f t="shared" ref="B19:B21" ca="1" si="5">IFERROR(MAX(MIN(TODAY()-C19,D19-C19),0)/(D19-C19),0)</f>
        <v>0</v>
      </c>
      <c r="C19" s="10" cm="1">
        <f t="array" ref="C19">get_start_date(E19,holidays)</f>
        <v>44952</v>
      </c>
      <c r="D19" s="11" cm="1">
        <f t="array" ref="D19">get_finish_date(C19,holidays,F19)</f>
        <v>44952</v>
      </c>
      <c r="E19" s="12">
        <v>44952</v>
      </c>
      <c r="F19" s="19">
        <v>0</v>
      </c>
      <c r="G19" s="15" t="s">
        <v>434</v>
      </c>
    </row>
    <row r="20" spans="1:7" x14ac:dyDescent="0.3">
      <c r="A20" s="14" t="s">
        <v>435</v>
      </c>
      <c r="B20" s="9">
        <f t="shared" ca="1" si="5"/>
        <v>1</v>
      </c>
      <c r="C20" s="10" cm="1">
        <f t="array" ref="C20">get_start_date(E20,holidays)</f>
        <v>44952</v>
      </c>
      <c r="D20" s="11" cm="1">
        <f t="array" ref="D20">get_finish_date(C20,holidays,F20)</f>
        <v>44960</v>
      </c>
      <c r="E20" s="12">
        <f>D18</f>
        <v>44952</v>
      </c>
      <c r="F20" s="19">
        <v>6</v>
      </c>
    </row>
    <row r="21" spans="1:7" x14ac:dyDescent="0.3">
      <c r="A21" s="14" t="s">
        <v>436</v>
      </c>
      <c r="B21" s="9">
        <f t="shared" ca="1" si="5"/>
        <v>0</v>
      </c>
      <c r="C21" s="10" cm="1">
        <f t="array" ref="C21">get_start_date(E21,holidays)</f>
        <v>44960</v>
      </c>
      <c r="D21" s="11" cm="1">
        <f t="array" ref="D21">get_finish_date(C21,holidays,F21)</f>
        <v>44960</v>
      </c>
      <c r="E21" s="12">
        <f>D20</f>
        <v>44960</v>
      </c>
      <c r="F21" s="19">
        <v>0</v>
      </c>
    </row>
    <row r="22" spans="1:7" x14ac:dyDescent="0.3">
      <c r="A22" s="14" t="s">
        <v>437</v>
      </c>
      <c r="B22" s="30">
        <f ca="1">IFERROR(MAX(MIN(TODAY()-C22,D22-C22),0)/(D22-C22),0)</f>
        <v>1</v>
      </c>
      <c r="C22" s="11" cm="1">
        <f t="array" ref="C22">get_start_date(E22,holidays)</f>
        <v>44960</v>
      </c>
      <c r="D22" s="11" cm="1">
        <f t="array" ref="D22">get_finish_date(C22,holidays,F22)</f>
        <v>44971</v>
      </c>
      <c r="E22" s="12">
        <f>D20</f>
        <v>44960</v>
      </c>
      <c r="F22" s="31">
        <v>7</v>
      </c>
    </row>
    <row r="23" spans="1:7" x14ac:dyDescent="0.3">
      <c r="A23" s="14" t="s">
        <v>438</v>
      </c>
      <c r="B23" s="30">
        <f ca="1">IFERROR(MAX(MIN(TODAY()-C23,D23-C23),0)/(D23-C23),0)</f>
        <v>1</v>
      </c>
      <c r="C23" s="11" cm="1">
        <f t="array" ref="C23">get_start_date(E23,holidays)</f>
        <v>44971</v>
      </c>
      <c r="D23" s="11" cm="1">
        <f t="array" ref="D23">get_finish_date(C23,holidays,F23)</f>
        <v>44978</v>
      </c>
      <c r="E23" s="12">
        <f>D22</f>
        <v>44971</v>
      </c>
      <c r="F23" s="31">
        <v>5</v>
      </c>
    </row>
    <row r="24" spans="1:7" x14ac:dyDescent="0.3">
      <c r="A24" s="14" t="s">
        <v>505</v>
      </c>
      <c r="B24" s="30">
        <f ca="1">IFERROR(MAX(MIN(TODAY()-C24,D24-C24),0)/(D24-C24),0)</f>
        <v>1</v>
      </c>
      <c r="C24" s="11">
        <v>44992</v>
      </c>
      <c r="D24" s="11" cm="1">
        <f t="array" ref="D24">get_finish_date(C24,holidays,F24)</f>
        <v>44999</v>
      </c>
      <c r="E24" s="12">
        <f>D23</f>
        <v>44978</v>
      </c>
      <c r="F24" s="31">
        <v>5</v>
      </c>
    </row>
  </sheetData>
  <dataValidations count="3">
    <dataValidation type="decimal" allowBlank="1" showInputMessage="1" showErrorMessage="1" prompt="Actual project completion (%)" sqref="B2:B24" xr:uid="{63F35AF1-4D5E-48DC-BD3D-1A6A96305782}">
      <formula1>0</formula1>
      <formula2>1</formula2>
    </dataValidation>
    <dataValidation type="date" allowBlank="1" showInputMessage="1" showErrorMessage="1" sqref="C2:E24" xr:uid="{73BC9A3F-C7C2-42E7-B349-676075A6F6D3}">
      <formula1>44562</formula1>
      <formula2>219148</formula2>
    </dataValidation>
    <dataValidation type="whole" allowBlank="1" showInputMessage="1" showErrorMessage="1" prompt="Number of working days" sqref="F2:F24" xr:uid="{8CF93C13-9E57-4252-B924-81146AA9214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ignoredErrors>
    <ignoredError sqref="E21:E22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0C196-EB1E-4515-8A24-CD0873417649}">
  <sheetPr codeName="Sheet28"/>
  <dimension ref="A1:H5"/>
  <sheetViews>
    <sheetView showGridLines="0" zoomScale="140" zoomScaleNormal="140" workbookViewId="0">
      <selection activeCell="A15" sqref="A15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ref="B2">MIN(MMULT(TRANSPOSE(B3:B5),D3:D5-C3:C5)/SUM(D3:D5-C3:C5)+0.0005,1)</f>
        <v>1</v>
      </c>
      <c r="C2" s="22" cm="1">
        <f t="array" ref="C2">get_start_date(E2,holidays)</f>
        <v>44911</v>
      </c>
      <c r="D2" s="23">
        <f>MAX(D3:D5)</f>
        <v>44917</v>
      </c>
      <c r="E2" s="23">
        <f>MIN(E3:E5)</f>
        <v>44911</v>
      </c>
      <c r="F2" s="24" cm="1">
        <f t="array" ref="F2">SUM(IF(WEEKDAY(_xlfn.SEQUENCE(D2-C2,1,C2,1),2)&lt;6,1,0))-SUM(IF(ISERROR(MATCH(_xlfn.SEQUENCE(D2-C2,1,C2,1),holidays,0)&gt;0)=FALSE,1,0))</f>
        <v>4</v>
      </c>
      <c r="H2" s="26"/>
    </row>
    <row r="3" spans="1:8" x14ac:dyDescent="0.3">
      <c r="A3" s="8" t="s">
        <v>439</v>
      </c>
      <c r="B3" s="9">
        <v>1</v>
      </c>
      <c r="C3" s="10" cm="1">
        <f t="array" ref="C3">get_start_date(E3,holidays)</f>
        <v>44911</v>
      </c>
      <c r="D3" s="11" cm="1">
        <f t="array" ref="D3">get_finish_date(C3,holidays,F3)</f>
        <v>44916</v>
      </c>
      <c r="E3" s="12">
        <v>44911</v>
      </c>
      <c r="F3" s="19">
        <v>3</v>
      </c>
      <c r="G3" s="25" t="s">
        <v>440</v>
      </c>
      <c r="H3" s="26"/>
    </row>
    <row r="4" spans="1:8" x14ac:dyDescent="0.3">
      <c r="A4" s="8" t="s">
        <v>441</v>
      </c>
      <c r="B4" s="9">
        <v>1</v>
      </c>
      <c r="C4" s="10" cm="1">
        <f t="array" ref="C4">get_start_date(E4,holidays)</f>
        <v>44914</v>
      </c>
      <c r="D4" s="11" cm="1">
        <f t="array" ref="D4">get_finish_date(C4,holidays,F4)</f>
        <v>44917</v>
      </c>
      <c r="E4" s="12">
        <v>44914</v>
      </c>
      <c r="F4" s="19">
        <v>3</v>
      </c>
      <c r="G4" s="25"/>
      <c r="H4" s="26"/>
    </row>
    <row r="5" spans="1:8" x14ac:dyDescent="0.3">
      <c r="A5" s="14" t="s">
        <v>382</v>
      </c>
      <c r="B5" s="9">
        <v>1</v>
      </c>
      <c r="C5" s="10" cm="1">
        <f t="array" ref="C5">get_start_date(E5,holidays)</f>
        <v>44917</v>
      </c>
      <c r="D5" s="11" cm="1">
        <f t="array" ref="D5">get_finish_date(C5,holidays,F5)</f>
        <v>44917</v>
      </c>
      <c r="E5" s="12">
        <v>44917</v>
      </c>
      <c r="F5" s="19">
        <v>0</v>
      </c>
      <c r="G5" s="25"/>
      <c r="H5" s="26"/>
    </row>
  </sheetData>
  <dataValidations count="3">
    <dataValidation type="decimal" allowBlank="1" showInputMessage="1" showErrorMessage="1" prompt="Actual project completion (%)" sqref="B2:B5" xr:uid="{74312927-2011-4FEC-BCD1-02C371868F68}">
      <formula1>0</formula1>
      <formula2>1</formula2>
    </dataValidation>
    <dataValidation type="date" allowBlank="1" showInputMessage="1" showErrorMessage="1" sqref="C2:E5" xr:uid="{5F31F759-E674-42A9-AAC6-928D006B316B}">
      <formula1>44562</formula1>
      <formula2>219148</formula2>
    </dataValidation>
    <dataValidation type="whole" allowBlank="1" showInputMessage="1" showErrorMessage="1" prompt="Number of working days" sqref="F2:F5" xr:uid="{C9F39234-4311-4974-9708-497E6AABB46C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4F2C-7A81-4903-923E-BE656C16CD8C}">
  <sheetPr codeName="Sheet27"/>
  <dimension ref="A1:H4"/>
  <sheetViews>
    <sheetView showGridLines="0" zoomScale="140" zoomScaleNormal="140" workbookViewId="0"/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MIN(MMULT(TRANSPOSE(B3:B4),D3:D4-C3:C4)/SUM(D3:D4-C3:C4)+0.0005,1)</f>
        <v>1</v>
      </c>
      <c r="C2" s="22" cm="1">
        <f t="array" ref="C2">get_start_date(E2,holidays)</f>
        <v>44914</v>
      </c>
      <c r="D2" s="23">
        <f>MAX(D3:D4)</f>
        <v>44918</v>
      </c>
      <c r="E2" s="23">
        <f>MIN(E3:E4)</f>
        <v>44914</v>
      </c>
      <c r="F2" s="24" cm="1">
        <f t="array" ref="F2">SUM(IF(WEEKDAY(_xlfn.SEQUENCE(D2-C2,1,C2,1),2)&lt;6,1,0))-SUM(IF(ISERROR(MATCH(_xlfn.SEQUENCE(D2-C2,1,C2,1),holidays,0)&gt;0)=FALSE,1,0))</f>
        <v>4</v>
      </c>
      <c r="H2" s="26"/>
    </row>
    <row r="3" spans="1:8" x14ac:dyDescent="0.3">
      <c r="A3" s="8" t="s">
        <v>442</v>
      </c>
      <c r="B3" s="9">
        <f t="shared" ref="B3" ca="1" si="0">IFERROR(MAX(MIN(TODAY()-C3,D3-C3),0)/(D3-C3),0)</f>
        <v>1</v>
      </c>
      <c r="C3" s="10" cm="1">
        <f t="array" ref="C3">get_start_date(E3,holidays)</f>
        <v>44914</v>
      </c>
      <c r="D3" s="11" cm="1">
        <f t="array" ref="D3">get_finish_date(C3,holidays,F3)</f>
        <v>44918</v>
      </c>
      <c r="E3" s="12">
        <v>44914</v>
      </c>
      <c r="F3" s="19">
        <v>4</v>
      </c>
      <c r="G3" s="25"/>
      <c r="H3" s="26"/>
    </row>
    <row r="4" spans="1:8" x14ac:dyDescent="0.3">
      <c r="A4" s="14" t="s">
        <v>382</v>
      </c>
      <c r="B4" s="9">
        <v>0</v>
      </c>
      <c r="C4" s="10" cm="1">
        <f t="array" ref="C4">get_start_date(E4,holidays)</f>
        <v>44918</v>
      </c>
      <c r="D4" s="11" cm="1">
        <f t="array" ref="D4">get_finish_date(C4,holidays,F4)</f>
        <v>44918</v>
      </c>
      <c r="E4" s="12">
        <v>44918</v>
      </c>
      <c r="F4" s="19">
        <v>0</v>
      </c>
      <c r="G4" s="25"/>
      <c r="H4" s="26"/>
    </row>
  </sheetData>
  <dataValidations count="3">
    <dataValidation type="decimal" allowBlank="1" showInputMessage="1" showErrorMessage="1" prompt="Actual project completion (%)" sqref="B2:B4" xr:uid="{8297A23B-4D75-4DD1-8CD7-A4A30E4EFD40}">
      <formula1>0</formula1>
      <formula2>1</formula2>
    </dataValidation>
    <dataValidation type="date" allowBlank="1" showInputMessage="1" showErrorMessage="1" sqref="C2:E4" xr:uid="{06F2209C-159A-4D62-9221-A5E224C18FB0}">
      <formula1>44562</formula1>
      <formula2>219148</formula2>
    </dataValidation>
    <dataValidation type="whole" allowBlank="1" showInputMessage="1" showErrorMessage="1" prompt="Number of working days" sqref="F2:F4" xr:uid="{58F88940-C150-4094-8BE4-67C0F0DF02F4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74045-AEE0-41C3-A841-865E1ED4F1D6}">
  <sheetPr codeName="Sheet29"/>
  <dimension ref="A1:H11"/>
  <sheetViews>
    <sheetView showGridLines="0" zoomScale="140" zoomScaleNormal="140" workbookViewId="0">
      <selection activeCell="A20" sqref="A20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MIN(MMULT(TRANSPOSE(B3:B11),D3:D11-C3:C11)/SUM(D3:D11-C3:C11)+0.0005,1)</f>
        <v>1</v>
      </c>
      <c r="C2" s="22" cm="1">
        <f t="array" ref="C2">get_start_date(E2,holidays)</f>
        <v>44943</v>
      </c>
      <c r="D2" s="23">
        <f>MAX(D3:D10)</f>
        <v>44980</v>
      </c>
      <c r="E2" s="23">
        <f>MIN(E3:E11)</f>
        <v>44943</v>
      </c>
      <c r="F2" s="24" cm="1">
        <f t="array" ref="F2">SUM(IF(WEEKDAY(_xlfn.SEQUENCE(D2-C2,1,C2,1),2)&lt;6,1,0))-SUM(IF(ISERROR(MATCH(_xlfn.SEQUENCE(D2-C2,1,C2,1),holidays,0)&gt;0)=FALSE,1,0))</f>
        <v>27</v>
      </c>
      <c r="H2" s="26"/>
    </row>
    <row r="3" spans="1:8" x14ac:dyDescent="0.3">
      <c r="A3" s="8" t="s">
        <v>443</v>
      </c>
      <c r="B3" s="9">
        <f t="shared" ref="B3:B5" ca="1" si="0">IFERROR(MAX(MIN(TODAY()-C3,D3-C3),0)/(D3-C3),0)</f>
        <v>1</v>
      </c>
      <c r="C3" s="10" cm="1">
        <f t="array" ref="C3">get_start_date(E3,holidays)</f>
        <v>44943</v>
      </c>
      <c r="D3" s="11" cm="1">
        <f t="array" ref="D3">get_finish_date(C3,holidays,F3)</f>
        <v>44945</v>
      </c>
      <c r="E3" s="12">
        <v>44943</v>
      </c>
      <c r="F3" s="19">
        <v>2</v>
      </c>
      <c r="G3" s="25"/>
      <c r="H3" s="26"/>
    </row>
    <row r="4" spans="1:8" x14ac:dyDescent="0.3">
      <c r="A4" s="8" t="s">
        <v>382</v>
      </c>
      <c r="B4" s="9">
        <f t="shared" ca="1" si="0"/>
        <v>0</v>
      </c>
      <c r="C4" s="10" cm="1">
        <f t="array" ref="C4">get_start_date(E4,holidays)</f>
        <v>44945</v>
      </c>
      <c r="D4" s="11" cm="1">
        <f t="array" ref="D4">get_finish_date(C4,holidays,F4)</f>
        <v>44945</v>
      </c>
      <c r="E4" s="12">
        <f t="shared" ref="E4:E6" si="1">D3</f>
        <v>44945</v>
      </c>
      <c r="F4" s="19">
        <v>0</v>
      </c>
      <c r="G4" s="25"/>
      <c r="H4" s="26"/>
    </row>
    <row r="5" spans="1:8" x14ac:dyDescent="0.3">
      <c r="A5" s="8" t="s">
        <v>444</v>
      </c>
      <c r="B5" s="9">
        <f t="shared" ca="1" si="0"/>
        <v>1</v>
      </c>
      <c r="C5" s="10" cm="1">
        <f t="array" ref="C5">get_start_date(E5,holidays)</f>
        <v>44945</v>
      </c>
      <c r="D5" s="11" cm="1">
        <f t="array" ref="D5">get_finish_date(C5,holidays,F5)</f>
        <v>44946</v>
      </c>
      <c r="E5" s="12">
        <f t="shared" si="1"/>
        <v>44945</v>
      </c>
      <c r="F5" s="19">
        <v>1</v>
      </c>
      <c r="G5" s="25"/>
      <c r="H5" s="26"/>
    </row>
    <row r="6" spans="1:8" x14ac:dyDescent="0.3">
      <c r="A6" s="8" t="s">
        <v>445</v>
      </c>
      <c r="B6" s="9">
        <f t="shared" ref="B6:B11" ca="1" si="2">IFERROR(MAX(MIN(TODAY()-C6,D6-C6),0)/(D6-C6),0)</f>
        <v>1</v>
      </c>
      <c r="C6" s="10" cm="1">
        <f t="array" ref="C6">get_start_date(E6,holidays)</f>
        <v>44946</v>
      </c>
      <c r="D6" s="11" cm="1">
        <f t="array" ref="D6">get_finish_date(C6,holidays,F6)</f>
        <v>44951</v>
      </c>
      <c r="E6" s="12">
        <f t="shared" si="1"/>
        <v>44946</v>
      </c>
      <c r="F6" s="19">
        <v>3</v>
      </c>
      <c r="G6" s="25"/>
      <c r="H6" s="26"/>
    </row>
    <row r="7" spans="1:8" x14ac:dyDescent="0.3">
      <c r="A7" s="8" t="s">
        <v>446</v>
      </c>
      <c r="B7" s="9">
        <f t="shared" ca="1" si="2"/>
        <v>1</v>
      </c>
      <c r="C7" s="10" cm="1">
        <f t="array" ref="C7">get_start_date(E7,holidays)</f>
        <v>44951</v>
      </c>
      <c r="D7" s="11" cm="1">
        <f t="array" ref="D7">get_finish_date(C7,holidays,F7)</f>
        <v>44971</v>
      </c>
      <c r="E7" s="12">
        <f t="shared" ref="E7" si="3">D6</f>
        <v>44951</v>
      </c>
      <c r="F7" s="19">
        <v>14</v>
      </c>
      <c r="G7" s="25"/>
      <c r="H7" s="26"/>
    </row>
    <row r="8" spans="1:8" ht="25" x14ac:dyDescent="0.3">
      <c r="A8" s="8" t="s">
        <v>447</v>
      </c>
      <c r="B8" s="9">
        <f t="shared" ca="1" si="2"/>
        <v>1</v>
      </c>
      <c r="C8" s="10" cm="1">
        <f t="array" ref="C8">get_start_date(E8,holidays)</f>
        <v>44971</v>
      </c>
      <c r="D8" s="11" cm="1">
        <f t="array" ref="D8">get_finish_date(C8,holidays,F8)</f>
        <v>44979</v>
      </c>
      <c r="E8" s="12">
        <f>D7</f>
        <v>44971</v>
      </c>
      <c r="F8" s="19">
        <v>6</v>
      </c>
      <c r="G8" s="25"/>
      <c r="H8" s="26"/>
    </row>
    <row r="9" spans="1:8" ht="25" x14ac:dyDescent="0.3">
      <c r="A9" s="8" t="s">
        <v>448</v>
      </c>
      <c r="B9" s="9">
        <f t="shared" ca="1" si="2"/>
        <v>1</v>
      </c>
      <c r="C9" s="10" cm="1">
        <f t="array" ref="C9">get_start_date(E9,holidays)</f>
        <v>44979</v>
      </c>
      <c r="D9" s="11" cm="1">
        <f t="array" ref="D9">get_finish_date(C9,holidays,F9)</f>
        <v>44980</v>
      </c>
      <c r="E9" s="12">
        <f t="shared" ref="E9" si="4">D8</f>
        <v>44979</v>
      </c>
      <c r="F9" s="19">
        <v>1</v>
      </c>
      <c r="G9" s="25"/>
      <c r="H9" s="26"/>
    </row>
    <row r="10" spans="1:8" x14ac:dyDescent="0.3">
      <c r="A10" s="8" t="s">
        <v>449</v>
      </c>
      <c r="B10" s="9">
        <f t="shared" ca="1" si="2"/>
        <v>1</v>
      </c>
      <c r="C10" s="10" cm="1">
        <f t="array" ref="C10">get_start_date(E10,holidays)</f>
        <v>44977</v>
      </c>
      <c r="D10" s="11" cm="1">
        <f t="array" ref="D10">get_finish_date(C10,holidays,F10)</f>
        <v>44979</v>
      </c>
      <c r="E10" s="12">
        <v>44977</v>
      </c>
      <c r="F10" s="19">
        <v>2</v>
      </c>
      <c r="G10" s="25"/>
      <c r="H10" s="26"/>
    </row>
    <row r="11" spans="1:8" x14ac:dyDescent="0.3">
      <c r="A11" s="8" t="s">
        <v>450</v>
      </c>
      <c r="B11" s="9">
        <f t="shared" ca="1" si="2"/>
        <v>0</v>
      </c>
      <c r="C11" s="10" cm="1">
        <f t="array" ref="C11">get_start_date(E11,holidays)</f>
        <v>44980</v>
      </c>
      <c r="D11" s="11" cm="1">
        <f t="array" ref="D11">get_finish_date(C11,holidays,F11)</f>
        <v>44980</v>
      </c>
      <c r="E11" s="12">
        <f>D9</f>
        <v>44980</v>
      </c>
      <c r="F11" s="19">
        <v>0</v>
      </c>
      <c r="G11" s="25"/>
      <c r="H11" s="26"/>
    </row>
  </sheetData>
  <dataValidations count="3">
    <dataValidation type="decimal" allowBlank="1" showInputMessage="1" showErrorMessage="1" prompt="Actual project completion (%)" sqref="B2:B11" xr:uid="{E44145AB-B80A-4CE3-B2BD-6FE4D8EB05E0}">
      <formula1>0</formula1>
      <formula2>1</formula2>
    </dataValidation>
    <dataValidation type="date" allowBlank="1" showInputMessage="1" showErrorMessage="1" sqref="C2:E11" xr:uid="{43B73660-3671-4C9F-9533-4E2F53EF32B2}">
      <formula1>44562</formula1>
      <formula2>219148</formula2>
    </dataValidation>
    <dataValidation type="whole" allowBlank="1" showInputMessage="1" showErrorMessage="1" prompt="Number of working days" sqref="F2:F11" xr:uid="{9588C63B-0EBB-4128-9450-3F66F87035A8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BA648-BD2B-4AA6-A1C0-CB1261A9667F}">
  <sheetPr codeName="Sheet30"/>
  <dimension ref="A1:H6"/>
  <sheetViews>
    <sheetView showGridLines="0" zoomScale="140" zoomScaleNormal="140" workbookViewId="0">
      <selection activeCell="B10" sqref="B10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MIN(MMULT(TRANSPOSE(B3:B6),D3:D6-C3:C6)/SUM(D3:D6-C3:C6)+0.005,1)</f>
        <v>0.9425</v>
      </c>
      <c r="C2" s="22" cm="1">
        <f t="array" ref="C2">get_start_date(E2,holidays)</f>
        <v>45061</v>
      </c>
      <c r="D2" s="23">
        <f>MAX(D3:D6)</f>
        <v>45077</v>
      </c>
      <c r="E2" s="23">
        <f>MIN(E3:E6)</f>
        <v>45061</v>
      </c>
      <c r="F2" s="24" cm="1">
        <f t="array" ref="F2">SUM(IF(WEEKDAY(_xlfn.SEQUENCE(D2-C2,1,C2,1),2)&lt;6,1,0))-SUM(IF(ISERROR(MATCH(_xlfn.SEQUENCE(D2-C2,1,C2,1),holidays,0)&gt;0)=FALSE,1,0))</f>
        <v>12</v>
      </c>
      <c r="H2" s="26"/>
    </row>
    <row r="3" spans="1:8" x14ac:dyDescent="0.3">
      <c r="A3" s="8" t="s">
        <v>592</v>
      </c>
      <c r="B3" s="9">
        <f t="shared" ref="B3:B5" ca="1" si="0">IFERROR(MAX(MIN(TODAY()-C3,D3-C3),0)/(D3-C3),0)</f>
        <v>1</v>
      </c>
      <c r="C3" s="10" cm="1">
        <f t="array" ref="C3">get_start_date(E3,holidays)</f>
        <v>45061</v>
      </c>
      <c r="D3" s="11" cm="1">
        <f t="array" ref="D3">get_finish_date(C3,holidays,F3)</f>
        <v>45063</v>
      </c>
      <c r="E3" s="12">
        <v>45061</v>
      </c>
      <c r="F3" s="19">
        <v>2</v>
      </c>
      <c r="G3" s="25"/>
      <c r="H3" s="26"/>
    </row>
    <row r="4" spans="1:8" x14ac:dyDescent="0.3">
      <c r="A4" s="8" t="s">
        <v>623</v>
      </c>
      <c r="B4" s="9">
        <f t="shared" ca="1" si="0"/>
        <v>1</v>
      </c>
      <c r="C4" s="10" cm="1">
        <f t="array" ref="C4">get_start_date(E4,holidays)</f>
        <v>45063</v>
      </c>
      <c r="D4" s="11" cm="1">
        <f t="array" ref="D4">get_finish_date(C4,holidays,F4)</f>
        <v>45069</v>
      </c>
      <c r="E4" s="12">
        <f>D3</f>
        <v>45063</v>
      </c>
      <c r="F4" s="19">
        <v>4</v>
      </c>
      <c r="G4" s="25"/>
      <c r="H4" s="26"/>
    </row>
    <row r="5" spans="1:8" x14ac:dyDescent="0.3">
      <c r="A5" s="8" t="s">
        <v>648</v>
      </c>
      <c r="B5" s="9">
        <f t="shared" ca="1" si="0"/>
        <v>1</v>
      </c>
      <c r="C5" s="10" cm="1">
        <f t="array" ref="C5">get_start_date(E5,holidays)</f>
        <v>45069</v>
      </c>
      <c r="D5" s="11" cm="1">
        <f t="array" ref="D5">get_finish_date(C5,holidays,F5)</f>
        <v>45071</v>
      </c>
      <c r="E5" s="12">
        <f>D4</f>
        <v>45069</v>
      </c>
      <c r="F5" s="19">
        <v>2</v>
      </c>
      <c r="G5" s="25"/>
      <c r="H5" s="26"/>
    </row>
    <row r="6" spans="1:8" x14ac:dyDescent="0.3">
      <c r="A6" s="8" t="s">
        <v>649</v>
      </c>
      <c r="B6" s="9">
        <f t="shared" ref="B6" ca="1" si="1">IFERROR(MAX(MIN(TODAY()-C6,D6-C6),0)/(D6-C6),0)</f>
        <v>0.83333333333333337</v>
      </c>
      <c r="C6" s="10" cm="1">
        <f t="array" ref="C6">get_start_date(E6,holidays)</f>
        <v>45071</v>
      </c>
      <c r="D6" s="11" cm="1">
        <f t="array" ref="D6">get_finish_date(C6,holidays,F6)</f>
        <v>45077</v>
      </c>
      <c r="E6" s="12">
        <f>D5</f>
        <v>45071</v>
      </c>
      <c r="F6" s="19">
        <v>4</v>
      </c>
      <c r="G6" s="25"/>
      <c r="H6" s="26"/>
    </row>
  </sheetData>
  <dataValidations count="3">
    <dataValidation type="decimal" allowBlank="1" showInputMessage="1" showErrorMessage="1" prompt="Actual project completion (%)" sqref="B2:B6" xr:uid="{529FC530-89C1-4A11-A8BA-55F4B9E2B1C2}">
      <formula1>0</formula1>
      <formula2>1</formula2>
    </dataValidation>
    <dataValidation type="date" allowBlank="1" showInputMessage="1" showErrorMessage="1" sqref="C2:E6" xr:uid="{EF3BA3F0-05E8-4F6E-BE54-E2614329F4A5}">
      <formula1>44562</formula1>
      <formula2>219148</formula2>
    </dataValidation>
    <dataValidation type="whole" allowBlank="1" showInputMessage="1" showErrorMessage="1" prompt="Number of working days" sqref="F2:F6" xr:uid="{0A9AD569-E304-4098-8EBC-61DFA900A14A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844-7FC9-448F-A06E-06AAF189E157}">
  <sheetPr codeName="Sheet31"/>
  <dimension ref="A1:H6"/>
  <sheetViews>
    <sheetView showGridLines="0" zoomScale="140" zoomScaleNormal="140" workbookViewId="0">
      <selection activeCell="A6" sqref="A6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MIN(MMULT(TRANSPOSE(B3:B6),D3:D6-C3:C6)/SUM(D3:D6-C3:C6)+0.0005,1)</f>
        <v>1</v>
      </c>
      <c r="C2" s="22" cm="1">
        <f t="array" ref="C2">get_start_date(E2,holidays)</f>
        <v>44953</v>
      </c>
      <c r="D2" s="23">
        <f>MAX(D3:D6)</f>
        <v>44993</v>
      </c>
      <c r="E2" s="23">
        <f>MIN(E3:E6)</f>
        <v>44953</v>
      </c>
      <c r="F2" s="24" cm="1">
        <f t="array" ref="F2">SUM(IF(WEEKDAY(_xlfn.SEQUENCE(D2-C2,1,C2,1),2)&lt;6,1,0))-SUM(IF(ISERROR(MATCH(_xlfn.SEQUENCE(D2-C2,1,C2,1),holidays,0)&gt;0)=FALSE,1,0))</f>
        <v>27</v>
      </c>
      <c r="H2" s="26"/>
    </row>
    <row r="3" spans="1:8" x14ac:dyDescent="0.3">
      <c r="A3" s="8" t="s">
        <v>451</v>
      </c>
      <c r="B3" s="9">
        <f t="shared" ref="B3" ca="1" si="0">IFERROR(MAX(MIN(TODAY()-C3,D3-C3),0)/(D3-C3),0)</f>
        <v>1</v>
      </c>
      <c r="C3" s="10" cm="1">
        <f t="array" ref="C3">get_start_date(E3,holidays)</f>
        <v>44953</v>
      </c>
      <c r="D3" s="11" cm="1">
        <f t="array" ref="D3">get_finish_date(C3,holidays,F3)</f>
        <v>44967</v>
      </c>
      <c r="E3" s="12">
        <v>44953</v>
      </c>
      <c r="F3" s="19">
        <v>10</v>
      </c>
      <c r="G3" s="25"/>
      <c r="H3" s="26"/>
    </row>
    <row r="4" spans="1:8" x14ac:dyDescent="0.3">
      <c r="A4" s="8" t="s">
        <v>504</v>
      </c>
      <c r="B4" s="9">
        <f t="shared" ref="B4:B5" ca="1" si="1">IFERROR(MAX(MIN(TODAY()-C4,D4-C4),0)/(D4-C4),0)</f>
        <v>1</v>
      </c>
      <c r="C4" s="10" cm="1">
        <f t="array" ref="C4">get_start_date(E4,holidays)</f>
        <v>44967</v>
      </c>
      <c r="D4" s="11" cm="1">
        <f t="array" ref="D4">get_finish_date(C4,holidays,F4)</f>
        <v>44980</v>
      </c>
      <c r="E4" s="12">
        <f>D3</f>
        <v>44967</v>
      </c>
      <c r="F4" s="19">
        <v>9</v>
      </c>
      <c r="G4" s="25"/>
      <c r="H4" s="26"/>
    </row>
    <row r="5" spans="1:8" x14ac:dyDescent="0.3">
      <c r="A5" s="14" t="s">
        <v>452</v>
      </c>
      <c r="B5" s="9">
        <f t="shared" ca="1" si="1"/>
        <v>1</v>
      </c>
      <c r="C5" s="10" cm="1">
        <f t="array" ref="C5">get_start_date(E5,holidays)</f>
        <v>44980</v>
      </c>
      <c r="D5" s="11" cm="1">
        <f t="array" ref="D5">get_finish_date(C5,holidays,F5)</f>
        <v>44993</v>
      </c>
      <c r="E5" s="12">
        <f>D4</f>
        <v>44980</v>
      </c>
      <c r="F5" s="19">
        <v>8</v>
      </c>
      <c r="G5" s="25"/>
      <c r="H5" s="26"/>
    </row>
    <row r="6" spans="1:8" x14ac:dyDescent="0.3">
      <c r="A6" s="14" t="s">
        <v>453</v>
      </c>
      <c r="B6" s="9">
        <v>0</v>
      </c>
      <c r="C6" s="10" cm="1">
        <f t="array" ref="C6">get_start_date(E6,holidays)</f>
        <v>44993</v>
      </c>
      <c r="D6" s="11" cm="1">
        <f t="array" ref="D6">get_finish_date(C6,holidays,F6)</f>
        <v>44993</v>
      </c>
      <c r="E6" s="12">
        <f>D5</f>
        <v>44993</v>
      </c>
      <c r="F6" s="19">
        <v>0</v>
      </c>
      <c r="G6" s="25"/>
      <c r="H6" s="26"/>
    </row>
  </sheetData>
  <dataValidations count="3">
    <dataValidation type="decimal" allowBlank="1" showInputMessage="1" showErrorMessage="1" prompt="Actual project completion (%)" sqref="B2:B6" xr:uid="{2BAF0EF2-A26E-4B0D-B740-B3D1E40F6379}">
      <formula1>0</formula1>
      <formula2>1</formula2>
    </dataValidation>
    <dataValidation type="date" allowBlank="1" showInputMessage="1" showErrorMessage="1" sqref="C2:E6" xr:uid="{18F15BD0-8B52-47FD-8384-C533FE640E56}">
      <formula1>44562</formula1>
      <formula2>219148</formula2>
    </dataValidation>
    <dataValidation type="whole" allowBlank="1" showInputMessage="1" showErrorMessage="1" prompt="Number of working days" sqref="F2:F6" xr:uid="{E456FD03-95C5-4FC5-A73D-B978B23DFCA9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031D3-E2BE-4D8B-8B0C-05553DCAC8B5}">
  <sheetPr codeName="Sheet32"/>
  <dimension ref="A1:H12"/>
  <sheetViews>
    <sheetView showGridLines="0" zoomScale="140" zoomScaleNormal="140" workbookViewId="0"/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MIN(MMULT(TRANSPOSE(B3:B12),D3:D12-C3:C12)/SUM(D3:D12-C3:C12)+0.05,1)</f>
        <v>1</v>
      </c>
      <c r="C2" s="22" cm="1">
        <f t="array" ref="C2">get_start_date(E2,holidays)</f>
        <v>44960</v>
      </c>
      <c r="D2" s="23">
        <f>MAX(D3:D12)</f>
        <v>45001</v>
      </c>
      <c r="E2" s="23">
        <f>MIN(E3:E12)</f>
        <v>44960</v>
      </c>
      <c r="F2" s="24" cm="1">
        <f t="array" ref="F2">SUM(IF(WEEKDAY(_xlfn.SEQUENCE(D2-C2,1,C2,1),2)&lt;6,1,0))-SUM(IF(ISERROR(MATCH(_xlfn.SEQUENCE(D2-C2,1,C2,1),holidays,0)&gt;0)=FALSE,1,0))</f>
        <v>28</v>
      </c>
      <c r="H2" s="26"/>
    </row>
    <row r="3" spans="1:8" x14ac:dyDescent="0.3">
      <c r="A3" s="8" t="s">
        <v>454</v>
      </c>
      <c r="B3" s="9">
        <f t="shared" ref="B3:B11" ca="1" si="0">IFERROR(MAX(MIN(TODAY()-C3,D3-C3),0)/(D3-C3),0)</f>
        <v>1</v>
      </c>
      <c r="C3" s="10" cm="1">
        <f t="array" ref="C3">get_start_date(E3,holidays)</f>
        <v>44960</v>
      </c>
      <c r="D3" s="11" cm="1">
        <f t="array" ref="D3">get_finish_date(C3,holidays,F3)</f>
        <v>44965</v>
      </c>
      <c r="E3" s="12">
        <v>44960</v>
      </c>
      <c r="F3" s="19">
        <v>3</v>
      </c>
      <c r="G3" s="25"/>
      <c r="H3" s="26"/>
    </row>
    <row r="4" spans="1:8" x14ac:dyDescent="0.3">
      <c r="A4" s="8" t="s">
        <v>455</v>
      </c>
      <c r="B4" s="9">
        <f t="shared" ca="1" si="0"/>
        <v>1</v>
      </c>
      <c r="C4" s="10" cm="1">
        <f t="array" ref="C4">get_start_date(E4,holidays)</f>
        <v>44965</v>
      </c>
      <c r="D4" s="11" cm="1">
        <f t="array" ref="D4">get_finish_date(C4,holidays,F4)</f>
        <v>44973</v>
      </c>
      <c r="E4" s="12">
        <f t="shared" ref="E4:E10" si="1">D3</f>
        <v>44965</v>
      </c>
      <c r="F4" s="19">
        <v>6</v>
      </c>
      <c r="G4" s="25"/>
      <c r="H4" s="26"/>
    </row>
    <row r="5" spans="1:8" x14ac:dyDescent="0.3">
      <c r="A5" s="14" t="s">
        <v>382</v>
      </c>
      <c r="B5" s="9">
        <f t="shared" ca="1" si="0"/>
        <v>0</v>
      </c>
      <c r="C5" s="10" cm="1">
        <f t="array" ref="C5">get_start_date(E5,holidays)</f>
        <v>44973</v>
      </c>
      <c r="D5" s="11" cm="1">
        <f t="array" ref="D5">get_finish_date(C5,holidays,F5)</f>
        <v>44973</v>
      </c>
      <c r="E5" s="12">
        <f t="shared" si="1"/>
        <v>44973</v>
      </c>
      <c r="F5" s="19">
        <v>0</v>
      </c>
      <c r="G5" s="25"/>
      <c r="H5" s="26"/>
    </row>
    <row r="6" spans="1:8" x14ac:dyDescent="0.3">
      <c r="A6" s="8" t="s">
        <v>456</v>
      </c>
      <c r="B6" s="9">
        <f t="shared" ca="1" si="0"/>
        <v>1</v>
      </c>
      <c r="C6" s="10" cm="1">
        <f t="array" ref="C6">get_start_date(E6,holidays)</f>
        <v>44973</v>
      </c>
      <c r="D6" s="11" cm="1">
        <f t="array" ref="D6">get_finish_date(C6,holidays,F6)</f>
        <v>44980</v>
      </c>
      <c r="E6" s="12">
        <f t="shared" si="1"/>
        <v>44973</v>
      </c>
      <c r="F6" s="19">
        <v>5</v>
      </c>
      <c r="G6" s="25"/>
      <c r="H6" s="26"/>
    </row>
    <row r="7" spans="1:8" x14ac:dyDescent="0.3">
      <c r="A7" s="8" t="s">
        <v>457</v>
      </c>
      <c r="B7" s="9">
        <f t="shared" ca="1" si="0"/>
        <v>1</v>
      </c>
      <c r="C7" s="10" cm="1">
        <f t="array" ref="C7">get_start_date(E7,holidays)</f>
        <v>44980</v>
      </c>
      <c r="D7" s="11" cm="1">
        <f t="array" ref="D7">get_finish_date(C7,holidays,F7)</f>
        <v>44987</v>
      </c>
      <c r="E7" s="12">
        <f t="shared" si="1"/>
        <v>44980</v>
      </c>
      <c r="F7" s="19">
        <v>5</v>
      </c>
      <c r="G7" s="25"/>
      <c r="H7" s="26"/>
    </row>
    <row r="8" spans="1:8" x14ac:dyDescent="0.3">
      <c r="A8" s="14" t="s">
        <v>450</v>
      </c>
      <c r="B8" s="9">
        <f t="shared" ca="1" si="0"/>
        <v>0</v>
      </c>
      <c r="C8" s="10" cm="1">
        <f t="array" ref="C8">get_start_date(E8,holidays)</f>
        <v>44987</v>
      </c>
      <c r="D8" s="11" cm="1">
        <f t="array" ref="D8">get_finish_date(C8,holidays,F8)</f>
        <v>44987</v>
      </c>
      <c r="E8" s="12">
        <f t="shared" si="1"/>
        <v>44987</v>
      </c>
      <c r="F8" s="19">
        <v>0</v>
      </c>
      <c r="G8" s="25"/>
      <c r="H8" s="26"/>
    </row>
    <row r="9" spans="1:8" x14ac:dyDescent="0.3">
      <c r="A9" s="8" t="s">
        <v>458</v>
      </c>
      <c r="B9" s="9">
        <f t="shared" ca="1" si="0"/>
        <v>1</v>
      </c>
      <c r="C9" s="10" cm="1">
        <f t="array" ref="C9">get_start_date(E9,holidays)</f>
        <v>44987</v>
      </c>
      <c r="D9" s="11" cm="1">
        <f t="array" ref="D9">get_finish_date(C9,holidays,F9)</f>
        <v>44989</v>
      </c>
      <c r="E9" s="12">
        <f t="shared" si="1"/>
        <v>44987</v>
      </c>
      <c r="F9" s="19">
        <v>2</v>
      </c>
      <c r="G9" s="25"/>
      <c r="H9" s="26"/>
    </row>
    <row r="10" spans="1:8" x14ac:dyDescent="0.3">
      <c r="A10" s="14" t="s">
        <v>459</v>
      </c>
      <c r="B10" s="9">
        <f t="shared" ca="1" si="0"/>
        <v>0</v>
      </c>
      <c r="C10" s="10" cm="1">
        <f t="array" ref="C10">get_start_date(E10,holidays)</f>
        <v>44992</v>
      </c>
      <c r="D10" s="11" cm="1">
        <f t="array" ref="D10">get_finish_date(C10,holidays,F10)</f>
        <v>44992</v>
      </c>
      <c r="E10" s="12">
        <f t="shared" si="1"/>
        <v>44989</v>
      </c>
      <c r="F10" s="19">
        <v>0</v>
      </c>
      <c r="G10" s="25"/>
      <c r="H10" s="26"/>
    </row>
    <row r="11" spans="1:8" x14ac:dyDescent="0.3">
      <c r="A11" s="8" t="s">
        <v>510</v>
      </c>
      <c r="B11" s="9">
        <f t="shared" ca="1" si="0"/>
        <v>1</v>
      </c>
      <c r="C11" s="10" cm="1">
        <f t="array" ref="C11">get_start_date(E11,holidays)</f>
        <v>44992</v>
      </c>
      <c r="D11" s="11" cm="1">
        <f t="array" ref="D11">get_finish_date(C11,holidays,F11)</f>
        <v>45001</v>
      </c>
      <c r="E11" s="12">
        <f t="shared" ref="E11" si="2">D10</f>
        <v>44992</v>
      </c>
      <c r="F11" s="19">
        <v>7</v>
      </c>
      <c r="G11" s="25"/>
      <c r="H11" s="26"/>
    </row>
    <row r="12" spans="1:8" x14ac:dyDescent="0.3">
      <c r="A12" s="14" t="s">
        <v>511</v>
      </c>
      <c r="B12" s="9">
        <v>0</v>
      </c>
      <c r="C12" s="10" cm="1">
        <f t="array" ref="C12">get_start_date(E12,holidays)</f>
        <v>45001</v>
      </c>
      <c r="D12" s="11" cm="1">
        <f t="array" ref="D12">get_finish_date(C12,holidays,F12)</f>
        <v>45001</v>
      </c>
      <c r="E12" s="12">
        <f>D11</f>
        <v>45001</v>
      </c>
      <c r="F12" s="19">
        <v>0</v>
      </c>
      <c r="G12" s="25"/>
      <c r="H12" s="26"/>
    </row>
  </sheetData>
  <dataValidations count="3">
    <dataValidation type="decimal" allowBlank="1" showInputMessage="1" showErrorMessage="1" prompt="Actual project completion (%)" sqref="B2:B12" xr:uid="{FEFECAB6-C125-4C22-909E-DCDA0A3BB14A}">
      <formula1>0</formula1>
      <formula2>1</formula2>
    </dataValidation>
    <dataValidation type="date" allowBlank="1" showInputMessage="1" showErrorMessage="1" sqref="C2:E12" xr:uid="{A2D27292-F71C-475C-BB7C-BAE05D3BE63E}">
      <formula1>44562</formula1>
      <formula2>219148</formula2>
    </dataValidation>
    <dataValidation type="whole" allowBlank="1" showInputMessage="1" showErrorMessage="1" prompt="Number of working days" sqref="F2:F12" xr:uid="{9AB8D12F-BEDB-46E3-BDB4-A9C60EBA793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79936-A5E5-4DA8-A173-374F1FD1426F}">
  <sheetPr codeName="Sheet33"/>
  <dimension ref="A1:H7"/>
  <sheetViews>
    <sheetView showGridLines="0" zoomScale="140" zoomScaleNormal="140" workbookViewId="0">
      <selection activeCell="E14" sqref="E14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MIN(MMULT(TRANSPOSE(B3:B7),D3:D7-C3:C7)/SUM(D3:D7-C3:C7)+0.0005,1)</f>
        <v>1</v>
      </c>
      <c r="C2" s="22" cm="1">
        <f t="array" ref="C2">get_start_date(E2,holidays)</f>
        <v>44965</v>
      </c>
      <c r="D2" s="23">
        <f>MAX(D3:D7)</f>
        <v>44974</v>
      </c>
      <c r="E2" s="23">
        <f>MIN(E3:E7)</f>
        <v>44965</v>
      </c>
      <c r="F2" s="24" cm="1">
        <f t="array" ref="F2">SUM(IF(WEEKDAY(_xlfn.SEQUENCE(D2-C2,1,C2,1),2)&lt;6,1,0))-SUM(IF(ISERROR(MATCH(_xlfn.SEQUENCE(D2-C2,1,C2,1),holidays,0)&gt;0)=FALSE,1,0))</f>
        <v>7</v>
      </c>
      <c r="H2" s="26"/>
    </row>
    <row r="3" spans="1:8" x14ac:dyDescent="0.3">
      <c r="A3" s="8" t="s">
        <v>460</v>
      </c>
      <c r="B3" s="9">
        <f t="shared" ref="B3:B7" ca="1" si="0">IFERROR(MAX(MIN(TODAY()-C3,D3-C3),0)/(D3-C3),0)</f>
        <v>1</v>
      </c>
      <c r="C3" s="10" cm="1">
        <f t="array" ref="C3">get_start_date(E3,holidays)</f>
        <v>44965</v>
      </c>
      <c r="D3" s="11" cm="1">
        <f t="array" ref="D3">get_finish_date(C3,holidays,F3)</f>
        <v>44966</v>
      </c>
      <c r="E3" s="12">
        <v>44965</v>
      </c>
      <c r="F3" s="19">
        <v>1</v>
      </c>
      <c r="G3" s="25"/>
      <c r="H3" s="26"/>
    </row>
    <row r="4" spans="1:8" x14ac:dyDescent="0.3">
      <c r="A4" s="8" t="s">
        <v>237</v>
      </c>
      <c r="B4" s="9">
        <f t="shared" ca="1" si="0"/>
        <v>1</v>
      </c>
      <c r="C4" s="10" cm="1">
        <f t="array" ref="C4">get_start_date(E4,holidays)</f>
        <v>44966</v>
      </c>
      <c r="D4" s="11" cm="1">
        <f t="array" ref="D4">get_finish_date(C4,holidays,F4)</f>
        <v>44971</v>
      </c>
      <c r="E4" s="12">
        <f>D3</f>
        <v>44966</v>
      </c>
      <c r="F4" s="19">
        <v>3</v>
      </c>
      <c r="G4" s="25"/>
      <c r="H4" s="26"/>
    </row>
    <row r="5" spans="1:8" x14ac:dyDescent="0.3">
      <c r="A5" s="8" t="s">
        <v>461</v>
      </c>
      <c r="B5" s="9">
        <v>1</v>
      </c>
      <c r="C5" s="10" cm="1">
        <f t="array" ref="C5">get_start_date(E5,holidays)</f>
        <v>44971</v>
      </c>
      <c r="D5" s="11" cm="1">
        <f t="array" ref="D5">get_finish_date(C5,holidays,F5)</f>
        <v>44973</v>
      </c>
      <c r="E5" s="12">
        <f>D4</f>
        <v>44971</v>
      </c>
      <c r="F5" s="19">
        <v>2</v>
      </c>
      <c r="G5" s="25"/>
      <c r="H5" s="26"/>
    </row>
    <row r="6" spans="1:8" x14ac:dyDescent="0.3">
      <c r="A6" s="8" t="s">
        <v>304</v>
      </c>
      <c r="B6" s="9">
        <f t="shared" ref="B6" ca="1" si="1">IFERROR(MAX(MIN(TODAY()-C6,D6-C6),0)/(D6-C6),0)</f>
        <v>1</v>
      </c>
      <c r="C6" s="10" cm="1">
        <f t="array" ref="C6">get_start_date(E6,holidays)</f>
        <v>44973</v>
      </c>
      <c r="D6" s="11" cm="1">
        <f t="array" ref="D6">get_finish_date(C6,holidays,F6)</f>
        <v>44974</v>
      </c>
      <c r="E6" s="12">
        <f>D5</f>
        <v>44973</v>
      </c>
      <c r="F6" s="19">
        <v>1</v>
      </c>
      <c r="G6" s="25"/>
      <c r="H6" s="26"/>
    </row>
    <row r="7" spans="1:8" x14ac:dyDescent="0.3">
      <c r="A7" s="8" t="s">
        <v>462</v>
      </c>
      <c r="B7" s="9">
        <f t="shared" ca="1" si="0"/>
        <v>0</v>
      </c>
      <c r="C7" s="10" cm="1">
        <f t="array" ref="C7">get_start_date(E7,holidays)</f>
        <v>44974</v>
      </c>
      <c r="D7" s="11" cm="1">
        <f t="array" ref="D7">get_finish_date(C7,holidays,F7)</f>
        <v>44974</v>
      </c>
      <c r="E7" s="12">
        <f>D6</f>
        <v>44974</v>
      </c>
      <c r="F7" s="19">
        <v>0</v>
      </c>
      <c r="G7" s="25"/>
      <c r="H7" s="26"/>
    </row>
  </sheetData>
  <dataValidations count="3">
    <dataValidation type="decimal" allowBlank="1" showInputMessage="1" showErrorMessage="1" prompt="Actual project completion (%)" sqref="B2:B7" xr:uid="{E9E5DD82-6844-48A0-8A3C-CBC652291291}">
      <formula1>0</formula1>
      <formula2>1</formula2>
    </dataValidation>
    <dataValidation type="date" allowBlank="1" showInputMessage="1" showErrorMessage="1" sqref="C2:E7" xr:uid="{B4FD8CE6-55FE-4F0C-848D-95ACEAAA31E2}">
      <formula1>44562</formula1>
      <formula2>219148</formula2>
    </dataValidation>
    <dataValidation type="whole" allowBlank="1" showInputMessage="1" showErrorMessage="1" prompt="Number of working days" sqref="F2:F7" xr:uid="{BC10CA19-0F4B-4BDB-96B7-7D82ADE4AD5C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B89C-EECD-4042-AA63-0DE1A2E6CE95}">
  <sheetPr codeName="Sheet34"/>
  <dimension ref="A1:H18"/>
  <sheetViews>
    <sheetView showGridLines="0" zoomScale="140" zoomScaleNormal="140" workbookViewId="0">
      <selection activeCell="C22" sqref="C22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MIN(MMULT(TRANSPOSE(B3:B18),D3:D18-C3:C18)/SUM(D3:D18-C3:C18)+0.01,1)</f>
        <v>1</v>
      </c>
      <c r="C2" s="22" cm="1">
        <f t="array" ref="C2">get_start_date(E2,holidays)</f>
        <v>44974</v>
      </c>
      <c r="D2" s="23">
        <f>MAX(D3:D18)</f>
        <v>45029</v>
      </c>
      <c r="E2" s="23">
        <f>MIN(E3:E18)</f>
        <v>44974</v>
      </c>
      <c r="F2" s="24" cm="1">
        <f t="array" ref="F2">SUM(IF(WEEKDAY(_xlfn.SEQUENCE(D2-C2,1,C2,1),2)&lt;6,1,0))-SUM(IF(ISERROR(MATCH(_xlfn.SEQUENCE(D2-C2,1,C2,1),holidays,0)&gt;0)=FALSE,1,0))</f>
        <v>37</v>
      </c>
      <c r="H2" s="26"/>
    </row>
    <row r="3" spans="1:8" x14ac:dyDescent="0.3">
      <c r="A3" s="8" t="s">
        <v>463</v>
      </c>
      <c r="B3" s="9">
        <v>1</v>
      </c>
      <c r="C3" s="10" cm="1">
        <f t="array" ref="C3">get_start_date(E3,holidays)</f>
        <v>44974</v>
      </c>
      <c r="D3" s="11" cm="1">
        <f t="array" ref="D3">get_finish_date(C3,holidays,F3)</f>
        <v>44980</v>
      </c>
      <c r="E3" s="12">
        <v>44974</v>
      </c>
      <c r="F3" s="19">
        <v>4</v>
      </c>
      <c r="G3" s="25"/>
      <c r="H3" s="26"/>
    </row>
    <row r="4" spans="1:8" x14ac:dyDescent="0.3">
      <c r="A4" s="8" t="s">
        <v>464</v>
      </c>
      <c r="B4" s="9">
        <f t="shared" ref="B4:B5" ca="1" si="0">IFERROR(MAX(MIN(TODAY()-C4,D4-C4),0)/(D4-C4),0)</f>
        <v>1</v>
      </c>
      <c r="C4" s="10" cm="1">
        <f t="array" ref="C4">get_start_date(E4,holidays)</f>
        <v>44980</v>
      </c>
      <c r="D4" s="11" cm="1">
        <f t="array" ref="D4">get_finish_date(C4,holidays,F4)</f>
        <v>44982</v>
      </c>
      <c r="E4" s="12">
        <f>D3</f>
        <v>44980</v>
      </c>
      <c r="F4" s="19">
        <v>2</v>
      </c>
      <c r="G4" s="25"/>
      <c r="H4" s="26"/>
    </row>
    <row r="5" spans="1:8" x14ac:dyDescent="0.3">
      <c r="A5" s="8" t="s">
        <v>465</v>
      </c>
      <c r="B5" s="9">
        <f t="shared" ca="1" si="0"/>
        <v>0</v>
      </c>
      <c r="C5" s="10" cm="1">
        <f t="array" ref="C5">get_start_date(E5,holidays)</f>
        <v>44984</v>
      </c>
      <c r="D5" s="11" cm="1">
        <f t="array" ref="D5">get_finish_date(C5,holidays,F5)</f>
        <v>44984</v>
      </c>
      <c r="E5" s="12">
        <f t="shared" ref="E5:E7" si="1">D4</f>
        <v>44982</v>
      </c>
      <c r="F5" s="19">
        <v>0</v>
      </c>
      <c r="G5" s="25"/>
      <c r="H5" s="26"/>
    </row>
    <row r="6" spans="1:8" x14ac:dyDescent="0.3">
      <c r="A6" s="8" t="s">
        <v>466</v>
      </c>
      <c r="B6" s="9">
        <v>1</v>
      </c>
      <c r="C6" s="10" cm="1">
        <f t="array" ref="C6">get_start_date(E6,holidays)</f>
        <v>44984</v>
      </c>
      <c r="D6" s="11" cm="1">
        <f t="array" ref="D6">get_finish_date(C6,holidays,F6)</f>
        <v>44987</v>
      </c>
      <c r="E6" s="12">
        <f t="shared" si="1"/>
        <v>44984</v>
      </c>
      <c r="F6" s="19">
        <v>3</v>
      </c>
      <c r="G6" s="25"/>
      <c r="H6" s="26"/>
    </row>
    <row r="7" spans="1:8" x14ac:dyDescent="0.3">
      <c r="A7" s="8" t="s">
        <v>467</v>
      </c>
      <c r="B7" s="9">
        <v>1</v>
      </c>
      <c r="C7" s="10" cm="1">
        <f t="array" ref="C7">get_start_date(E7,holidays)</f>
        <v>44987</v>
      </c>
      <c r="D7" s="11" cm="1">
        <f t="array" ref="D7">get_finish_date(C7,holidays,F7)</f>
        <v>44993</v>
      </c>
      <c r="E7" s="12">
        <f t="shared" si="1"/>
        <v>44987</v>
      </c>
      <c r="F7" s="19">
        <v>3</v>
      </c>
      <c r="G7" s="25"/>
      <c r="H7" s="26"/>
    </row>
    <row r="8" spans="1:8" x14ac:dyDescent="0.3">
      <c r="A8" s="8" t="s">
        <v>245</v>
      </c>
      <c r="B8" s="9">
        <v>1</v>
      </c>
      <c r="C8" s="10" cm="1">
        <f t="array" ref="C8">get_start_date(E8,holidays)</f>
        <v>44993</v>
      </c>
      <c r="D8" s="11" cm="1">
        <f t="array" ref="D8">get_finish_date(C8,holidays,F8)</f>
        <v>44994</v>
      </c>
      <c r="E8" s="12">
        <f>D7</f>
        <v>44993</v>
      </c>
      <c r="F8" s="19">
        <v>1</v>
      </c>
      <c r="G8" s="25"/>
      <c r="H8" s="26"/>
    </row>
    <row r="9" spans="1:8" x14ac:dyDescent="0.3">
      <c r="A9" s="8" t="s">
        <v>468</v>
      </c>
      <c r="B9" s="9">
        <v>0</v>
      </c>
      <c r="C9" s="10" cm="1">
        <f t="array" ref="C9">get_start_date(E9,holidays)</f>
        <v>44994</v>
      </c>
      <c r="D9" s="11" cm="1">
        <f t="array" ref="D9">get_finish_date(C9,holidays,F9)</f>
        <v>44994</v>
      </c>
      <c r="E9" s="12">
        <f>D8</f>
        <v>44994</v>
      </c>
      <c r="F9" s="19">
        <v>0</v>
      </c>
      <c r="G9" s="25"/>
      <c r="H9" s="26"/>
    </row>
    <row r="10" spans="1:8" x14ac:dyDescent="0.3">
      <c r="A10" s="8" t="s">
        <v>525</v>
      </c>
      <c r="B10" s="9">
        <v>1</v>
      </c>
      <c r="C10" s="10" cm="1">
        <f t="array" ref="C10">get_start_date(E10,holidays)</f>
        <v>44995</v>
      </c>
      <c r="D10" s="11" cm="1">
        <f t="array" ref="D10">get_finish_date(C10,holidays,F10)</f>
        <v>45001</v>
      </c>
      <c r="E10" s="12">
        <v>44995</v>
      </c>
      <c r="F10" s="19">
        <v>4</v>
      </c>
      <c r="G10" s="25"/>
      <c r="H10" s="26"/>
    </row>
    <row r="11" spans="1:8" x14ac:dyDescent="0.3">
      <c r="A11" s="8" t="s">
        <v>518</v>
      </c>
      <c r="B11" s="9">
        <f t="shared" ref="B11" ca="1" si="2">IFERROR(MAX(MIN(TODAY()-C11,D11-C11),0)/(D11-C11),0)</f>
        <v>0</v>
      </c>
      <c r="C11" s="10" cm="1">
        <f t="array" ref="C11">get_start_date(E11,holidays)</f>
        <v>45001</v>
      </c>
      <c r="D11" s="11" cm="1">
        <f t="array" ref="D11">get_finish_date(C11,holidays,F11)</f>
        <v>45001</v>
      </c>
      <c r="E11" s="12">
        <f>D10</f>
        <v>45001</v>
      </c>
      <c r="F11" s="19">
        <v>0</v>
      </c>
      <c r="G11" s="25"/>
      <c r="H11" s="26"/>
    </row>
    <row r="12" spans="1:8" x14ac:dyDescent="0.3">
      <c r="A12" s="8" t="s">
        <v>522</v>
      </c>
      <c r="B12" s="9">
        <v>1</v>
      </c>
      <c r="C12" s="10" cm="1">
        <f t="array" ref="C12">get_start_date(E12,holidays)</f>
        <v>45002</v>
      </c>
      <c r="D12" s="11" cm="1">
        <f t="array" ref="D12">get_finish_date(C12,holidays,F12)</f>
        <v>45003</v>
      </c>
      <c r="E12" s="12">
        <v>45002</v>
      </c>
      <c r="F12" s="19">
        <v>1</v>
      </c>
      <c r="G12" s="25"/>
      <c r="H12" s="26"/>
    </row>
    <row r="13" spans="1:8" x14ac:dyDescent="0.3">
      <c r="A13" s="8" t="s">
        <v>524</v>
      </c>
      <c r="B13" s="9">
        <v>0</v>
      </c>
      <c r="C13" s="10" cm="1">
        <f t="array" ref="C13">get_start_date(E13,holidays)</f>
        <v>45006</v>
      </c>
      <c r="D13" s="11" cm="1">
        <f t="array" ref="D13">get_finish_date(C13,holidays,F13)</f>
        <v>45006</v>
      </c>
      <c r="E13" s="12">
        <v>45006</v>
      </c>
      <c r="F13" s="19">
        <v>0</v>
      </c>
      <c r="G13" s="25"/>
      <c r="H13" s="26"/>
    </row>
    <row r="14" spans="1:8" x14ac:dyDescent="0.3">
      <c r="A14" s="8" t="s">
        <v>533</v>
      </c>
      <c r="B14" s="9">
        <v>1</v>
      </c>
      <c r="C14" s="10" cm="1">
        <f t="array" ref="C14">get_start_date(E14,holidays)</f>
        <v>45007</v>
      </c>
      <c r="D14" s="11" cm="1">
        <f t="array" ref="D14">get_finish_date(C14,holidays,F14)</f>
        <v>45010</v>
      </c>
      <c r="E14" s="12">
        <v>45007</v>
      </c>
      <c r="F14" s="19">
        <v>3</v>
      </c>
      <c r="G14" s="25"/>
      <c r="H14" s="26"/>
    </row>
    <row r="15" spans="1:8" x14ac:dyDescent="0.3">
      <c r="A15" s="8" t="s">
        <v>523</v>
      </c>
      <c r="B15" s="9">
        <v>1</v>
      </c>
      <c r="C15" s="10" cm="1">
        <f t="array" ref="C15">get_start_date(E15,holidays)</f>
        <v>45012</v>
      </c>
      <c r="D15" s="11" cm="1">
        <f t="array" ref="D15">get_finish_date(C15,holidays,F15)</f>
        <v>45016</v>
      </c>
      <c r="E15" s="12">
        <f>D14</f>
        <v>45010</v>
      </c>
      <c r="F15" s="19">
        <v>4</v>
      </c>
      <c r="G15" s="25"/>
      <c r="H15" s="26"/>
    </row>
    <row r="16" spans="1:8" x14ac:dyDescent="0.3">
      <c r="A16" s="8" t="s">
        <v>534</v>
      </c>
      <c r="B16" s="9">
        <v>1</v>
      </c>
      <c r="C16" s="10" cm="1">
        <f t="array" ref="C16">get_start_date(E16,holidays)</f>
        <v>45016</v>
      </c>
      <c r="D16" s="11" cm="1">
        <f t="array" ref="D16">get_finish_date(C16,holidays,F16)</f>
        <v>45020</v>
      </c>
      <c r="E16" s="12">
        <f>D15</f>
        <v>45016</v>
      </c>
      <c r="F16" s="19">
        <v>2</v>
      </c>
      <c r="G16" s="25"/>
      <c r="H16" s="26"/>
    </row>
    <row r="17" spans="1:8" x14ac:dyDescent="0.3">
      <c r="A17" s="8" t="s">
        <v>541</v>
      </c>
      <c r="B17" s="9">
        <v>1</v>
      </c>
      <c r="C17" s="10" cm="1">
        <f t="array" ref="C17">get_start_date(E17,holidays)</f>
        <v>45020</v>
      </c>
      <c r="D17" s="11" cm="1">
        <f t="array" ref="D17">get_finish_date(C17,holidays,F17)</f>
        <v>45022</v>
      </c>
      <c r="E17" s="12">
        <f>D16</f>
        <v>45020</v>
      </c>
      <c r="F17" s="19">
        <v>2</v>
      </c>
      <c r="G17" s="25"/>
      <c r="H17" s="26"/>
    </row>
    <row r="18" spans="1:8" x14ac:dyDescent="0.3">
      <c r="A18" s="8" t="s">
        <v>542</v>
      </c>
      <c r="B18" s="9">
        <v>1</v>
      </c>
      <c r="C18" s="10" cm="1">
        <f t="array" ref="C18">get_start_date(E18,holidays)</f>
        <v>45023</v>
      </c>
      <c r="D18" s="11" cm="1">
        <f t="array" ref="D18">get_finish_date(C18,holidays,F18)</f>
        <v>45029</v>
      </c>
      <c r="E18" s="12">
        <f>D17</f>
        <v>45022</v>
      </c>
      <c r="F18" s="19">
        <v>4</v>
      </c>
      <c r="G18" s="25"/>
      <c r="H18" s="26"/>
    </row>
  </sheetData>
  <dataValidations count="3">
    <dataValidation type="decimal" allowBlank="1" showInputMessage="1" showErrorMessage="1" prompt="Actual project completion (%)" sqref="B2:B18" xr:uid="{23FAD63D-E63B-4FBE-B860-2BFA7104B9ED}">
      <formula1>0</formula1>
      <formula2>1</formula2>
    </dataValidation>
    <dataValidation type="date" allowBlank="1" showInputMessage="1" showErrorMessage="1" sqref="C2:E18" xr:uid="{FEFD8CCD-902B-44CC-8A78-5D5EDF03C11A}">
      <formula1>44562</formula1>
      <formula2>219148</formula2>
    </dataValidation>
    <dataValidation type="whole" allowBlank="1" showInputMessage="1" showErrorMessage="1" prompt="Number of working days" sqref="F2:F18" xr:uid="{8688E34E-E1E0-4745-BD8D-67B53357692F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E3E53-E317-4EDE-9F11-BCF8A81B890A}">
  <sheetPr codeName="Sheet35"/>
  <dimension ref="A1:H10"/>
  <sheetViews>
    <sheetView showGridLines="0" zoomScale="140" zoomScaleNormal="140" workbookViewId="0">
      <selection activeCell="A16" sqref="A16"/>
    </sheetView>
  </sheetViews>
  <sheetFormatPr defaultColWidth="8" defaultRowHeight="12.5" x14ac:dyDescent="0.3"/>
  <cols>
    <col min="1" max="1" width="47.0820312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MIN(MMULT(TRANSPOSE(B3:B10),D3:D10-C3:C10)/SUM(D3:D10-C3:C10)+0.05,1)</f>
        <v>1</v>
      </c>
      <c r="C2" s="22" cm="1">
        <f t="array" ref="C2">get_start_date(E2,holidays)</f>
        <v>44985</v>
      </c>
      <c r="D2" s="23">
        <f>MAX(D3:D10)</f>
        <v>45042</v>
      </c>
      <c r="E2" s="23">
        <f>MIN(E3:E10)</f>
        <v>44985</v>
      </c>
      <c r="F2" s="24" cm="1">
        <f t="array" ref="F2">SUM(IF(WEEKDAY(_xlfn.SEQUENCE(D2-C2,1,C2,1),2)&lt;6,1,0))-SUM(IF(ISERROR(MATCH(_xlfn.SEQUENCE(D2-C2,1,C2,1),holidays,0)&gt;0)=FALSE,1,0))</f>
        <v>37</v>
      </c>
      <c r="H2" s="26"/>
    </row>
    <row r="3" spans="1:8" x14ac:dyDescent="0.3">
      <c r="A3" s="8" t="s">
        <v>469</v>
      </c>
      <c r="B3" s="9">
        <f t="shared" ref="B3:B10" ca="1" si="0">IFERROR(MAX(MIN(TODAY()-C3,D3-C3),0)/(D3-C3),0)</f>
        <v>1</v>
      </c>
      <c r="C3" s="10" cm="1">
        <f t="array" ref="C3">get_start_date(E3,holidays)</f>
        <v>44985</v>
      </c>
      <c r="D3" s="11" cm="1">
        <f t="array" ref="D3">get_finish_date(C3,holidays,F3)</f>
        <v>44987</v>
      </c>
      <c r="E3" s="12">
        <v>44985</v>
      </c>
      <c r="F3" s="19">
        <v>2</v>
      </c>
      <c r="G3" s="25"/>
      <c r="H3" s="26"/>
    </row>
    <row r="4" spans="1:8" x14ac:dyDescent="0.3">
      <c r="A4" s="8" t="s">
        <v>470</v>
      </c>
      <c r="B4" s="9">
        <f t="shared" ca="1" si="0"/>
        <v>1</v>
      </c>
      <c r="C4" s="10" cm="1">
        <f t="array" ref="C4">get_start_date(E4,holidays)</f>
        <v>44987</v>
      </c>
      <c r="D4" s="11" cm="1">
        <f t="array" ref="D4">get_finish_date(C4,holidays,F4)</f>
        <v>44989</v>
      </c>
      <c r="E4" s="12">
        <f t="shared" ref="E4:E10" si="1">D3</f>
        <v>44987</v>
      </c>
      <c r="F4" s="19">
        <v>2</v>
      </c>
      <c r="G4" s="25"/>
      <c r="H4" s="26"/>
    </row>
    <row r="5" spans="1:8" x14ac:dyDescent="0.3">
      <c r="A5" s="8" t="s">
        <v>503</v>
      </c>
      <c r="B5" s="9">
        <f t="shared" ca="1" si="0"/>
        <v>1</v>
      </c>
      <c r="C5" s="10" cm="1">
        <f t="array" ref="C5">get_start_date(E5,holidays)</f>
        <v>44992</v>
      </c>
      <c r="D5" s="11" cm="1">
        <f t="array" ref="D5">get_finish_date(C5,holidays,F5)</f>
        <v>44995</v>
      </c>
      <c r="E5" s="12">
        <f t="shared" si="1"/>
        <v>44989</v>
      </c>
      <c r="F5" s="19">
        <v>3</v>
      </c>
      <c r="G5" s="25"/>
      <c r="H5" s="26"/>
    </row>
    <row r="6" spans="1:8" x14ac:dyDescent="0.3">
      <c r="A6" s="8" t="s">
        <v>471</v>
      </c>
      <c r="B6" s="9">
        <f t="shared" ca="1" si="0"/>
        <v>1</v>
      </c>
      <c r="C6" s="10" cm="1">
        <f t="array" ref="C6">get_start_date(E6,holidays)</f>
        <v>44995</v>
      </c>
      <c r="D6" s="11" cm="1">
        <f t="array" ref="D6">get_finish_date(C6,holidays,F6)</f>
        <v>44999</v>
      </c>
      <c r="E6" s="12">
        <f t="shared" si="1"/>
        <v>44995</v>
      </c>
      <c r="F6" s="19">
        <v>2</v>
      </c>
      <c r="G6" s="25"/>
      <c r="H6" s="26"/>
    </row>
    <row r="7" spans="1:8" x14ac:dyDescent="0.3">
      <c r="A7" s="8" t="s">
        <v>472</v>
      </c>
      <c r="B7" s="9">
        <f t="shared" ca="1" si="0"/>
        <v>1</v>
      </c>
      <c r="C7" s="10" cm="1">
        <f t="array" ref="C7">get_start_date(E7,holidays)</f>
        <v>44999</v>
      </c>
      <c r="D7" s="11" cm="1">
        <f t="array" ref="D7">get_finish_date(C7,holidays,F7)</f>
        <v>45006</v>
      </c>
      <c r="E7" s="12">
        <f t="shared" si="1"/>
        <v>44999</v>
      </c>
      <c r="F7" s="19">
        <v>5</v>
      </c>
      <c r="G7" s="25"/>
      <c r="H7" s="26"/>
    </row>
    <row r="8" spans="1:8" x14ac:dyDescent="0.3">
      <c r="A8" s="8" t="s">
        <v>530</v>
      </c>
      <c r="B8" s="9">
        <f t="shared" ca="1" si="0"/>
        <v>1</v>
      </c>
      <c r="C8" s="103" cm="1">
        <f t="array" ref="C8">get_start_date(E8,holidays)</f>
        <v>45006</v>
      </c>
      <c r="D8" s="103" cm="1">
        <f t="array" ref="D8">get_finish_date(C8,holidays,F8)</f>
        <v>45010</v>
      </c>
      <c r="E8" s="12">
        <f t="shared" si="1"/>
        <v>45006</v>
      </c>
      <c r="F8" s="19">
        <v>4</v>
      </c>
      <c r="G8" s="25"/>
      <c r="H8" s="26"/>
    </row>
    <row r="9" spans="1:8" x14ac:dyDescent="0.3">
      <c r="A9" s="8" t="s">
        <v>473</v>
      </c>
      <c r="B9" s="9">
        <v>1</v>
      </c>
      <c r="C9" s="10" cm="1">
        <f t="array" ref="C9">get_start_date(E9,holidays)</f>
        <v>45012</v>
      </c>
      <c r="D9" s="11" cm="1">
        <f t="array" ref="D9">get_finish_date(C9,holidays,F9)</f>
        <v>45035</v>
      </c>
      <c r="E9" s="12">
        <v>45012</v>
      </c>
      <c r="F9" s="19">
        <v>14</v>
      </c>
      <c r="G9" s="25"/>
      <c r="H9" s="26"/>
    </row>
    <row r="10" spans="1:8" x14ac:dyDescent="0.3">
      <c r="A10" s="8" t="s">
        <v>474</v>
      </c>
      <c r="B10" s="9">
        <f t="shared" ca="1" si="0"/>
        <v>1</v>
      </c>
      <c r="C10" s="10" cm="1">
        <f t="array" ref="C10">get_start_date(E10,holidays)</f>
        <v>45035</v>
      </c>
      <c r="D10" s="11" cm="1">
        <f t="array" ref="D10">get_finish_date(C10,holidays,F10)</f>
        <v>45042</v>
      </c>
      <c r="E10" s="12">
        <f t="shared" si="1"/>
        <v>45035</v>
      </c>
      <c r="F10" s="19">
        <v>5</v>
      </c>
      <c r="G10" s="25"/>
      <c r="H10" s="26"/>
    </row>
  </sheetData>
  <dataValidations count="3">
    <dataValidation type="decimal" allowBlank="1" showInputMessage="1" showErrorMessage="1" prompt="Actual project completion (%)" sqref="B2:B10" xr:uid="{DF8F7A85-816B-44C6-B37F-2395ADACBA12}">
      <formula1>0</formula1>
      <formula2>1</formula2>
    </dataValidation>
    <dataValidation type="date" allowBlank="1" showInputMessage="1" showErrorMessage="1" sqref="C2:E10" xr:uid="{233C8E71-6C64-4627-8C3D-6C776089E213}">
      <formula1>44562</formula1>
      <formula2>219148</formula2>
    </dataValidation>
    <dataValidation type="whole" allowBlank="1" showInputMessage="1" showErrorMessage="1" prompt="Number of working days" sqref="F2:F10" xr:uid="{E575ABAC-299E-4255-91B8-30C96303B399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ABB8A-E994-451C-9FDD-CD572D05BE41}">
  <sheetPr codeName="Sheet36"/>
  <dimension ref="A1:H9"/>
  <sheetViews>
    <sheetView showGridLines="0" zoomScale="140" zoomScaleNormal="140" workbookViewId="0">
      <selection activeCell="A23" sqref="A23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MIN(MMULT(TRANSPOSE(B3:B9),D3:D9-C3:C9)/SUM(D3:D9-C3:C9)+0.02,1)</f>
        <v>1</v>
      </c>
      <c r="C2" s="22" cm="1">
        <f t="array" ref="C2">get_start_date(E2,holidays)</f>
        <v>44998</v>
      </c>
      <c r="D2" s="23">
        <f>MAX(D3:D9)</f>
        <v>45037</v>
      </c>
      <c r="E2" s="23">
        <f>MIN(E3:E9)</f>
        <v>44998</v>
      </c>
      <c r="F2" s="24" cm="1">
        <f t="array" ref="F2">SUM(IF(WEEKDAY(_xlfn.SEQUENCE(D2-C2,1,C2,1),2)&lt;6,1,0))-SUM(IF(ISERROR(MATCH(_xlfn.SEQUENCE(D2-C2,1,C2,1),holidays,0)&gt;0)=FALSE,1,0))</f>
        <v>26</v>
      </c>
      <c r="H2" s="26"/>
    </row>
    <row r="3" spans="1:8" x14ac:dyDescent="0.3">
      <c r="A3" s="8" t="s">
        <v>520</v>
      </c>
      <c r="B3" s="9">
        <f t="shared" ref="B3:B9" ca="1" si="0">IFERROR(MAX(MIN(TODAY()-C3,D3-C3),0)/(D3-C3),0)</f>
        <v>1</v>
      </c>
      <c r="C3" s="10" cm="1">
        <f t="array" ref="C3">get_start_date(E3,holidays)</f>
        <v>44998</v>
      </c>
      <c r="D3" s="11" cm="1">
        <f t="array" ref="D3">get_finish_date(C3,holidays,F3)</f>
        <v>45003</v>
      </c>
      <c r="E3" s="12">
        <v>44998</v>
      </c>
      <c r="F3" s="19">
        <v>5</v>
      </c>
      <c r="G3" s="25"/>
      <c r="H3" s="26"/>
    </row>
    <row r="4" spans="1:8" x14ac:dyDescent="0.3">
      <c r="A4" s="8" t="s">
        <v>521</v>
      </c>
      <c r="B4" s="9">
        <f t="shared" ca="1" si="0"/>
        <v>1</v>
      </c>
      <c r="C4" s="10" cm="1">
        <f t="array" ref="C4">get_start_date(E4,holidays)</f>
        <v>45005</v>
      </c>
      <c r="D4" s="11" cm="1">
        <f t="array" ref="D4">get_finish_date(C4,holidays,F4)</f>
        <v>45010</v>
      </c>
      <c r="E4" s="12">
        <f>D3</f>
        <v>45003</v>
      </c>
      <c r="F4" s="19">
        <v>5</v>
      </c>
      <c r="G4" s="25"/>
      <c r="H4" s="26"/>
    </row>
    <row r="5" spans="1:8" x14ac:dyDescent="0.3">
      <c r="A5" s="14" t="s">
        <v>532</v>
      </c>
      <c r="B5" s="9">
        <f t="shared" ca="1" si="0"/>
        <v>1</v>
      </c>
      <c r="C5" s="10" cm="1">
        <f t="array" ref="C5">get_start_date(E5,holidays)</f>
        <v>45012</v>
      </c>
      <c r="D5" s="11" cm="1">
        <f t="array" ref="D5">get_finish_date(C5,holidays,F5)</f>
        <v>45015</v>
      </c>
      <c r="E5" s="12">
        <f>D4</f>
        <v>45010</v>
      </c>
      <c r="F5" s="19">
        <v>3</v>
      </c>
      <c r="G5" s="25"/>
      <c r="H5" s="26"/>
    </row>
    <row r="6" spans="1:8" x14ac:dyDescent="0.3">
      <c r="A6" s="14" t="s">
        <v>550</v>
      </c>
      <c r="B6" s="9">
        <f ca="1">IFERROR(MAX(MIN(TODAY()-C6,D6-C6),0)/(D6-C6),0)</f>
        <v>0</v>
      </c>
      <c r="C6" s="106" cm="1">
        <f t="array" ref="C6">get_start_date(E6,holidays)</f>
        <v>45023</v>
      </c>
      <c r="D6" s="106" cm="1">
        <f t="array" ref="D6">get_finish_date(C6,holidays,F6)</f>
        <v>45023</v>
      </c>
      <c r="E6" s="12">
        <v>45023</v>
      </c>
      <c r="F6" s="19">
        <v>0</v>
      </c>
      <c r="G6" s="25"/>
      <c r="H6" s="26"/>
    </row>
    <row r="7" spans="1:8" x14ac:dyDescent="0.3">
      <c r="A7" s="104" t="s">
        <v>551</v>
      </c>
      <c r="B7" s="105">
        <f ca="1">IFERROR(MAX(MIN(TODAY()-C7,D7-C7),0)/(D7-C7),0)</f>
        <v>1</v>
      </c>
      <c r="C7" s="106" cm="1">
        <f t="array" ref="C7">get_start_date(E7,holidays)</f>
        <v>45023</v>
      </c>
      <c r="D7" s="106" cm="1">
        <f t="array" ref="D7">get_finish_date(C7,holidays,F7)</f>
        <v>45028</v>
      </c>
      <c r="E7" s="107">
        <f>D6</f>
        <v>45023</v>
      </c>
      <c r="F7" s="108">
        <v>3</v>
      </c>
      <c r="G7" s="109"/>
      <c r="H7" s="110"/>
    </row>
    <row r="8" spans="1:8" x14ac:dyDescent="0.3">
      <c r="A8" s="104" t="s">
        <v>552</v>
      </c>
      <c r="B8" s="105">
        <f ca="1">IFERROR(MAX(MIN(TODAY()-C8,D8-C8),0)/(D8-C8),0)</f>
        <v>0</v>
      </c>
      <c r="C8" s="106" cm="1">
        <f t="array" ref="C8">get_start_date(E8,holidays)</f>
        <v>45034</v>
      </c>
      <c r="D8" s="106" cm="1">
        <f t="array" ref="D8">get_finish_date(C8,holidays,F8)</f>
        <v>45034</v>
      </c>
      <c r="E8" s="107">
        <v>45034</v>
      </c>
      <c r="F8" s="108">
        <v>0</v>
      </c>
      <c r="G8" s="109"/>
      <c r="H8" s="110"/>
    </row>
    <row r="9" spans="1:8" x14ac:dyDescent="0.3">
      <c r="A9" s="14" t="s">
        <v>553</v>
      </c>
      <c r="B9" s="9">
        <f t="shared" ca="1" si="0"/>
        <v>1</v>
      </c>
      <c r="C9" s="10" cm="1">
        <f t="array" ref="C9">get_start_date(E9,holidays)</f>
        <v>45034</v>
      </c>
      <c r="D9" s="11" cm="1">
        <f t="array" ref="D9">get_finish_date(C9,holidays,F9)</f>
        <v>45037</v>
      </c>
      <c r="E9" s="12">
        <f>D8</f>
        <v>45034</v>
      </c>
      <c r="F9" s="19">
        <v>3</v>
      </c>
      <c r="G9" s="25"/>
      <c r="H9" s="26"/>
    </row>
  </sheetData>
  <dataValidations count="3">
    <dataValidation type="decimal" allowBlank="1" showInputMessage="1" showErrorMessage="1" prompt="Actual project completion (%)" sqref="B2:B9" xr:uid="{CFE981F7-EA12-4022-9760-ED7BF8B0074E}">
      <formula1>0</formula1>
      <formula2>1</formula2>
    </dataValidation>
    <dataValidation type="date" allowBlank="1" showInputMessage="1" showErrorMessage="1" sqref="C2:E9" xr:uid="{5D7EB79D-2C81-42D6-BF28-D613E617CA11}">
      <formula1>44562</formula1>
      <formula2>219148</formula2>
    </dataValidation>
    <dataValidation type="whole" allowBlank="1" showInputMessage="1" showErrorMessage="1" prompt="Number of working days" sqref="F2:F9" xr:uid="{37EDD3B1-24E2-40E7-A219-B95199018CA1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5A01-D428-4CB3-B651-F77B74F699EC}">
  <sheetPr codeName="Sheet37"/>
  <dimension ref="A1:H12"/>
  <sheetViews>
    <sheetView showGridLines="0" zoomScale="120" zoomScaleNormal="120" workbookViewId="0"/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MIN(MMULT(TRANSPOSE(B3:B12),D3:D12-C3:C12)/SUM(D3:D12-C3:C12)+0.0005,1)</f>
        <v>1</v>
      </c>
      <c r="C2" s="22" cm="1">
        <f t="array" ref="C2">get_start_date(E2,holidays)</f>
        <v>45027</v>
      </c>
      <c r="D2" s="23">
        <f>MAX(D3:D12)</f>
        <v>45063</v>
      </c>
      <c r="E2" s="23">
        <f>MIN(E3:E12)</f>
        <v>45027</v>
      </c>
      <c r="F2" s="24" cm="1">
        <f t="array" ref="F2">SUM(IF(WEEKDAY(_xlfn.SEQUENCE(D2-C2,1,C2,1),2)&lt;6,1,0))-SUM(IF(ISERROR(MATCH(_xlfn.SEQUENCE(D2-C2,1,C2,1),holidays,0)&gt;0)=FALSE,1,0))</f>
        <v>22</v>
      </c>
      <c r="H2" s="26"/>
    </row>
    <row r="3" spans="1:8" x14ac:dyDescent="0.3">
      <c r="A3" s="8" t="s">
        <v>559</v>
      </c>
      <c r="B3" s="9">
        <f t="shared" ref="B3:B12" ca="1" si="0">IFERROR(MAX(MIN(TODAY()-C3,D3-C3),0)/(D3-C3),0)</f>
        <v>1</v>
      </c>
      <c r="C3" s="11" cm="1">
        <f t="array" ref="C3">get_start_date(E3,holidays)</f>
        <v>45027</v>
      </c>
      <c r="D3" s="11" cm="1">
        <f t="array" ref="D3">get_finish_date(C3,holidays,F3)</f>
        <v>45029</v>
      </c>
      <c r="E3" s="12">
        <v>45027</v>
      </c>
      <c r="F3" s="19">
        <v>2</v>
      </c>
      <c r="G3" s="25"/>
      <c r="H3" s="26"/>
    </row>
    <row r="4" spans="1:8" x14ac:dyDescent="0.3">
      <c r="A4" s="8" t="s">
        <v>560</v>
      </c>
      <c r="B4" s="9">
        <f t="shared" ca="1" si="0"/>
        <v>1</v>
      </c>
      <c r="C4" s="106" cm="1">
        <f t="array" ref="C4">get_start_date(E4,holidays)</f>
        <v>45033</v>
      </c>
      <c r="D4" s="106" cm="1">
        <f t="array" ref="D4">get_finish_date(C4,holidays,F4)</f>
        <v>45035</v>
      </c>
      <c r="E4" s="107">
        <f t="shared" ref="E4:E12" si="1">D3</f>
        <v>45029</v>
      </c>
      <c r="F4" s="108">
        <v>2</v>
      </c>
      <c r="G4" s="109"/>
      <c r="H4" s="110"/>
    </row>
    <row r="5" spans="1:8" x14ac:dyDescent="0.3">
      <c r="A5" s="8" t="s">
        <v>561</v>
      </c>
      <c r="B5" s="9">
        <f t="shared" ca="1" si="0"/>
        <v>1</v>
      </c>
      <c r="C5" s="106" cm="1">
        <f t="array" ref="C5">get_start_date(E5,holidays)</f>
        <v>45035</v>
      </c>
      <c r="D5" s="106" cm="1">
        <f t="array" ref="D5">get_finish_date(C5,holidays,F5)</f>
        <v>45037</v>
      </c>
      <c r="E5" s="107">
        <f t="shared" si="1"/>
        <v>45035</v>
      </c>
      <c r="F5" s="108">
        <v>2</v>
      </c>
      <c r="G5" s="25" t="s">
        <v>589</v>
      </c>
      <c r="H5" s="110"/>
    </row>
    <row r="6" spans="1:8" x14ac:dyDescent="0.3">
      <c r="A6" s="8" t="s">
        <v>562</v>
      </c>
      <c r="B6" s="9">
        <f t="shared" ca="1" si="0"/>
        <v>1</v>
      </c>
      <c r="C6" s="106" cm="1">
        <f t="array" ref="C6">get_start_date(E6,holidays)</f>
        <v>45037</v>
      </c>
      <c r="D6" s="106" cm="1">
        <f t="array" ref="D6">get_finish_date(C6,holidays,F6)</f>
        <v>45042</v>
      </c>
      <c r="E6" s="107">
        <f t="shared" si="1"/>
        <v>45037</v>
      </c>
      <c r="F6" s="19">
        <v>3</v>
      </c>
      <c r="G6" s="25"/>
      <c r="H6" s="26"/>
    </row>
    <row r="7" spans="1:8" x14ac:dyDescent="0.3">
      <c r="A7" s="8" t="s">
        <v>563</v>
      </c>
      <c r="B7" s="9">
        <f t="shared" ca="1" si="0"/>
        <v>0</v>
      </c>
      <c r="C7" s="106" cm="1">
        <f t="array" ref="C7">get_start_date(E7,holidays)</f>
        <v>45042</v>
      </c>
      <c r="D7" s="106" cm="1">
        <f t="array" ref="D7">get_finish_date(C7,holidays,F7)</f>
        <v>45042</v>
      </c>
      <c r="E7" s="107">
        <f t="shared" si="1"/>
        <v>45042</v>
      </c>
      <c r="F7" s="19">
        <v>0</v>
      </c>
      <c r="G7" s="25"/>
      <c r="H7" s="26"/>
    </row>
    <row r="8" spans="1:8" x14ac:dyDescent="0.3">
      <c r="A8" s="8" t="s">
        <v>564</v>
      </c>
      <c r="B8" s="9">
        <f t="shared" ca="1" si="0"/>
        <v>1</v>
      </c>
      <c r="C8" s="106" cm="1">
        <f t="array" ref="C8">get_start_date(E8,holidays)</f>
        <v>45042</v>
      </c>
      <c r="D8" s="106" cm="1">
        <f t="array" ref="D8">get_finish_date(C8,holidays,F8)</f>
        <v>45049</v>
      </c>
      <c r="E8" s="107">
        <f t="shared" si="1"/>
        <v>45042</v>
      </c>
      <c r="F8" s="19">
        <v>4</v>
      </c>
      <c r="G8" s="25"/>
      <c r="H8" s="26"/>
    </row>
    <row r="9" spans="1:8" x14ac:dyDescent="0.3">
      <c r="A9" s="8" t="s">
        <v>556</v>
      </c>
      <c r="B9" s="9">
        <f t="shared" ca="1" si="0"/>
        <v>0</v>
      </c>
      <c r="C9" s="106" cm="1">
        <f t="array" ref="C9">get_start_date(E9,holidays)</f>
        <v>45049</v>
      </c>
      <c r="D9" s="106" cm="1">
        <f t="array" ref="D9">get_finish_date(C9,holidays,F9)</f>
        <v>45049</v>
      </c>
      <c r="E9" s="107">
        <f t="shared" si="1"/>
        <v>45049</v>
      </c>
      <c r="F9" s="19">
        <v>0</v>
      </c>
      <c r="G9" s="25"/>
      <c r="H9" s="26"/>
    </row>
    <row r="10" spans="1:8" x14ac:dyDescent="0.3">
      <c r="A10" s="8" t="s">
        <v>555</v>
      </c>
      <c r="B10" s="9">
        <f t="shared" ca="1" si="0"/>
        <v>1</v>
      </c>
      <c r="C10" s="106" cm="1">
        <f t="array" ref="C10">get_start_date(E10,holidays)</f>
        <v>45049</v>
      </c>
      <c r="D10" s="106" cm="1">
        <f t="array" ref="D10">get_finish_date(C10,holidays,F10)</f>
        <v>45056</v>
      </c>
      <c r="E10" s="107">
        <f t="shared" si="1"/>
        <v>45049</v>
      </c>
      <c r="F10" s="19">
        <v>4</v>
      </c>
      <c r="G10" s="25"/>
      <c r="H10" s="26"/>
    </row>
    <row r="11" spans="1:8" x14ac:dyDescent="0.3">
      <c r="A11" s="8" t="s">
        <v>577</v>
      </c>
      <c r="B11" s="9">
        <f t="shared" ca="1" si="0"/>
        <v>0</v>
      </c>
      <c r="C11" s="106" cm="1">
        <f t="array" ref="C11">get_start_date(E11,holidays)</f>
        <v>45056</v>
      </c>
      <c r="D11" s="106" cm="1">
        <f t="array" ref="D11">get_finish_date(C11,holidays,F11)</f>
        <v>45056</v>
      </c>
      <c r="E11" s="107">
        <f t="shared" si="1"/>
        <v>45056</v>
      </c>
      <c r="F11" s="19">
        <v>0</v>
      </c>
    </row>
    <row r="12" spans="1:8" x14ac:dyDescent="0.3">
      <c r="A12" s="8" t="s">
        <v>576</v>
      </c>
      <c r="B12" s="9">
        <f t="shared" ca="1" si="0"/>
        <v>1</v>
      </c>
      <c r="C12" s="106" cm="1">
        <f t="array" ref="C12">get_start_date(E12,holidays)</f>
        <v>45056</v>
      </c>
      <c r="D12" s="106" cm="1">
        <f t="array" ref="D12">get_finish_date(C12,holidays,F12)</f>
        <v>45063</v>
      </c>
      <c r="E12" s="107">
        <f t="shared" si="1"/>
        <v>45056</v>
      </c>
      <c r="F12" s="19">
        <v>5</v>
      </c>
    </row>
  </sheetData>
  <dataValidations count="3">
    <dataValidation type="decimal" allowBlank="1" showInputMessage="1" showErrorMessage="1" prompt="Actual project completion (%)" sqref="B2:B12" xr:uid="{798E7B37-E110-4333-A0E7-C4B4022F1F50}">
      <formula1>0</formula1>
      <formula2>1</formula2>
    </dataValidation>
    <dataValidation type="date" allowBlank="1" showInputMessage="1" showErrorMessage="1" sqref="C2:E12" xr:uid="{24B22B3B-C9BE-4D93-BABB-FF47370DDBA4}">
      <formula1>44562</formula1>
      <formula2>219148</formula2>
    </dataValidation>
    <dataValidation type="whole" allowBlank="1" showInputMessage="1" showErrorMessage="1" prompt="Number of working days" sqref="F2:F12" xr:uid="{B3D31049-16F3-416D-AA52-B23339C9CB67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B09-3896-4F3D-8BEA-C53B37F6D9EC}">
  <sheetPr codeName="Sheet39"/>
  <dimension ref="A1:H7"/>
  <sheetViews>
    <sheetView showGridLines="0" zoomScale="140" zoomScaleNormal="140" workbookViewId="0">
      <selection activeCell="A20" sqref="A20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MIN(MMULT(TRANSPOSE(B3:B7),D3:D7-C3:C7)/SUM(D3:D7-C3:C7)+0.05,1)</f>
        <v>1</v>
      </c>
      <c r="C2" s="22" cm="1">
        <f t="array" ref="C2">get_start_date(E2,holidays)</f>
        <v>45005</v>
      </c>
      <c r="D2" s="23">
        <f>MAX(D3:D7)</f>
        <v>45014</v>
      </c>
      <c r="E2" s="23">
        <f>MIN(E3:E7)</f>
        <v>45005</v>
      </c>
      <c r="F2" s="24" cm="1">
        <f t="array" ref="F2">SUM(IF(WEEKDAY(_xlfn.SEQUENCE(D2-C2,1,C2,1),2)&lt;6,1,0))-SUM(IF(ISERROR(MATCH(_xlfn.SEQUENCE(D2-C2,1,C2,1),holidays,0)&gt;0)=FALSE,1,0))</f>
        <v>7</v>
      </c>
      <c r="H2" s="26"/>
    </row>
    <row r="3" spans="1:8" x14ac:dyDescent="0.3">
      <c r="A3" s="8" t="s">
        <v>528</v>
      </c>
      <c r="B3" s="9">
        <f t="shared" ref="B3:B7" ca="1" si="0">IFERROR(MAX(MIN(TODAY()-C3,D3-C3),0)/(D3-C3),0)</f>
        <v>1</v>
      </c>
      <c r="C3" s="10" cm="1">
        <f t="array" ref="C3">get_start_date(E3,holidays)</f>
        <v>45005</v>
      </c>
      <c r="D3" s="11" cm="1">
        <f t="array" ref="D3">get_finish_date(C3,holidays,F3)</f>
        <v>45007</v>
      </c>
      <c r="E3" s="12">
        <v>45005</v>
      </c>
      <c r="F3" s="19">
        <v>2</v>
      </c>
      <c r="G3" s="25"/>
      <c r="H3" s="26"/>
    </row>
    <row r="4" spans="1:8" x14ac:dyDescent="0.3">
      <c r="A4" s="8" t="s">
        <v>529</v>
      </c>
      <c r="B4" s="9">
        <f t="shared" ca="1" si="0"/>
        <v>1</v>
      </c>
      <c r="C4" s="10" cm="1">
        <f t="array" ref="C4">get_start_date(E4,holidays)</f>
        <v>45007</v>
      </c>
      <c r="D4" s="11" cm="1">
        <f t="array" ref="D4">get_finish_date(C4,holidays,F4)</f>
        <v>45009</v>
      </c>
      <c r="E4" s="12">
        <f t="shared" ref="E4:E7" si="1">D3</f>
        <v>45007</v>
      </c>
      <c r="F4" s="19">
        <v>2</v>
      </c>
      <c r="G4" s="25"/>
      <c r="H4" s="26"/>
    </row>
    <row r="5" spans="1:8" x14ac:dyDescent="0.3">
      <c r="A5" s="14" t="s">
        <v>382</v>
      </c>
      <c r="B5" s="9">
        <f t="shared" ca="1" si="0"/>
        <v>1</v>
      </c>
      <c r="C5" s="10" cm="1">
        <f t="array" ref="C5">get_start_date(E5,holidays)</f>
        <v>45009</v>
      </c>
      <c r="D5" s="11" cm="1">
        <f t="array" ref="D5">get_finish_date(C5,holidays,F5)</f>
        <v>45010</v>
      </c>
      <c r="E5" s="12">
        <f t="shared" si="1"/>
        <v>45009</v>
      </c>
      <c r="F5" s="19">
        <v>1</v>
      </c>
      <c r="G5" s="25"/>
      <c r="H5" s="26"/>
    </row>
    <row r="6" spans="1:8" x14ac:dyDescent="0.3">
      <c r="A6" s="8" t="s">
        <v>531</v>
      </c>
      <c r="B6" s="9">
        <f t="shared" ca="1" si="0"/>
        <v>1</v>
      </c>
      <c r="C6" s="10" cm="1">
        <f t="array" ref="C6">get_start_date(E6,holidays)</f>
        <v>45012</v>
      </c>
      <c r="D6" s="11" cm="1">
        <f t="array" ref="D6">get_finish_date(C6,holidays,F6)</f>
        <v>45013</v>
      </c>
      <c r="E6" s="12">
        <f t="shared" si="1"/>
        <v>45010</v>
      </c>
      <c r="F6" s="19">
        <v>1</v>
      </c>
      <c r="G6" s="25"/>
      <c r="H6" s="26"/>
    </row>
    <row r="7" spans="1:8" x14ac:dyDescent="0.3">
      <c r="A7" s="8" t="s">
        <v>450</v>
      </c>
      <c r="B7" s="9">
        <f t="shared" ca="1" si="0"/>
        <v>1</v>
      </c>
      <c r="C7" s="10" cm="1">
        <f t="array" ref="C7">get_start_date(E7,holidays)</f>
        <v>45013</v>
      </c>
      <c r="D7" s="11" cm="1">
        <f t="array" ref="D7">get_finish_date(C7,holidays,F7)</f>
        <v>45014</v>
      </c>
      <c r="E7" s="12">
        <f t="shared" si="1"/>
        <v>45013</v>
      </c>
      <c r="F7" s="19">
        <v>1</v>
      </c>
      <c r="G7" s="25"/>
      <c r="H7" s="26"/>
    </row>
  </sheetData>
  <dataValidations count="3">
    <dataValidation type="decimal" allowBlank="1" showInputMessage="1" showErrorMessage="1" prompt="Actual project completion (%)" sqref="B2:B7" xr:uid="{7F9222CE-085B-4FD8-953D-D81E9EEA2F81}">
      <formula1>0</formula1>
      <formula2>1</formula2>
    </dataValidation>
    <dataValidation type="date" allowBlank="1" showInputMessage="1" showErrorMessage="1" sqref="C2:E7" xr:uid="{F02B1590-DF59-457F-AEA3-F9F43E78142A}">
      <formula1>44562</formula1>
      <formula2>219148</formula2>
    </dataValidation>
    <dataValidation type="whole" allowBlank="1" showInputMessage="1" showErrorMessage="1" prompt="Number of working days" sqref="F2:F7" xr:uid="{FBD1BEC8-3671-4E91-91B1-9566C75D9DEA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E3180-2219-4FB7-98CB-D0D9B9A2D690}">
  <sheetPr codeName="Sheet40"/>
  <dimension ref="A1:H10"/>
  <sheetViews>
    <sheetView showGridLines="0" zoomScale="140" zoomScaleNormal="140" workbookViewId="0">
      <selection activeCell="C2" sqref="C2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MIN(MMULT(TRANSPOSE(B3:B10),D3:D10-C3:C10)/SUM(D3:D10-C3:C10)+0.05,1)</f>
        <v>1</v>
      </c>
      <c r="C2" s="22" cm="1">
        <f t="array" ref="C2">get_start_date(E2,holidays)</f>
        <v>45015</v>
      </c>
      <c r="D2" s="23">
        <f>MAX(D3:D10)</f>
        <v>45049</v>
      </c>
      <c r="E2" s="23">
        <f>MIN(E3:E10)</f>
        <v>45015</v>
      </c>
      <c r="F2" s="24" cm="1">
        <f t="array" ref="F2">SUM(IF(WEEKDAY(_xlfn.SEQUENCE(D2-C2,1,C2,1),2)&lt;6,1,0))-SUM(IF(ISERROR(MATCH(_xlfn.SEQUENCE(D2-C2,1,C2,1),holidays,0)&gt;0)=FALSE,1,0))</f>
        <v>20</v>
      </c>
      <c r="H2" s="26"/>
    </row>
    <row r="3" spans="1:8" x14ac:dyDescent="0.3">
      <c r="A3" s="8" t="s">
        <v>378</v>
      </c>
      <c r="B3" s="9">
        <f t="shared" ref="B3:B8" ca="1" si="0">IFERROR(MAX(MIN(TODAY()-C3,D3-C3),0)/(D3-C3),0)</f>
        <v>1</v>
      </c>
      <c r="C3" s="10" cm="1">
        <f t="array" ref="C3">get_start_date(E3,holidays)</f>
        <v>45015</v>
      </c>
      <c r="D3" s="11" cm="1">
        <f t="array" ref="D3">get_finish_date(C3,holidays,F3)</f>
        <v>45016</v>
      </c>
      <c r="E3" s="12">
        <v>45015</v>
      </c>
      <c r="F3" s="19">
        <v>1</v>
      </c>
      <c r="G3" s="25"/>
      <c r="H3" s="26"/>
    </row>
    <row r="4" spans="1:8" x14ac:dyDescent="0.3">
      <c r="A4" s="8" t="s">
        <v>455</v>
      </c>
      <c r="B4" s="9">
        <f t="shared" ca="1" si="0"/>
        <v>1</v>
      </c>
      <c r="C4" s="10" cm="1">
        <f t="array" ref="C4">get_start_date(E4,holidays)</f>
        <v>45016</v>
      </c>
      <c r="D4" s="11" cm="1">
        <f t="array" ref="D4">get_finish_date(C4,holidays,F4)</f>
        <v>45021</v>
      </c>
      <c r="E4" s="12">
        <f t="shared" ref="E4:E6" si="1">D3</f>
        <v>45016</v>
      </c>
      <c r="F4" s="19">
        <v>3</v>
      </c>
      <c r="G4" s="25"/>
      <c r="H4" s="26"/>
    </row>
    <row r="5" spans="1:8" x14ac:dyDescent="0.3">
      <c r="A5" s="14" t="s">
        <v>382</v>
      </c>
      <c r="B5" s="9">
        <f t="shared" ca="1" si="0"/>
        <v>1</v>
      </c>
      <c r="C5" s="10" cm="1">
        <f t="array" ref="C5">get_start_date(E5,holidays)</f>
        <v>45021</v>
      </c>
      <c r="D5" s="11" cm="1">
        <f t="array" ref="D5">get_finish_date(C5,holidays,F5)</f>
        <v>45022</v>
      </c>
      <c r="E5" s="12">
        <f t="shared" si="1"/>
        <v>45021</v>
      </c>
      <c r="F5" s="19">
        <v>1</v>
      </c>
      <c r="G5" s="25"/>
      <c r="H5" s="26"/>
    </row>
    <row r="6" spans="1:8" x14ac:dyDescent="0.3">
      <c r="A6" s="8" t="s">
        <v>539</v>
      </c>
      <c r="B6" s="9">
        <f t="shared" ref="B6" ca="1" si="2">IFERROR(MAX(MIN(TODAY()-C6,D6-C6),0)/(D6-C6),0)</f>
        <v>1</v>
      </c>
      <c r="C6" s="10" cm="1">
        <f t="array" ref="C6">get_start_date(E6,holidays)</f>
        <v>45023</v>
      </c>
      <c r="D6" s="11" cm="1">
        <f t="array" ref="D6">get_finish_date(C6,holidays,F6)</f>
        <v>45027</v>
      </c>
      <c r="E6" s="12">
        <f t="shared" si="1"/>
        <v>45022</v>
      </c>
      <c r="F6" s="19">
        <v>2</v>
      </c>
      <c r="G6" s="25"/>
      <c r="H6" s="26"/>
    </row>
    <row r="7" spans="1:8" x14ac:dyDescent="0.3">
      <c r="A7" s="8" t="s">
        <v>540</v>
      </c>
      <c r="B7" s="9">
        <f t="shared" ref="B7" ca="1" si="3">IFERROR(MAX(MIN(TODAY()-C7,D7-C7),0)/(D7-C7),0)</f>
        <v>1</v>
      </c>
      <c r="C7" s="10" cm="1">
        <f t="array" ref="C7">get_start_date(E7,holidays)</f>
        <v>45027</v>
      </c>
      <c r="D7" s="11" cm="1">
        <f t="array" ref="D7">get_finish_date(C7,holidays,F7)</f>
        <v>45035</v>
      </c>
      <c r="E7" s="12">
        <f t="shared" ref="E7:E8" si="4">D6</f>
        <v>45027</v>
      </c>
      <c r="F7" s="19">
        <v>4</v>
      </c>
      <c r="G7" s="25"/>
      <c r="H7" s="26"/>
    </row>
    <row r="8" spans="1:8" x14ac:dyDescent="0.3">
      <c r="A8" s="14" t="s">
        <v>450</v>
      </c>
      <c r="B8" s="9">
        <f t="shared" ca="1" si="0"/>
        <v>1</v>
      </c>
      <c r="C8" s="10" cm="1">
        <f t="array" ref="C8">get_start_date(E8,holidays)</f>
        <v>45035</v>
      </c>
      <c r="D8" s="11" cm="1">
        <f t="array" ref="D8">get_finish_date(C8,holidays,F8)</f>
        <v>45036</v>
      </c>
      <c r="E8" s="12">
        <f t="shared" si="4"/>
        <v>45035</v>
      </c>
      <c r="F8" s="19">
        <v>1</v>
      </c>
      <c r="G8" s="25"/>
      <c r="H8" s="26"/>
    </row>
    <row r="9" spans="1:8" x14ac:dyDescent="0.3">
      <c r="A9" s="8" t="s">
        <v>582</v>
      </c>
      <c r="B9" s="9">
        <f t="shared" ref="B9" ca="1" si="5">IFERROR(MAX(MIN(TODAY()-C9,D9-C9),0)/(D9-C9),0)</f>
        <v>1</v>
      </c>
      <c r="C9" s="10" cm="1">
        <f t="array" ref="C9">get_start_date(E9,holidays)</f>
        <v>45036</v>
      </c>
      <c r="D9" s="11" cm="1">
        <f t="array" ref="D9">get_finish_date(C9,holidays,F9)</f>
        <v>45043</v>
      </c>
      <c r="E9" s="12">
        <f t="shared" ref="E9" si="6">D8</f>
        <v>45036</v>
      </c>
      <c r="F9" s="19">
        <v>5</v>
      </c>
    </row>
    <row r="10" spans="1:8" x14ac:dyDescent="0.3">
      <c r="A10" s="8" t="s">
        <v>583</v>
      </c>
      <c r="B10" s="9">
        <f t="shared" ref="B10" ca="1" si="7">IFERROR(MAX(MIN(TODAY()-C10,D10-C10),0)/(D10-C10),0)</f>
        <v>1</v>
      </c>
      <c r="C10" s="10" cm="1">
        <f t="array" ref="C10">get_start_date(E10,holidays)</f>
        <v>45043</v>
      </c>
      <c r="D10" s="11" cm="1">
        <f t="array" ref="D10">get_finish_date(C10,holidays,F10)</f>
        <v>45049</v>
      </c>
      <c r="E10" s="12">
        <f t="shared" ref="E10" si="8">D9</f>
        <v>45043</v>
      </c>
      <c r="F10" s="19">
        <v>3</v>
      </c>
    </row>
  </sheetData>
  <dataValidations count="3">
    <dataValidation type="decimal" allowBlank="1" showInputMessage="1" showErrorMessage="1" prompt="Actual project completion (%)" sqref="B2:B10" xr:uid="{D7353AEA-49D8-499C-B893-F1471E6EF9A4}">
      <formula1>0</formula1>
      <formula2>1</formula2>
    </dataValidation>
    <dataValidation type="date" allowBlank="1" showInputMessage="1" showErrorMessage="1" sqref="C2:E10" xr:uid="{13376744-3D92-4833-A0F9-965D8485B0FA}">
      <formula1>44562</formula1>
      <formula2>219148</formula2>
    </dataValidation>
    <dataValidation type="whole" allowBlank="1" showInputMessage="1" showErrorMessage="1" prompt="Number of working days" sqref="F2:F10" xr:uid="{AB35533B-A812-409C-BD30-F9C9CDEE673A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A635E-8C42-46C6-98CF-0FE2FDB96E3C}">
  <dimension ref="A1:H8"/>
  <sheetViews>
    <sheetView zoomScale="146" workbookViewId="0">
      <selection activeCell="A13" sqref="A13"/>
    </sheetView>
  </sheetViews>
  <sheetFormatPr defaultColWidth="8" defaultRowHeight="14" x14ac:dyDescent="0.3"/>
  <cols>
    <col min="1" max="1" width="45" customWidth="1"/>
    <col min="2" max="2" width="10" customWidth="1"/>
    <col min="3" max="3" width="12.08203125" customWidth="1"/>
    <col min="4" max="6" width="10" customWidth="1"/>
  </cols>
  <sheetData>
    <row r="1" spans="1:8" s="15" customFormat="1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s="15" customFormat="1" ht="20.149999999999999" customHeight="1" x14ac:dyDescent="0.3">
      <c r="A2" s="27" t="s">
        <v>209</v>
      </c>
      <c r="B2" s="21" cm="1">
        <f t="array" aca="1" ref="B2" ca="1">MIN(MMULT(TRANSPOSE(B3:B8),D3:D8-C3:C8)/SUM(D3:D8-C3:C8)+0.05,1)</f>
        <v>1</v>
      </c>
      <c r="C2" s="22" cm="1">
        <f t="array" ref="C2">get_start_date(E2,holidays)</f>
        <v>45023</v>
      </c>
      <c r="D2" s="23">
        <f>MAX(D3:D8)</f>
        <v>45044</v>
      </c>
      <c r="E2" s="23">
        <f>MIN(E3:E7)</f>
        <v>45023</v>
      </c>
      <c r="F2" s="24" cm="1">
        <f t="array" ref="F2">SUM(IF(WEEKDAY(_xlfn.SEQUENCE(D2-C2,1,C2,1),2)&lt;6,1,0))-SUM(IF(ISERROR(MATCH(_xlfn.SEQUENCE(D2-C2,1,C2,1),holidays,0)&gt;0)=FALSE,1,0))</f>
        <v>13</v>
      </c>
      <c r="H2" s="26"/>
    </row>
    <row r="3" spans="1:8" s="15" customFormat="1" ht="12.5" x14ac:dyDescent="0.3">
      <c r="A3" s="8" t="s">
        <v>545</v>
      </c>
      <c r="B3" s="9">
        <f t="shared" ref="B3:B7" ca="1" si="0">IFERROR(MAX(MIN(TODAY()-C3,D3-C3),0)/(D3-C3),0)</f>
        <v>1</v>
      </c>
      <c r="C3" s="10" cm="1">
        <f t="array" ref="C3">get_start_date(E3,holidays)</f>
        <v>45023</v>
      </c>
      <c r="D3" s="11" cm="1">
        <f t="array" ref="D3">get_finish_date(C3,holidays,F3)</f>
        <v>45027</v>
      </c>
      <c r="E3" s="12">
        <v>45023</v>
      </c>
      <c r="F3" s="19">
        <v>2</v>
      </c>
      <c r="G3" s="25"/>
      <c r="H3" s="26"/>
    </row>
    <row r="4" spans="1:8" s="15" customFormat="1" ht="12.5" x14ac:dyDescent="0.3">
      <c r="A4" s="8" t="s">
        <v>546</v>
      </c>
      <c r="B4" s="9">
        <f t="shared" ca="1" si="0"/>
        <v>1</v>
      </c>
      <c r="C4" s="10" cm="1">
        <f t="array" ref="C4">get_start_date(E4,holidays)</f>
        <v>45027</v>
      </c>
      <c r="D4" s="11" cm="1">
        <f t="array" ref="D4">get_finish_date(C4,holidays,F4)</f>
        <v>45028</v>
      </c>
      <c r="E4" s="12">
        <f t="shared" ref="E4:E7" si="1">D3</f>
        <v>45027</v>
      </c>
      <c r="F4" s="19">
        <v>1</v>
      </c>
      <c r="G4" s="25"/>
      <c r="H4" s="26"/>
    </row>
    <row r="5" spans="1:8" s="15" customFormat="1" ht="12.5" x14ac:dyDescent="0.3">
      <c r="A5" s="14" t="s">
        <v>382</v>
      </c>
      <c r="B5" s="9">
        <f t="shared" ca="1" si="0"/>
        <v>0</v>
      </c>
      <c r="C5" s="10" cm="1">
        <f t="array" ref="C5">get_start_date(E5,holidays)</f>
        <v>45028</v>
      </c>
      <c r="D5" s="11" cm="1">
        <f t="array" ref="D5">get_finish_date(C5,holidays,F5)</f>
        <v>45028</v>
      </c>
      <c r="E5" s="12">
        <f t="shared" si="1"/>
        <v>45028</v>
      </c>
      <c r="F5" s="19">
        <v>0</v>
      </c>
      <c r="G5" s="25"/>
      <c r="H5" s="26"/>
    </row>
    <row r="6" spans="1:8" s="15" customFormat="1" ht="12.5" x14ac:dyDescent="0.3">
      <c r="A6" s="8" t="s">
        <v>547</v>
      </c>
      <c r="B6" s="9">
        <f t="shared" ca="1" si="0"/>
        <v>1</v>
      </c>
      <c r="C6" s="10" cm="1">
        <f t="array" ref="C6">get_start_date(E6,holidays)</f>
        <v>45028</v>
      </c>
      <c r="D6" s="11" cm="1">
        <f t="array" ref="D6">get_finish_date(C6,holidays,F6)</f>
        <v>45036</v>
      </c>
      <c r="E6" s="12">
        <f t="shared" si="1"/>
        <v>45028</v>
      </c>
      <c r="F6" s="19">
        <v>4</v>
      </c>
      <c r="G6" s="25"/>
      <c r="H6" s="26"/>
    </row>
    <row r="7" spans="1:8" s="15" customFormat="1" ht="12.5" x14ac:dyDescent="0.3">
      <c r="A7" s="8" t="s">
        <v>548</v>
      </c>
      <c r="B7" s="9">
        <f t="shared" ca="1" si="0"/>
        <v>1</v>
      </c>
      <c r="C7" s="10" cm="1">
        <f t="array" ref="C7">get_start_date(E7,holidays)</f>
        <v>45036</v>
      </c>
      <c r="D7" s="11" cm="1">
        <f t="array" ref="D7">get_finish_date(C7,holidays,F7)</f>
        <v>45041</v>
      </c>
      <c r="E7" s="12">
        <f t="shared" si="1"/>
        <v>45036</v>
      </c>
      <c r="F7" s="19">
        <v>3</v>
      </c>
      <c r="G7" s="25"/>
      <c r="H7" s="26"/>
    </row>
    <row r="8" spans="1:8" x14ac:dyDescent="0.3">
      <c r="A8" s="14" t="s">
        <v>549</v>
      </c>
      <c r="B8" s="9">
        <f t="shared" ref="B8" ca="1" si="2">IFERROR(MAX(MIN(TODAY()-C8,D8-C8),0)/(D8-C8),0)</f>
        <v>1</v>
      </c>
      <c r="C8" s="10" cm="1">
        <f t="array" ref="C8">get_start_date(E8,holidays)</f>
        <v>45041</v>
      </c>
      <c r="D8" s="11" cm="1">
        <f t="array" ref="D8">get_finish_date(C8,holidays,F8)</f>
        <v>45044</v>
      </c>
      <c r="E8" s="12">
        <f t="shared" ref="E8" si="3">D7</f>
        <v>45041</v>
      </c>
      <c r="F8" s="19">
        <v>3</v>
      </c>
    </row>
  </sheetData>
  <dataValidations count="3">
    <dataValidation type="decimal" allowBlank="1" showInputMessage="1" showErrorMessage="1" prompt="Actual project completion (%)" sqref="B2:B8" xr:uid="{13F66700-5519-4ACE-A21B-04E1B471D19E}">
      <formula1>0</formula1>
      <formula2>1</formula2>
    </dataValidation>
    <dataValidation type="date" allowBlank="1" showInputMessage="1" showErrorMessage="1" sqref="C2:E8" xr:uid="{B3D5A32F-CEDF-46BC-8B1B-7E38F3828C0B}">
      <formula1>44562</formula1>
      <formula2>219148</formula2>
    </dataValidation>
    <dataValidation type="whole" allowBlank="1" showInputMessage="1" showErrorMessage="1" prompt="Number of working days" sqref="F2:F8" xr:uid="{9141F482-B137-40BF-B580-67016D332358}">
      <formula1>0</formula1>
      <formula2>1000</formula2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A260-D7D2-4BAF-A76E-34D968F5E173}">
  <dimension ref="A1:H8"/>
  <sheetViews>
    <sheetView zoomScale="146" workbookViewId="0">
      <selection activeCell="B10" sqref="B10"/>
    </sheetView>
  </sheetViews>
  <sheetFormatPr defaultColWidth="8" defaultRowHeight="14" x14ac:dyDescent="0.3"/>
  <cols>
    <col min="1" max="1" width="45" customWidth="1"/>
    <col min="2" max="2" width="10" customWidth="1"/>
    <col min="3" max="3" width="12.08203125" customWidth="1"/>
    <col min="4" max="6" width="10" customWidth="1"/>
  </cols>
  <sheetData>
    <row r="1" spans="1:8" s="15" customFormat="1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s="15" customFormat="1" ht="20.149999999999999" customHeight="1" x14ac:dyDescent="0.3">
      <c r="A2" s="27" t="s">
        <v>209</v>
      </c>
      <c r="B2" s="21" cm="1">
        <f t="array" aca="1" ref="B2" ca="1">MIN(MMULT(TRANSPOSE(B3:B8),D3:D8-C3:C8)/SUM(D3:D8-C3:C8)+0.005,1)</f>
        <v>0.61928571428571422</v>
      </c>
      <c r="C2" s="22" cm="1">
        <f t="array" ref="C2">get_start_date(E2,holidays)</f>
        <v>45063</v>
      </c>
      <c r="D2" s="23">
        <f>MAX(D3:D8)</f>
        <v>45084</v>
      </c>
      <c r="E2" s="23">
        <f>MIN(E3:E7)</f>
        <v>45063</v>
      </c>
      <c r="F2" s="24" cm="1">
        <f t="array" ref="F2">SUM(IF(WEEKDAY(_xlfn.SEQUENCE(D2-C2,1,C2,1),2)&lt;6,1,0))-SUM(IF(ISERROR(MATCH(_xlfn.SEQUENCE(D2-C2,1,C2,1),holidays,0)&gt;0)=FALSE,1,0))</f>
        <v>14</v>
      </c>
      <c r="H2" s="26"/>
    </row>
    <row r="3" spans="1:8" s="15" customFormat="1" ht="12.5" x14ac:dyDescent="0.3">
      <c r="A3" s="8" t="s">
        <v>569</v>
      </c>
      <c r="B3" s="9">
        <f t="shared" ref="B3:B8" ca="1" si="0">IFERROR(MAX(MIN(TODAY()-C3,D3-C3),0)/(D3-C3),0)</f>
        <v>1</v>
      </c>
      <c r="C3" s="10" cm="1">
        <f t="array" ref="C3">get_start_date(E3,holidays)</f>
        <v>45063</v>
      </c>
      <c r="D3" s="11" cm="1">
        <f t="array" ref="D3">get_finish_date(C3,holidays,F3)</f>
        <v>45069</v>
      </c>
      <c r="E3" s="12">
        <v>45063</v>
      </c>
      <c r="F3" s="19">
        <v>4</v>
      </c>
      <c r="G3" s="25"/>
      <c r="H3" s="26"/>
    </row>
    <row r="4" spans="1:8" s="15" customFormat="1" ht="12.5" x14ac:dyDescent="0.3">
      <c r="A4" s="8" t="s">
        <v>570</v>
      </c>
      <c r="B4" s="9">
        <v>0.9</v>
      </c>
      <c r="C4" s="10" cm="1">
        <f t="array" ref="C4">get_start_date(E4,holidays)</f>
        <v>45069</v>
      </c>
      <c r="D4" s="11" cm="1">
        <f t="array" ref="D4">get_finish_date(C4,holidays,F4)</f>
        <v>45072</v>
      </c>
      <c r="E4" s="12">
        <f t="shared" ref="E4:E8" si="1">D3</f>
        <v>45069</v>
      </c>
      <c r="F4" s="19">
        <v>3</v>
      </c>
      <c r="G4" s="25"/>
      <c r="H4" s="26"/>
    </row>
    <row r="5" spans="1:8" s="15" customFormat="1" ht="12.5" x14ac:dyDescent="0.3">
      <c r="A5" s="14" t="s">
        <v>382</v>
      </c>
      <c r="B5" s="9">
        <f t="shared" ca="1" si="0"/>
        <v>0</v>
      </c>
      <c r="C5" s="10" cm="1">
        <f t="array" ref="C5">get_start_date(E5,holidays)</f>
        <v>45072</v>
      </c>
      <c r="D5" s="11" cm="1">
        <f t="array" ref="D5">get_finish_date(C5,holidays,F5)</f>
        <v>45072</v>
      </c>
      <c r="E5" s="12">
        <f t="shared" si="1"/>
        <v>45072</v>
      </c>
      <c r="F5" s="19">
        <v>0</v>
      </c>
      <c r="G5" s="25"/>
      <c r="H5" s="26"/>
    </row>
    <row r="6" spans="1:8" s="15" customFormat="1" ht="12.5" x14ac:dyDescent="0.3">
      <c r="A6" s="8" t="s">
        <v>571</v>
      </c>
      <c r="B6" s="9">
        <v>0.6</v>
      </c>
      <c r="C6" s="10" cm="1">
        <f t="array" ref="C6">get_start_date(E6,holidays)</f>
        <v>45072</v>
      </c>
      <c r="D6" s="11" cm="1">
        <f t="array" ref="D6">get_finish_date(C6,holidays,F6)</f>
        <v>45079</v>
      </c>
      <c r="E6" s="12">
        <f t="shared" si="1"/>
        <v>45072</v>
      </c>
      <c r="F6" s="19">
        <v>5</v>
      </c>
      <c r="G6" s="25"/>
      <c r="H6" s="26"/>
    </row>
    <row r="7" spans="1:8" s="15" customFormat="1" ht="12.5" x14ac:dyDescent="0.3">
      <c r="A7" s="8" t="s">
        <v>245</v>
      </c>
      <c r="B7" s="9">
        <f t="shared" ca="1" si="0"/>
        <v>0</v>
      </c>
      <c r="C7" s="10" cm="1">
        <f t="array" ref="C7">get_start_date(E7,holidays)</f>
        <v>45079</v>
      </c>
      <c r="D7" s="11" cm="1">
        <f t="array" ref="D7">get_finish_date(C7,holidays,F7)</f>
        <v>45084</v>
      </c>
      <c r="E7" s="12">
        <f t="shared" si="1"/>
        <v>45079</v>
      </c>
      <c r="F7" s="19">
        <v>2</v>
      </c>
      <c r="G7" s="25"/>
      <c r="H7" s="26"/>
    </row>
    <row r="8" spans="1:8" x14ac:dyDescent="0.3">
      <c r="A8" s="14" t="s">
        <v>572</v>
      </c>
      <c r="B8" s="9">
        <f t="shared" ca="1" si="0"/>
        <v>0</v>
      </c>
      <c r="C8" s="10" cm="1">
        <f t="array" ref="C8">get_start_date(E8,holidays)</f>
        <v>45084</v>
      </c>
      <c r="D8" s="11" cm="1">
        <f t="array" ref="D8">get_finish_date(C8,holidays,F8)</f>
        <v>45084</v>
      </c>
      <c r="E8" s="12">
        <f t="shared" si="1"/>
        <v>45084</v>
      </c>
      <c r="F8" s="19">
        <v>0</v>
      </c>
    </row>
  </sheetData>
  <dataValidations count="3">
    <dataValidation type="decimal" allowBlank="1" showInputMessage="1" showErrorMessage="1" prompt="Actual project completion (%)" sqref="B2:B8" xr:uid="{7149663B-AF4D-47BB-8989-D2B37927D3F6}">
      <formula1>0</formula1>
      <formula2>1</formula2>
    </dataValidation>
    <dataValidation type="date" allowBlank="1" showInputMessage="1" showErrorMessage="1" sqref="C2:E8" xr:uid="{9878497B-6447-401F-AE04-DC3FB7EB52AF}">
      <formula1>44562</formula1>
      <formula2>219148</formula2>
    </dataValidation>
    <dataValidation type="whole" allowBlank="1" showInputMessage="1" showErrorMessage="1" prompt="Number of working days" sqref="F2:F8" xr:uid="{7FB859CD-62BD-486F-B692-717087CC1604}">
      <formula1>0</formula1>
      <formula2>1000</formula2>
    </dataValidation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EF526-35BE-4772-94A7-D54615DCC634}">
  <sheetPr codeName="Sheet41"/>
  <dimension ref="A1:H9"/>
  <sheetViews>
    <sheetView showGridLines="0" zoomScale="140" zoomScaleNormal="140" workbookViewId="0">
      <selection activeCell="A24" sqref="A24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MIN(MMULT(TRANSPOSE(B3:B9),D3:D9-C3:C9)/SUM(D3:D9-C3:C9)+0.005,1)</f>
        <v>1</v>
      </c>
      <c r="C2" s="22" cm="1">
        <f t="array" ref="C2">get_start_date(E2,holidays)</f>
        <v>45049</v>
      </c>
      <c r="D2" s="23">
        <f>MAX(D3:D9)</f>
        <v>45072</v>
      </c>
      <c r="E2" s="23">
        <f>MIN(E3:E9)</f>
        <v>45049</v>
      </c>
      <c r="F2" s="24" cm="1">
        <f t="array" ref="F2">SUM(IF(WEEKDAY(_xlfn.SEQUENCE(D2-C2,1,C2,1),2)&lt;6,1,0))-SUM(IF(ISERROR(MATCH(_xlfn.SEQUENCE(D2-C2,1,C2,1),holidays,0)&gt;0)=FALSE,1,0))</f>
        <v>16</v>
      </c>
      <c r="H2" s="26"/>
    </row>
    <row r="3" spans="1:8" x14ac:dyDescent="0.3">
      <c r="A3" s="8" t="s">
        <v>584</v>
      </c>
      <c r="B3" s="9">
        <f t="shared" ref="B3:B6" ca="1" si="0">IFERROR(MAX(MIN(TODAY()-C3,D3-C3),0)/(D3-C3),0)</f>
        <v>1</v>
      </c>
      <c r="C3" s="10" cm="1">
        <f t="array" ref="C3">get_start_date(E3,holidays)</f>
        <v>45049</v>
      </c>
      <c r="D3" s="11" cm="1">
        <f t="array" ref="D3">get_finish_date(C3,holidays,F3)</f>
        <v>45055</v>
      </c>
      <c r="E3" s="12">
        <v>45049</v>
      </c>
      <c r="F3" s="19">
        <v>3</v>
      </c>
      <c r="G3" s="25"/>
      <c r="H3" s="26"/>
    </row>
    <row r="4" spans="1:8" x14ac:dyDescent="0.3">
      <c r="A4" s="8" t="s">
        <v>585</v>
      </c>
      <c r="B4" s="9">
        <f t="shared" ca="1" si="0"/>
        <v>1</v>
      </c>
      <c r="C4" s="10" cm="1">
        <f t="array" ref="C4">get_start_date(E4,holidays)</f>
        <v>45055</v>
      </c>
      <c r="D4" s="11" cm="1">
        <f t="array" ref="D4">get_finish_date(C4,holidays,F4)</f>
        <v>45058</v>
      </c>
      <c r="E4" s="12">
        <f t="shared" ref="E4:E8" si="1">D3</f>
        <v>45055</v>
      </c>
      <c r="F4" s="19">
        <v>3</v>
      </c>
      <c r="G4" s="25"/>
      <c r="H4" s="26"/>
    </row>
    <row r="5" spans="1:8" x14ac:dyDescent="0.3">
      <c r="A5" s="14" t="s">
        <v>382</v>
      </c>
      <c r="B5" s="9">
        <f t="shared" ca="1" si="0"/>
        <v>1</v>
      </c>
      <c r="C5" s="10" cm="1">
        <f t="array" ref="C5">get_start_date(E5,holidays)</f>
        <v>45058</v>
      </c>
      <c r="D5" s="11" cm="1">
        <f t="array" ref="D5">get_finish_date(C5,holidays,F5)</f>
        <v>45059</v>
      </c>
      <c r="E5" s="12">
        <f t="shared" si="1"/>
        <v>45058</v>
      </c>
      <c r="F5" s="19">
        <v>1</v>
      </c>
      <c r="G5" s="25"/>
      <c r="H5" s="26"/>
    </row>
    <row r="6" spans="1:8" x14ac:dyDescent="0.3">
      <c r="A6" s="8" t="s">
        <v>586</v>
      </c>
      <c r="B6" s="9">
        <f t="shared" ca="1" si="0"/>
        <v>1</v>
      </c>
      <c r="C6" s="10" cm="1">
        <f t="array" ref="C6">get_start_date(E6,holidays)</f>
        <v>45061</v>
      </c>
      <c r="D6" s="11" cm="1">
        <f t="array" ref="D6">get_finish_date(C6,holidays,F6)</f>
        <v>45063</v>
      </c>
      <c r="E6" s="12">
        <f t="shared" si="1"/>
        <v>45059</v>
      </c>
      <c r="F6" s="19">
        <v>2</v>
      </c>
      <c r="G6" s="25"/>
      <c r="H6" s="26"/>
    </row>
    <row r="7" spans="1:8" x14ac:dyDescent="0.3">
      <c r="A7" s="8" t="s">
        <v>587</v>
      </c>
      <c r="B7" s="9">
        <f t="shared" ref="B7" ca="1" si="2">IFERROR(MAX(MIN(TODAY()-C7,D7-C7),0)/(D7-C7),0)</f>
        <v>1</v>
      </c>
      <c r="C7" s="10" cm="1">
        <f t="array" ref="C7">get_start_date(E7,holidays)</f>
        <v>45063</v>
      </c>
      <c r="D7" s="11" cm="1">
        <f t="array" ref="D7">get_finish_date(C7,holidays,F7)</f>
        <v>45065</v>
      </c>
      <c r="E7" s="12">
        <f t="shared" si="1"/>
        <v>45063</v>
      </c>
      <c r="F7" s="19">
        <v>2</v>
      </c>
      <c r="G7" s="25"/>
      <c r="H7" s="26"/>
    </row>
    <row r="8" spans="1:8" x14ac:dyDescent="0.3">
      <c r="A8" s="8" t="s">
        <v>621</v>
      </c>
      <c r="B8" s="9">
        <f t="shared" ref="B8" ca="1" si="3">IFERROR(MAX(MIN(TODAY()-C8,D8-C8),0)/(D8-C8),0)</f>
        <v>1</v>
      </c>
      <c r="C8" s="10" cm="1">
        <f t="array" ref="C8">get_start_date(E8,holidays)</f>
        <v>45065</v>
      </c>
      <c r="D8" s="11" cm="1">
        <f t="array" ref="D8">get_finish_date(C8,holidays,F8)</f>
        <v>45070</v>
      </c>
      <c r="E8" s="12">
        <f t="shared" si="1"/>
        <v>45065</v>
      </c>
      <c r="F8" s="19">
        <v>3</v>
      </c>
      <c r="G8" s="25"/>
      <c r="H8" s="26"/>
    </row>
    <row r="9" spans="1:8" x14ac:dyDescent="0.3">
      <c r="A9" s="8" t="s">
        <v>622</v>
      </c>
      <c r="B9" s="9">
        <f t="shared" ref="B9" ca="1" si="4">IFERROR(MAX(MIN(TODAY()-C9,D9-C9),0)/(D9-C9),0)</f>
        <v>1</v>
      </c>
      <c r="C9" s="10" cm="1">
        <f t="array" ref="C9">get_start_date(E9,holidays)</f>
        <v>45070</v>
      </c>
      <c r="D9" s="11" cm="1">
        <f t="array" ref="D9">get_finish_date(C9,holidays,F9)</f>
        <v>45072</v>
      </c>
      <c r="E9" s="12">
        <f t="shared" ref="E9" si="5">D8</f>
        <v>45070</v>
      </c>
      <c r="F9" s="19">
        <v>2</v>
      </c>
      <c r="G9" s="25"/>
      <c r="H9" s="26"/>
    </row>
  </sheetData>
  <dataValidations disablePrompts="1" count="3">
    <dataValidation type="decimal" allowBlank="1" showInputMessage="1" showErrorMessage="1" prompt="Actual project completion (%)" sqref="B2:B9" xr:uid="{BACCE094-5FAE-41E7-8194-C66035262CCD}">
      <formula1>0</formula1>
      <formula2>1</formula2>
    </dataValidation>
    <dataValidation type="date" allowBlank="1" showInputMessage="1" showErrorMessage="1" sqref="C2:E9" xr:uid="{F1CA1DF3-73A3-4972-A63B-554462B9D0DF}">
      <formula1>44562</formula1>
      <formula2>219148</formula2>
    </dataValidation>
    <dataValidation type="whole" allowBlank="1" showInputMessage="1" showErrorMessage="1" prompt="Number of working days" sqref="F2:F9" xr:uid="{7B4D82B3-59FF-4ED8-BA1B-9CD7D42E367D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A4F6-C9E4-4A3B-994F-393835A8A56B}">
  <sheetPr codeName="Sheet42"/>
  <dimension ref="A1:H11"/>
  <sheetViews>
    <sheetView showGridLines="0" tabSelected="1" zoomScale="120" zoomScaleNormal="120" workbookViewId="0">
      <selection activeCell="F14" sqref="F14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MIN(MMULT(TRANSPOSE(B3:B11),D3:D11-C3:C11)/SUM(D3:D11-C3:C11)+0.005,1)</f>
        <v>0.28681818181818181</v>
      </c>
      <c r="C2" s="22" cm="1">
        <f t="array" ref="C2">get_start_date(E2,holidays)</f>
        <v>45068</v>
      </c>
      <c r="D2" s="23">
        <f>MAX(D3:D11)</f>
        <v>45094</v>
      </c>
      <c r="E2" s="23">
        <f>MIN(E3:E11)</f>
        <v>45068</v>
      </c>
      <c r="F2" s="24" cm="1">
        <f t="array" ref="F2">SUM(IF(WEEKDAY(_xlfn.SEQUENCE(D2-C2,1,C2,1),2)&lt;6,1,0))-SUM(IF(ISERROR(MATCH(_xlfn.SEQUENCE(D2-C2,1,C2,1),holidays,0)&gt;0)=FALSE,1,0))</f>
        <v>19</v>
      </c>
      <c r="H2" s="26"/>
    </row>
    <row r="3" spans="1:8" x14ac:dyDescent="0.3">
      <c r="A3" s="8" t="s">
        <v>597</v>
      </c>
      <c r="B3" s="9">
        <f t="shared" ref="B3:B11" ca="1" si="0">IFERROR(MAX(MIN(TODAY()-C3,D3-C3),0)/(D3-C3),0)</f>
        <v>1</v>
      </c>
      <c r="C3" s="11" cm="1">
        <f t="array" ref="C3">get_start_date(E3,holidays)</f>
        <v>45068</v>
      </c>
      <c r="D3" s="11" cm="1">
        <f t="array" ref="D3">get_finish_date(C3,holidays,F3)</f>
        <v>45073</v>
      </c>
      <c r="E3" s="12">
        <v>45068</v>
      </c>
      <c r="F3" s="19">
        <v>5</v>
      </c>
      <c r="G3" s="25"/>
      <c r="H3" s="26"/>
    </row>
    <row r="4" spans="1:8" x14ac:dyDescent="0.3">
      <c r="A4" s="8" t="s">
        <v>598</v>
      </c>
      <c r="B4" s="9">
        <v>0.4</v>
      </c>
      <c r="C4" s="11" cm="1">
        <f t="array" ref="C4">get_start_date(E4,holidays)</f>
        <v>45075</v>
      </c>
      <c r="D4" s="11" cm="1">
        <f t="array" ref="D4">get_finish_date(C4,holidays,F4)</f>
        <v>45078</v>
      </c>
      <c r="E4" s="12">
        <f t="shared" ref="E4:E11" si="1">D3</f>
        <v>45073</v>
      </c>
      <c r="F4" s="31">
        <v>3</v>
      </c>
      <c r="G4" s="109"/>
      <c r="H4" s="110"/>
    </row>
    <row r="5" spans="1:8" x14ac:dyDescent="0.3">
      <c r="A5" s="8" t="s">
        <v>599</v>
      </c>
      <c r="B5" s="9">
        <f t="shared" ca="1" si="0"/>
        <v>0</v>
      </c>
      <c r="C5" s="11" cm="1">
        <f t="array" ref="C5">get_start_date(E5,holidays)</f>
        <v>45078</v>
      </c>
      <c r="D5" s="11" cm="1">
        <f t="array" ref="D5">get_finish_date(C5,holidays,F5)</f>
        <v>45084</v>
      </c>
      <c r="E5" s="12">
        <f t="shared" si="1"/>
        <v>45078</v>
      </c>
      <c r="F5" s="31">
        <v>3</v>
      </c>
      <c r="G5" s="25" t="s">
        <v>589</v>
      </c>
      <c r="H5" s="110"/>
    </row>
    <row r="6" spans="1:8" x14ac:dyDescent="0.3">
      <c r="A6" s="8" t="s">
        <v>563</v>
      </c>
      <c r="B6" s="9">
        <f t="shared" ca="1" si="0"/>
        <v>0</v>
      </c>
      <c r="C6" s="11" cm="1">
        <f t="array" ref="C6">get_start_date(E6,holidays)</f>
        <v>45084</v>
      </c>
      <c r="D6" s="11" cm="1">
        <f t="array" ref="D6">get_finish_date(C6,holidays,F6)</f>
        <v>45084</v>
      </c>
      <c r="E6" s="12">
        <f t="shared" si="1"/>
        <v>45084</v>
      </c>
      <c r="F6" s="19">
        <v>0</v>
      </c>
      <c r="G6" s="25"/>
      <c r="H6" s="26"/>
    </row>
    <row r="7" spans="1:8" x14ac:dyDescent="0.3">
      <c r="A7" s="8" t="s">
        <v>564</v>
      </c>
      <c r="B7" s="9">
        <f t="shared" ca="1" si="0"/>
        <v>0</v>
      </c>
      <c r="C7" s="11" cm="1">
        <f t="array" ref="C7">get_start_date(E7,holidays)</f>
        <v>45084</v>
      </c>
      <c r="D7" s="11" cm="1">
        <f t="array" ref="D7">get_finish_date(C7,holidays,F7)</f>
        <v>45087</v>
      </c>
      <c r="E7" s="12">
        <f t="shared" si="1"/>
        <v>45084</v>
      </c>
      <c r="F7" s="19">
        <v>3</v>
      </c>
      <c r="G7" s="25"/>
      <c r="H7" s="26"/>
    </row>
    <row r="8" spans="1:8" x14ac:dyDescent="0.3">
      <c r="A8" s="8" t="s">
        <v>556</v>
      </c>
      <c r="B8" s="9">
        <f t="shared" ca="1" si="0"/>
        <v>0</v>
      </c>
      <c r="C8" s="11" cm="1">
        <f t="array" ref="C8">get_start_date(E8,holidays)</f>
        <v>45089</v>
      </c>
      <c r="D8" s="11" cm="1">
        <f t="array" ref="D8">get_finish_date(C8,holidays,F8)</f>
        <v>45089</v>
      </c>
      <c r="E8" s="12">
        <f t="shared" si="1"/>
        <v>45087</v>
      </c>
      <c r="F8" s="19">
        <v>0</v>
      </c>
      <c r="G8" s="25"/>
      <c r="H8" s="26"/>
    </row>
    <row r="9" spans="1:8" x14ac:dyDescent="0.3">
      <c r="A9" s="8" t="s">
        <v>555</v>
      </c>
      <c r="B9" s="9">
        <f t="shared" ca="1" si="0"/>
        <v>0</v>
      </c>
      <c r="C9" s="11" cm="1">
        <f t="array" ref="C9">get_start_date(E9,holidays)</f>
        <v>45089</v>
      </c>
      <c r="D9" s="11" cm="1">
        <f t="array" ref="D9">get_finish_date(C9,holidays,F9)</f>
        <v>45091</v>
      </c>
      <c r="E9" s="12">
        <f t="shared" si="1"/>
        <v>45089</v>
      </c>
      <c r="F9" s="19">
        <v>2</v>
      </c>
      <c r="G9" s="25"/>
      <c r="H9" s="26"/>
    </row>
    <row r="10" spans="1:8" x14ac:dyDescent="0.3">
      <c r="A10" s="8" t="s">
        <v>577</v>
      </c>
      <c r="B10" s="9">
        <f t="shared" ca="1" si="0"/>
        <v>0</v>
      </c>
      <c r="C10" s="11" cm="1">
        <f t="array" ref="C10">get_start_date(E10,holidays)</f>
        <v>45091</v>
      </c>
      <c r="D10" s="11" cm="1">
        <f t="array" ref="D10">get_finish_date(C10,holidays,F10)</f>
        <v>45091</v>
      </c>
      <c r="E10" s="12">
        <f t="shared" si="1"/>
        <v>45091</v>
      </c>
      <c r="F10" s="19">
        <v>0</v>
      </c>
      <c r="G10" s="25"/>
      <c r="H10" s="26"/>
    </row>
    <row r="11" spans="1:8" x14ac:dyDescent="0.3">
      <c r="A11" s="8" t="s">
        <v>600</v>
      </c>
      <c r="B11" s="9">
        <f t="shared" ca="1" si="0"/>
        <v>0</v>
      </c>
      <c r="C11" s="11" cm="1">
        <f t="array" ref="C11">get_start_date(E11,holidays)</f>
        <v>45091</v>
      </c>
      <c r="D11" s="11" cm="1">
        <f t="array" ref="D11">get_finish_date(C11,holidays,F11)</f>
        <v>45094</v>
      </c>
      <c r="E11" s="12">
        <f t="shared" si="1"/>
        <v>45091</v>
      </c>
      <c r="F11" s="19">
        <v>3</v>
      </c>
    </row>
  </sheetData>
  <dataValidations count="3">
    <dataValidation type="decimal" allowBlank="1" showInputMessage="1" showErrorMessage="1" prompt="Actual project completion (%)" sqref="B2:B11" xr:uid="{B876DC55-9DB8-421A-9FD6-98F917C62A06}">
      <formula1>0</formula1>
      <formula2>1</formula2>
    </dataValidation>
    <dataValidation type="date" allowBlank="1" showInputMessage="1" showErrorMessage="1" sqref="C2:E11" xr:uid="{83A5984C-3413-4B35-B076-3AA627C84A0A}">
      <formula1>44562</formula1>
      <formula2>219148</formula2>
    </dataValidation>
    <dataValidation type="whole" allowBlank="1" showInputMessage="1" showErrorMessage="1" prompt="Number of working days" sqref="F2:F11" xr:uid="{09D0A064-8970-4A08-B07A-649DDE158EE1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BA58C-A4A5-49FE-B7EF-112307C08214}">
  <sheetPr codeName="Sheet43"/>
  <dimension ref="A1:H11"/>
  <sheetViews>
    <sheetView showGridLines="0" zoomScale="120" zoomScaleNormal="120" workbookViewId="0">
      <selection activeCell="B2" sqref="B2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7" width="9.33203125" style="15" bestFit="1" customWidth="1"/>
    <col min="8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MIN(MMULT(TRANSPOSE(B3:B11),D3:D11-C3:C11)/SUM(D3:D11-C3:C11)+0.0005,1)</f>
        <v>0.51113829787234033</v>
      </c>
      <c r="C2" s="22" cm="1">
        <f t="array" ref="C2">get_start_date(E2,holidays)</f>
        <v>45054</v>
      </c>
      <c r="D2" s="23">
        <f>MAX(D3:D11)</f>
        <v>45097</v>
      </c>
      <c r="E2" s="23">
        <f>MIN(E3:E8)</f>
        <v>45054</v>
      </c>
      <c r="F2" s="24" cm="1">
        <f t="array" ref="F2">SUM(IF(WEEKDAY(_xlfn.SEQUENCE(D2-C2,1,C2,1),2)&lt;6,1,0))-SUM(IF(ISERROR(MATCH(_xlfn.SEQUENCE(D2-C2,1,C2,1),holidays,0)&gt;0)=FALSE,1,0))</f>
        <v>30</v>
      </c>
      <c r="G2" s="112"/>
      <c r="H2" s="26"/>
    </row>
    <row r="3" spans="1:8" x14ac:dyDescent="0.3">
      <c r="A3" s="8" t="s">
        <v>636</v>
      </c>
      <c r="B3" s="9">
        <f t="shared" ref="B3:B11" ca="1" si="0">IFERROR(MAX(MIN(TODAY()-C3,D3-C3),0)/(D3-C3),0)</f>
        <v>1</v>
      </c>
      <c r="C3" s="11" cm="1">
        <f t="array" ref="C3">get_start_date(E3,holidays)</f>
        <v>45054</v>
      </c>
      <c r="D3" s="11" cm="1">
        <f t="array" ref="D3">get_finish_date(C3,holidays,F3)</f>
        <v>45071</v>
      </c>
      <c r="E3" s="12">
        <v>45054</v>
      </c>
      <c r="F3" s="19">
        <v>13</v>
      </c>
      <c r="G3" s="25"/>
      <c r="H3" s="26"/>
    </row>
    <row r="4" spans="1:8" x14ac:dyDescent="0.3">
      <c r="A4" s="8" t="s">
        <v>603</v>
      </c>
      <c r="B4" s="9">
        <f t="shared" ca="1" si="0"/>
        <v>1</v>
      </c>
      <c r="C4" s="11" cm="1">
        <f t="array" ref="C4">get_start_date(E4,holidays)</f>
        <v>45071</v>
      </c>
      <c r="D4" s="11" cm="1">
        <f t="array" ref="D4">get_finish_date(C4,holidays,F4)</f>
        <v>45073</v>
      </c>
      <c r="E4" s="12">
        <f>D3</f>
        <v>45071</v>
      </c>
      <c r="F4" s="31">
        <v>2</v>
      </c>
      <c r="G4" s="109"/>
      <c r="H4" s="110"/>
    </row>
    <row r="5" spans="1:8" x14ac:dyDescent="0.3">
      <c r="A5" s="8" t="s">
        <v>637</v>
      </c>
      <c r="B5" s="9">
        <f t="shared" ca="1" si="0"/>
        <v>1</v>
      </c>
      <c r="C5" s="11" cm="1">
        <f t="array" ref="C5">get_start_date(E5,holidays)</f>
        <v>45071</v>
      </c>
      <c r="D5" s="11" cm="1">
        <f t="array" ref="D5">get_finish_date(C5,holidays,F5)</f>
        <v>45076</v>
      </c>
      <c r="E5" s="12">
        <f>E4</f>
        <v>45071</v>
      </c>
      <c r="F5" s="31">
        <v>3</v>
      </c>
      <c r="G5" s="25"/>
      <c r="H5" s="110"/>
    </row>
    <row r="6" spans="1:8" x14ac:dyDescent="0.3">
      <c r="A6" s="8" t="s">
        <v>638</v>
      </c>
      <c r="B6" s="9">
        <f t="shared" ca="1" si="0"/>
        <v>0</v>
      </c>
      <c r="C6" s="11" cm="1">
        <f t="array" ref="C6">get_start_date(E6,holidays)</f>
        <v>45076</v>
      </c>
      <c r="D6" s="11" cm="1">
        <f t="array" ref="D6">get_finish_date(C6,holidays,F6)</f>
        <v>45076</v>
      </c>
      <c r="E6" s="12">
        <f>D5</f>
        <v>45076</v>
      </c>
      <c r="F6" s="31">
        <v>0</v>
      </c>
      <c r="G6" s="25"/>
      <c r="H6" s="26"/>
    </row>
    <row r="7" spans="1:8" x14ac:dyDescent="0.3">
      <c r="A7" s="8" t="s">
        <v>644</v>
      </c>
      <c r="B7" s="9">
        <f t="shared" ca="1" si="0"/>
        <v>0</v>
      </c>
      <c r="C7" s="11" cm="1">
        <f t="array" ref="C7">get_start_date(E7,holidays)</f>
        <v>45076</v>
      </c>
      <c r="D7" s="11" cm="1">
        <f t="array" ref="D7">get_finish_date(C7,holidays,F7)</f>
        <v>45080</v>
      </c>
      <c r="E7" s="12">
        <f>E6</f>
        <v>45076</v>
      </c>
      <c r="F7" s="31">
        <v>4</v>
      </c>
      <c r="G7" s="25"/>
      <c r="H7" s="26"/>
    </row>
    <row r="8" spans="1:8" x14ac:dyDescent="0.3">
      <c r="A8" s="8" t="s">
        <v>604</v>
      </c>
      <c r="B8" s="9">
        <f t="shared" ca="1" si="0"/>
        <v>0</v>
      </c>
      <c r="C8" s="11" cm="1">
        <f t="array" ref="C8">get_start_date(E8,holidays)</f>
        <v>45076</v>
      </c>
      <c r="D8" s="11" cm="1">
        <f t="array" ref="D8">get_finish_date(C8,holidays,F8)</f>
        <v>45087</v>
      </c>
      <c r="E8" s="12">
        <v>45076</v>
      </c>
      <c r="F8" s="19">
        <v>8</v>
      </c>
      <c r="G8" s="25"/>
      <c r="H8" s="26"/>
    </row>
    <row r="9" spans="1:8" x14ac:dyDescent="0.3">
      <c r="A9" s="8" t="s">
        <v>638</v>
      </c>
      <c r="B9" s="9">
        <f t="shared" ca="1" si="0"/>
        <v>0</v>
      </c>
      <c r="C9" s="11" cm="1">
        <f t="array" ref="C9">get_start_date(E9,holidays)</f>
        <v>45089</v>
      </c>
      <c r="D9" s="11" cm="1">
        <f t="array" ref="D9">get_finish_date(C9,holidays,F9)</f>
        <v>45089</v>
      </c>
      <c r="E9" s="12">
        <f>D8</f>
        <v>45087</v>
      </c>
      <c r="F9" s="19">
        <v>0</v>
      </c>
    </row>
    <row r="10" spans="1:8" x14ac:dyDescent="0.3">
      <c r="A10" s="8" t="s">
        <v>639</v>
      </c>
      <c r="B10" s="9">
        <f t="shared" ca="1" si="0"/>
        <v>0</v>
      </c>
      <c r="C10" s="11" cm="1">
        <f t="array" ref="C10">get_start_date(E10,holidays)</f>
        <v>45089</v>
      </c>
      <c r="D10" s="11" cm="1">
        <f t="array" ref="D10">get_finish_date(C10,holidays,F10)</f>
        <v>45093</v>
      </c>
      <c r="E10" s="12">
        <v>45089</v>
      </c>
      <c r="F10" s="19">
        <v>4</v>
      </c>
    </row>
    <row r="11" spans="1:8" x14ac:dyDescent="0.3">
      <c r="A11" s="8" t="s">
        <v>606</v>
      </c>
      <c r="B11" s="9">
        <f t="shared" ca="1" si="0"/>
        <v>0</v>
      </c>
      <c r="C11" s="11" cm="1">
        <f t="array" ref="C11">get_start_date(E11,holidays)</f>
        <v>45093</v>
      </c>
      <c r="D11" s="11" cm="1">
        <f t="array" ref="D11">get_finish_date(C11,holidays,F11)</f>
        <v>45097</v>
      </c>
      <c r="E11" s="12">
        <f>D10</f>
        <v>45093</v>
      </c>
      <c r="F11" s="19">
        <v>2</v>
      </c>
    </row>
  </sheetData>
  <dataValidations count="3">
    <dataValidation type="decimal" allowBlank="1" showInputMessage="1" showErrorMessage="1" prompt="Actual project completion (%)" sqref="B2:B11" xr:uid="{6842F39A-26C9-41E4-8ABB-68D278C84197}">
      <formula1>0</formula1>
      <formula2>1</formula2>
    </dataValidation>
    <dataValidation type="date" allowBlank="1" showInputMessage="1" showErrorMessage="1" sqref="C2:E11" xr:uid="{373A320C-8853-45A1-8552-D917D20C3E1E}">
      <formula1>44562</formula1>
      <formula2>219148</formula2>
    </dataValidation>
    <dataValidation type="whole" allowBlank="1" showInputMessage="1" showErrorMessage="1" prompt="Number of working days" sqref="F2:F11" xr:uid="{F254B3CA-7DF9-465C-82E0-DBB70CCB806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A48AE-7578-42AE-9B05-948D5AA249F4}">
  <sheetPr codeName="Sheet44"/>
  <dimension ref="A1:H9"/>
  <sheetViews>
    <sheetView showGridLines="0" zoomScale="120" zoomScaleNormal="120" workbookViewId="0">
      <selection activeCell="B15" sqref="B15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MIN(MMULT(TRANSPOSE(B3:B9),D3:D9-C3:C9)/SUM(D3:D9-C3:C9)+0.0005,1)</f>
        <v>5.0000000000000001E-4</v>
      </c>
      <c r="C2" s="22" cm="1">
        <f t="array" ref="C2">get_start_date(E2,holidays)</f>
        <v>45098</v>
      </c>
      <c r="D2" s="23">
        <f>MAX(D3:D9)</f>
        <v>45122</v>
      </c>
      <c r="E2" s="23">
        <f>MIN(E3:E9)</f>
        <v>45098</v>
      </c>
      <c r="F2" s="24" cm="1">
        <f t="array" ref="F2">SUM(IF(WEEKDAY(_xlfn.SEQUENCE(D2-C2,1,C2,1),2)&lt;6,1,0))-SUM(IF(ISERROR(MATCH(_xlfn.SEQUENCE(D2-C2,1,C2,1),holidays,0)&gt;0)=FALSE,1,0))</f>
        <v>18</v>
      </c>
      <c r="H2" s="26"/>
    </row>
    <row r="3" spans="1:8" x14ac:dyDescent="0.3">
      <c r="A3" s="8" t="s">
        <v>640</v>
      </c>
      <c r="B3" s="9">
        <f t="shared" ref="B3:B9" ca="1" si="0">IFERROR(MAX(MIN(TODAY()-C3,D3-C3),0)/(D3-C3),0)</f>
        <v>0</v>
      </c>
      <c r="C3" s="11" cm="1">
        <f t="array" ref="C3">get_start_date(E3,holidays)</f>
        <v>45098</v>
      </c>
      <c r="D3" s="11" cm="1">
        <f t="array" ref="D3">get_finish_date(C3,holidays,F3)</f>
        <v>45104</v>
      </c>
      <c r="E3" s="12">
        <v>45098</v>
      </c>
      <c r="F3" s="19">
        <v>4</v>
      </c>
      <c r="G3" s="25"/>
      <c r="H3" s="26"/>
    </row>
    <row r="4" spans="1:8" x14ac:dyDescent="0.3">
      <c r="A4" s="8" t="s">
        <v>641</v>
      </c>
      <c r="B4" s="9">
        <f t="shared" ca="1" si="0"/>
        <v>0</v>
      </c>
      <c r="C4" s="11" cm="1">
        <f t="array" ref="C4">get_start_date(E4,holidays)</f>
        <v>45103</v>
      </c>
      <c r="D4" s="11" cm="1">
        <f t="array" ref="D4">get_finish_date(C4,holidays,F4)</f>
        <v>45107</v>
      </c>
      <c r="E4" s="12">
        <f>D3-1</f>
        <v>45103</v>
      </c>
      <c r="F4" s="31">
        <v>4</v>
      </c>
      <c r="G4" s="109"/>
      <c r="H4" s="110"/>
    </row>
    <row r="5" spans="1:8" x14ac:dyDescent="0.3">
      <c r="A5" s="8" t="s">
        <v>638</v>
      </c>
      <c r="B5" s="9">
        <f t="shared" ca="1" si="0"/>
        <v>0</v>
      </c>
      <c r="C5" s="11" cm="1">
        <f t="array" ref="C5">get_start_date(E5,holidays)</f>
        <v>45106</v>
      </c>
      <c r="D5" s="11" cm="1">
        <f t="array" ref="D5">get_finish_date(C5,holidays,F5)</f>
        <v>45106</v>
      </c>
      <c r="E5" s="12">
        <f>D4-1</f>
        <v>45106</v>
      </c>
      <c r="F5" s="31">
        <v>0</v>
      </c>
      <c r="G5" s="25"/>
      <c r="H5" s="110"/>
    </row>
    <row r="6" spans="1:8" x14ac:dyDescent="0.3">
      <c r="A6" s="8" t="s">
        <v>609</v>
      </c>
      <c r="B6" s="9">
        <f t="shared" ca="1" si="0"/>
        <v>0</v>
      </c>
      <c r="C6" s="11" cm="1">
        <f t="array" ref="C6">get_start_date(E6,holidays)</f>
        <v>45106</v>
      </c>
      <c r="D6" s="11" cm="1">
        <f t="array" ref="D6">get_finish_date(C6,holidays,F6)</f>
        <v>45108</v>
      </c>
      <c r="E6" s="12">
        <f>D4-1</f>
        <v>45106</v>
      </c>
      <c r="F6" s="31">
        <v>2</v>
      </c>
      <c r="G6" s="25"/>
      <c r="H6" s="26"/>
    </row>
    <row r="7" spans="1:8" x14ac:dyDescent="0.3">
      <c r="A7" s="8" t="s">
        <v>607</v>
      </c>
      <c r="B7" s="9">
        <f t="shared" ca="1" si="0"/>
        <v>0</v>
      </c>
      <c r="C7" s="11" cm="1">
        <f t="array" ref="C7">get_start_date(E7,holidays)</f>
        <v>45107</v>
      </c>
      <c r="D7" s="11" cm="1">
        <f t="array" ref="D7">get_finish_date(C7,holidays,F7)</f>
        <v>45113</v>
      </c>
      <c r="E7" s="12">
        <f>D4</f>
        <v>45107</v>
      </c>
      <c r="F7" s="19">
        <v>4</v>
      </c>
      <c r="G7" s="25"/>
      <c r="H7" s="26"/>
    </row>
    <row r="8" spans="1:8" x14ac:dyDescent="0.3">
      <c r="A8" s="8" t="s">
        <v>642</v>
      </c>
      <c r="B8" s="9">
        <f t="shared" ca="1" si="0"/>
        <v>0</v>
      </c>
      <c r="C8" s="11" cm="1">
        <f t="array" ref="C8">get_start_date(E8,holidays)</f>
        <v>45111</v>
      </c>
      <c r="D8" s="11" cm="1">
        <f t="array" ref="D8">get_finish_date(C8,holidays,F8)</f>
        <v>45120</v>
      </c>
      <c r="E8" s="12">
        <f>D7-2</f>
        <v>45111</v>
      </c>
      <c r="F8" s="19">
        <v>7</v>
      </c>
      <c r="G8" s="25"/>
      <c r="H8" s="26"/>
    </row>
    <row r="9" spans="1:8" x14ac:dyDescent="0.3">
      <c r="A9" s="8" t="s">
        <v>608</v>
      </c>
      <c r="B9" s="9">
        <f t="shared" ca="1" si="0"/>
        <v>0</v>
      </c>
      <c r="C9" s="11" cm="1">
        <f t="array" ref="C9">get_start_date(E9,holidays)</f>
        <v>45120</v>
      </c>
      <c r="D9" s="11" cm="1">
        <f t="array" ref="D9">get_finish_date(C9,holidays,F9)</f>
        <v>45122</v>
      </c>
      <c r="E9" s="12">
        <f>D8</f>
        <v>45120</v>
      </c>
      <c r="F9" s="19">
        <v>2</v>
      </c>
      <c r="G9" s="25"/>
      <c r="H9" s="26"/>
    </row>
  </sheetData>
  <dataValidations count="3">
    <dataValidation type="decimal" allowBlank="1" showInputMessage="1" showErrorMessage="1" prompt="Actual project completion (%)" sqref="B2:B9" xr:uid="{A3631EE5-A620-4F3B-B3CA-B63FEF49D412}">
      <formula1>0</formula1>
      <formula2>1</formula2>
    </dataValidation>
    <dataValidation type="date" allowBlank="1" showInputMessage="1" showErrorMessage="1" sqref="C2:E9" xr:uid="{A54B08E9-AD68-471E-B9F1-6A1D046203B0}">
      <formula1>44562</formula1>
      <formula2>219148</formula2>
    </dataValidation>
    <dataValidation type="whole" allowBlank="1" showInputMessage="1" showErrorMessage="1" prompt="Number of working days" sqref="F2:F9" xr:uid="{24109DC6-04C5-46D5-8E60-4733C426EC8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34EF1-BB5F-4FFD-8916-B966EB6544C4}">
  <sheetPr codeName="Sheet45"/>
  <dimension ref="A1:H5"/>
  <sheetViews>
    <sheetView showGridLines="0" zoomScale="120" zoomScaleNormal="120" workbookViewId="0">
      <selection activeCell="B3" sqref="B3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MIN(MMULT(TRANSPOSE(B3:B5),D3:D5-C3:C5)/SUM(D3:D5-C3:C5)+0.0005,1)</f>
        <v>5.0000000000000001E-4</v>
      </c>
      <c r="C2" s="22" cm="1">
        <f t="array" ref="C2">get_start_date(E2,holidays)</f>
        <v>45124</v>
      </c>
      <c r="D2" s="23">
        <f>MAX(D3:D5)</f>
        <v>45135</v>
      </c>
      <c r="E2" s="23">
        <f>MIN(E3:E5)</f>
        <v>45124</v>
      </c>
      <c r="F2" s="24" cm="1">
        <f t="array" ref="F2">SUM(IF(WEEKDAY(_xlfn.SEQUENCE(D2-C2,1,C2,1),2)&lt;6,1,0))-SUM(IF(ISERROR(MATCH(_xlfn.SEQUENCE(D2-C2,1,C2,1),holidays,0)&gt;0)=FALSE,1,0))</f>
        <v>9</v>
      </c>
      <c r="H2" s="26"/>
    </row>
    <row r="3" spans="1:8" x14ac:dyDescent="0.3">
      <c r="A3" s="8" t="s">
        <v>604</v>
      </c>
      <c r="B3" s="9">
        <f ca="1">IFERROR(MAX(MIN(TODAY()-C3,D3-C3),0)/(D3-C3),0)</f>
        <v>0</v>
      </c>
      <c r="C3" s="11" cm="1">
        <f t="array" ref="C3">get_start_date(E3,holidays)</f>
        <v>45124</v>
      </c>
      <c r="D3" s="11" cm="1">
        <f t="array" ref="D3">get_finish_date(C3,holidays,F3)</f>
        <v>45128</v>
      </c>
      <c r="E3" s="12">
        <v>45124</v>
      </c>
      <c r="F3" s="19">
        <v>4</v>
      </c>
      <c r="G3" s="25"/>
      <c r="H3" s="26"/>
    </row>
    <row r="4" spans="1:8" x14ac:dyDescent="0.3">
      <c r="A4" s="8" t="s">
        <v>605</v>
      </c>
      <c r="B4" s="9">
        <f t="shared" ref="B4:B5" ca="1" si="0">IFERROR(MAX(MIN(TODAY()-C4,D4-C4),0)/(D4-C4),0)</f>
        <v>0</v>
      </c>
      <c r="C4" s="11" cm="1">
        <f t="array" ref="C4">get_start_date(E4,holidays)</f>
        <v>45127</v>
      </c>
      <c r="D4" s="11" cm="1">
        <f t="array" ref="D4">get_finish_date(C4,holidays,F4)</f>
        <v>45133</v>
      </c>
      <c r="E4" s="12">
        <f>D3-1</f>
        <v>45127</v>
      </c>
      <c r="F4" s="31">
        <v>4</v>
      </c>
      <c r="G4" s="109"/>
      <c r="H4" s="110"/>
    </row>
    <row r="5" spans="1:8" x14ac:dyDescent="0.3">
      <c r="A5" s="8" t="s">
        <v>610</v>
      </c>
      <c r="B5" s="9">
        <f t="shared" ca="1" si="0"/>
        <v>0</v>
      </c>
      <c r="C5" s="11" cm="1">
        <f t="array" ref="C5">get_start_date(E5,holidays)</f>
        <v>45133</v>
      </c>
      <c r="D5" s="11" cm="1">
        <f t="array" ref="D5">get_finish_date(C5,holidays,F5)</f>
        <v>45135</v>
      </c>
      <c r="E5" s="12">
        <f>D4</f>
        <v>45133</v>
      </c>
      <c r="F5" s="31">
        <v>2</v>
      </c>
      <c r="G5" s="25"/>
      <c r="H5" s="110"/>
    </row>
  </sheetData>
  <dataValidations count="3">
    <dataValidation type="decimal" allowBlank="1" showInputMessage="1" showErrorMessage="1" prompt="Actual project completion (%)" sqref="B2:B5" xr:uid="{EFB99226-9FC4-4F6B-BEB7-12D6A783D957}">
      <formula1>0</formula1>
      <formula2>1</formula2>
    </dataValidation>
    <dataValidation type="date" allowBlank="1" showInputMessage="1" showErrorMessage="1" sqref="C2:E5" xr:uid="{54A74AEE-6E41-4143-A62A-159759AC59F5}">
      <formula1>44562</formula1>
      <formula2>219148</formula2>
    </dataValidation>
    <dataValidation type="whole" allowBlank="1" showInputMessage="1" showErrorMessage="1" prompt="Number of working days" sqref="F2:F5" xr:uid="{D4E2AB1F-4477-4D2F-BA69-7303D2E6B97F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E3472-7157-4E67-8766-38E1259BC64D}">
  <sheetPr codeName="Sheet46"/>
  <dimension ref="A1:H9"/>
  <sheetViews>
    <sheetView showGridLines="0" zoomScale="120" zoomScaleNormal="120" workbookViewId="0">
      <selection activeCell="F17" sqref="F17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MIN(MMULT(TRANSPOSE(B3:B9),D3:D9-C3:C9)/SUM(D3:D9-C3:C9)+0.005,1)</f>
        <v>0.46653846153846157</v>
      </c>
      <c r="C2" s="22" cm="1">
        <f t="array" ref="C2">get_start_date(E2,holidays)</f>
        <v>45070</v>
      </c>
      <c r="D2" s="23">
        <f>MAX(D3:D9)</f>
        <v>45086</v>
      </c>
      <c r="E2" s="23">
        <f>MIN(E3:E9)</f>
        <v>45070</v>
      </c>
      <c r="F2" s="24" cm="1">
        <f t="array" ref="F2">SUM(IF(WEEKDAY(_xlfn.SEQUENCE(D2-C2,1,C2,1),2)&lt;6,1,0))-SUM(IF(ISERROR(MATCH(_xlfn.SEQUENCE(D2-C2,1,C2,1),holidays,0)&gt;0)=FALSE,1,0))</f>
        <v>11</v>
      </c>
      <c r="H2" s="26"/>
    </row>
    <row r="3" spans="1:8" x14ac:dyDescent="0.3">
      <c r="A3" s="8" t="s">
        <v>628</v>
      </c>
      <c r="B3" s="9">
        <f t="shared" ref="B3:B9" ca="1" si="0">IFERROR(MAX(MIN(TODAY()-C3,D3-C3),0)/(D3-C3),0)</f>
        <v>1</v>
      </c>
      <c r="C3" s="11" cm="1">
        <f t="array" ref="C3">get_start_date(E3,holidays)</f>
        <v>45070</v>
      </c>
      <c r="D3" s="11" cm="1">
        <f t="array" ref="D3">get_finish_date(C3,holidays,F3)</f>
        <v>45071</v>
      </c>
      <c r="E3" s="12">
        <v>45070</v>
      </c>
      <c r="F3" s="19">
        <v>1</v>
      </c>
      <c r="G3" s="25"/>
      <c r="H3" s="26"/>
    </row>
    <row r="4" spans="1:8" x14ac:dyDescent="0.3">
      <c r="A4" s="8" t="s">
        <v>629</v>
      </c>
      <c r="B4" s="9">
        <f t="shared" ca="1" si="0"/>
        <v>1</v>
      </c>
      <c r="C4" s="11" cm="1">
        <f t="array" ref="C4">get_start_date(E4,holidays)</f>
        <v>45071</v>
      </c>
      <c r="D4" s="11" cm="1">
        <f t="array" ref="D4">get_finish_date(C4,holidays,F4)</f>
        <v>45076</v>
      </c>
      <c r="E4" s="12">
        <f t="shared" ref="E4:E9" si="1">D3</f>
        <v>45071</v>
      </c>
      <c r="F4" s="31">
        <v>3</v>
      </c>
      <c r="G4" s="109"/>
      <c r="H4" s="110"/>
    </row>
    <row r="5" spans="1:8" x14ac:dyDescent="0.3">
      <c r="A5" s="8" t="s">
        <v>630</v>
      </c>
      <c r="B5" s="9">
        <f t="shared" ca="1" si="0"/>
        <v>0</v>
      </c>
      <c r="C5" s="11" cm="1">
        <f t="array" ref="C5">get_start_date(E5,holidays)</f>
        <v>45076</v>
      </c>
      <c r="D5" s="11" cm="1">
        <f t="array" ref="D5">get_finish_date(C5,holidays,F5)</f>
        <v>45078</v>
      </c>
      <c r="E5" s="12">
        <f t="shared" si="1"/>
        <v>45076</v>
      </c>
      <c r="F5" s="31">
        <v>2</v>
      </c>
      <c r="G5" s="25"/>
      <c r="H5" s="110"/>
    </row>
    <row r="6" spans="1:8" x14ac:dyDescent="0.3">
      <c r="A6" s="8" t="s">
        <v>563</v>
      </c>
      <c r="B6" s="9">
        <f t="shared" ca="1" si="0"/>
        <v>0</v>
      </c>
      <c r="C6" s="11" cm="1">
        <f t="array" ref="C6">get_start_date(E6,holidays)</f>
        <v>45078</v>
      </c>
      <c r="D6" s="11" cm="1">
        <f t="array" ref="D6">get_finish_date(C6,holidays,F6)</f>
        <v>45078</v>
      </c>
      <c r="E6" s="12">
        <f t="shared" si="1"/>
        <v>45078</v>
      </c>
      <c r="F6" s="19">
        <v>0</v>
      </c>
      <c r="G6" s="25"/>
      <c r="H6" s="26"/>
    </row>
    <row r="7" spans="1:8" x14ac:dyDescent="0.3">
      <c r="A7" s="8" t="s">
        <v>631</v>
      </c>
      <c r="B7" s="9">
        <f t="shared" ca="1" si="0"/>
        <v>0</v>
      </c>
      <c r="C7" s="11" cm="1">
        <f t="array" ref="C7">get_start_date(E7,holidays)</f>
        <v>45078</v>
      </c>
      <c r="D7" s="11" cm="1">
        <f t="array" ref="D7">get_finish_date(C7,holidays,F7)</f>
        <v>45080</v>
      </c>
      <c r="E7" s="12">
        <f t="shared" si="1"/>
        <v>45078</v>
      </c>
      <c r="F7" s="19">
        <v>2</v>
      </c>
      <c r="G7" s="25"/>
      <c r="H7" s="26"/>
    </row>
    <row r="8" spans="1:8" x14ac:dyDescent="0.3">
      <c r="A8" s="8" t="s">
        <v>556</v>
      </c>
      <c r="B8" s="9">
        <f t="shared" ca="1" si="0"/>
        <v>0</v>
      </c>
      <c r="C8" s="11" cm="1">
        <f t="array" ref="C8">get_start_date(E8,holidays)</f>
        <v>45083</v>
      </c>
      <c r="D8" s="11" cm="1">
        <f t="array" ref="D8">get_finish_date(C8,holidays,F8)</f>
        <v>45083</v>
      </c>
      <c r="E8" s="12">
        <f t="shared" si="1"/>
        <v>45080</v>
      </c>
      <c r="F8" s="19">
        <v>0</v>
      </c>
      <c r="G8" s="25"/>
      <c r="H8" s="26"/>
    </row>
    <row r="9" spans="1:8" x14ac:dyDescent="0.3">
      <c r="A9" s="8" t="s">
        <v>632</v>
      </c>
      <c r="B9" s="9">
        <f t="shared" ca="1" si="0"/>
        <v>0</v>
      </c>
      <c r="C9" s="11" cm="1">
        <f t="array" ref="C9">get_start_date(E9,holidays)</f>
        <v>45083</v>
      </c>
      <c r="D9" s="11" cm="1">
        <f t="array" ref="D9">get_finish_date(C9,holidays,F9)</f>
        <v>45086</v>
      </c>
      <c r="E9" s="12">
        <f t="shared" si="1"/>
        <v>45083</v>
      </c>
      <c r="F9" s="19">
        <v>3</v>
      </c>
    </row>
  </sheetData>
  <dataValidations count="3">
    <dataValidation type="decimal" allowBlank="1" showInputMessage="1" showErrorMessage="1" prompt="Actual project completion (%)" sqref="B2:B9" xr:uid="{5FCCFD72-C842-4F24-8973-4108325B4781}">
      <formula1>0</formula1>
      <formula2>1</formula2>
    </dataValidation>
    <dataValidation type="date" allowBlank="1" showInputMessage="1" showErrorMessage="1" sqref="C2:E9" xr:uid="{C3EB5872-E0BB-468E-B07C-4FEFED9520CF}">
      <formula1>44562</formula1>
      <formula2>219148</formula2>
    </dataValidation>
    <dataValidation type="whole" allowBlank="1" showInputMessage="1" showErrorMessage="1" prompt="Number of working days" sqref="F2:F9" xr:uid="{AAEC9890-1203-4300-9C31-28A4CF6187E3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CCD14-C8D7-4ED5-A2E2-B156CB7AC13F}">
  <sheetPr codeName="Sheet47"/>
  <dimension ref="A1:H9"/>
  <sheetViews>
    <sheetView showGridLines="0" zoomScale="120" zoomScaleNormal="120" workbookViewId="0">
      <selection activeCell="D33" sqref="D33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MIN(MMULT(TRANSPOSE(B3:B9),D3:D9-C3:C9)/SUM(D3:D9-C3:C9)+0.0005,1)</f>
        <v>0.21789130434782608</v>
      </c>
      <c r="C2" s="22" cm="1">
        <f t="array" ref="C2">get_start_date(E2,holidays)</f>
        <v>45072</v>
      </c>
      <c r="D2" s="23">
        <f>MAX(D3:D9)</f>
        <v>45094</v>
      </c>
      <c r="E2" s="23">
        <f>MIN(E3:E9)</f>
        <v>45072</v>
      </c>
      <c r="F2" s="24" cm="1">
        <f t="array" ref="F2">SUM(IF(WEEKDAY(_xlfn.SEQUENCE(D2-C2,1,C2,1),2)&lt;6,1,0))-SUM(IF(ISERROR(MATCH(_xlfn.SEQUENCE(D2-C2,1,C2,1),holidays,0)&gt;0)=FALSE,1,0))</f>
        <v>15</v>
      </c>
      <c r="H2" s="26"/>
    </row>
    <row r="3" spans="1:8" x14ac:dyDescent="0.3">
      <c r="A3" s="8" t="s">
        <v>654</v>
      </c>
      <c r="B3" s="9">
        <v>1</v>
      </c>
      <c r="C3" s="11" cm="1">
        <f t="array" ref="C3">get_start_date(E3,holidays)</f>
        <v>45072</v>
      </c>
      <c r="D3" s="11" cm="1">
        <f t="array" ref="D3">get_finish_date(C3,holidays,F3)</f>
        <v>45077</v>
      </c>
      <c r="E3" s="12">
        <v>45072</v>
      </c>
      <c r="F3" s="19">
        <v>3</v>
      </c>
      <c r="G3" s="25"/>
      <c r="H3" s="26"/>
    </row>
    <row r="4" spans="1:8" x14ac:dyDescent="0.3">
      <c r="A4" s="8" t="s">
        <v>655</v>
      </c>
      <c r="B4" s="9">
        <f t="shared" ref="B4:B9" ca="1" si="0">IFERROR(MAX(MIN(TODAY()-C4,D4-C4),0)/(D4-C4),0)</f>
        <v>0</v>
      </c>
      <c r="C4" s="11" cm="1">
        <f t="array" ref="C4">get_start_date(E4,holidays)</f>
        <v>45076</v>
      </c>
      <c r="D4" s="11" cm="1">
        <f t="array" ref="D4">get_finish_date(C4,holidays,F4)</f>
        <v>45077</v>
      </c>
      <c r="E4" s="12">
        <v>45076</v>
      </c>
      <c r="F4" s="31">
        <v>1</v>
      </c>
      <c r="G4" s="109"/>
      <c r="H4" s="110"/>
    </row>
    <row r="5" spans="1:8" x14ac:dyDescent="0.3">
      <c r="A5" s="8" t="s">
        <v>657</v>
      </c>
      <c r="B5" s="9">
        <f t="shared" ca="1" si="0"/>
        <v>0</v>
      </c>
      <c r="C5" s="11" cm="1">
        <f t="array" ref="C5">get_start_date(E5,holidays)</f>
        <v>45077</v>
      </c>
      <c r="D5" s="11" cm="1">
        <f t="array" ref="D5">get_finish_date(C5,holidays,F5)</f>
        <v>45078</v>
      </c>
      <c r="E5" s="12">
        <f t="shared" ref="E5:E9" si="1">D4</f>
        <v>45077</v>
      </c>
      <c r="F5" s="31">
        <v>1</v>
      </c>
      <c r="G5" s="25"/>
      <c r="H5" s="110"/>
    </row>
    <row r="6" spans="1:8" x14ac:dyDescent="0.3">
      <c r="A6" s="8" t="s">
        <v>656</v>
      </c>
      <c r="B6" s="9">
        <f t="shared" ca="1" si="0"/>
        <v>0</v>
      </c>
      <c r="C6" s="11" cm="1">
        <f t="array" ref="C6">get_start_date(E6,holidays)</f>
        <v>45078</v>
      </c>
      <c r="D6" s="11" cm="1">
        <f t="array" ref="D6">get_finish_date(C6,holidays,F6)</f>
        <v>45084</v>
      </c>
      <c r="E6" s="12">
        <f t="shared" si="1"/>
        <v>45078</v>
      </c>
      <c r="F6" s="19">
        <v>3</v>
      </c>
      <c r="G6" s="25"/>
      <c r="H6" s="26"/>
    </row>
    <row r="7" spans="1:8" x14ac:dyDescent="0.3">
      <c r="A7" s="8" t="s">
        <v>658</v>
      </c>
      <c r="B7" s="9">
        <f t="shared" ca="1" si="0"/>
        <v>0</v>
      </c>
      <c r="C7" s="11" cm="1">
        <f t="array" ref="C7">get_start_date(E7,holidays)</f>
        <v>45084</v>
      </c>
      <c r="D7" s="11" cm="1">
        <f t="array" ref="D7">get_finish_date(C7,holidays,F7)</f>
        <v>45086</v>
      </c>
      <c r="E7" s="12">
        <f t="shared" si="1"/>
        <v>45084</v>
      </c>
      <c r="F7" s="19">
        <v>2</v>
      </c>
      <c r="G7" s="25"/>
      <c r="H7" s="26"/>
    </row>
    <row r="8" spans="1:8" x14ac:dyDescent="0.3">
      <c r="A8" s="8" t="s">
        <v>659</v>
      </c>
      <c r="B8" s="9">
        <f t="shared" ca="1" si="0"/>
        <v>0</v>
      </c>
      <c r="C8" s="11" cm="1">
        <f t="array" ref="C8">get_start_date(E8,holidays)</f>
        <v>45086</v>
      </c>
      <c r="D8" s="11" cm="1">
        <f t="array" ref="D8">get_finish_date(C8,holidays,F8)</f>
        <v>45091</v>
      </c>
      <c r="E8" s="12">
        <f t="shared" si="1"/>
        <v>45086</v>
      </c>
      <c r="F8" s="19">
        <v>3</v>
      </c>
      <c r="G8" s="25"/>
      <c r="H8" s="26"/>
    </row>
    <row r="9" spans="1:8" ht="25" x14ac:dyDescent="0.3">
      <c r="A9" s="8" t="s">
        <v>660</v>
      </c>
      <c r="B9" s="9">
        <f t="shared" ca="1" si="0"/>
        <v>0</v>
      </c>
      <c r="C9" s="11" cm="1">
        <f t="array" ref="C9">get_start_date(E9,holidays)</f>
        <v>45091</v>
      </c>
      <c r="D9" s="11" cm="1">
        <f t="array" ref="D9">get_finish_date(C9,holidays,F9)</f>
        <v>45094</v>
      </c>
      <c r="E9" s="12">
        <f t="shared" si="1"/>
        <v>45091</v>
      </c>
      <c r="F9" s="19">
        <v>3</v>
      </c>
    </row>
  </sheetData>
  <dataValidations disablePrompts="1" count="3">
    <dataValidation type="decimal" allowBlank="1" showInputMessage="1" showErrorMessage="1" prompt="Actual project completion (%)" sqref="B2:B9" xr:uid="{AF7659B3-C39A-46E5-B25A-51F0F790BEED}">
      <formula1>0</formula1>
      <formula2>1</formula2>
    </dataValidation>
    <dataValidation type="date" allowBlank="1" showInputMessage="1" showErrorMessage="1" sqref="C2:E9" xr:uid="{2950187B-880F-4596-AE07-700C92D9921A}">
      <formula1>44562</formula1>
      <formula2>219148</formula2>
    </dataValidation>
    <dataValidation type="whole" allowBlank="1" showInputMessage="1" showErrorMessage="1" prompt="Number of working days" sqref="F2:F9" xr:uid="{C1A2B5BB-00CD-4CAA-9536-6E4385BE23E2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60D61-346C-4E77-A635-982D1C818CBF}">
  <sheetPr codeName="Sheet48"/>
  <dimension ref="A1:H5"/>
  <sheetViews>
    <sheetView showGridLines="0" zoomScale="120" zoomScaleNormal="120" workbookViewId="0">
      <selection activeCell="E18" sqref="E18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MIN(MMULT(TRANSPOSE(B3:B5),D3:D5-C3:C5)/SUM(D3:D5-C3:C5)+0.0005,1)</f>
        <v>5.0000000000000001E-4</v>
      </c>
      <c r="C2" s="22" cm="1">
        <f t="array" ref="C2">get_start_date(E2,holidays)</f>
        <v>45076</v>
      </c>
      <c r="D2" s="23">
        <f>MAX(D3:D5)</f>
        <v>45105</v>
      </c>
      <c r="E2" s="23">
        <f>MIN(E3:E5)</f>
        <v>45076</v>
      </c>
      <c r="F2" s="24" cm="1">
        <f t="array" ref="F2">SUM(IF(WEEKDAY(_xlfn.SEQUENCE(D2-C2,1,C2,1),2)&lt;6,1,0))-SUM(IF(ISERROR(MATCH(_xlfn.SEQUENCE(D2-C2,1,C2,1),holidays,0)&gt;0)=FALSE,1,0))</f>
        <v>20</v>
      </c>
      <c r="H2" s="26"/>
    </row>
    <row r="3" spans="1:8" x14ac:dyDescent="0.3">
      <c r="A3" s="8" t="s">
        <v>661</v>
      </c>
      <c r="B3" s="9">
        <f t="shared" ref="B3:B5" ca="1" si="0">IFERROR(MAX(MIN(TODAY()-C3,D3-C3),0)/(D3-C3),0)</f>
        <v>0</v>
      </c>
      <c r="C3" s="11" cm="1">
        <f t="array" ref="C3">get_start_date(E3,holidays)</f>
        <v>45076</v>
      </c>
      <c r="D3" s="11" cm="1">
        <f t="array" ref="D3">get_finish_date(C3,holidays,F3)</f>
        <v>45078</v>
      </c>
      <c r="E3" s="12">
        <v>45076</v>
      </c>
      <c r="F3" s="19">
        <v>2</v>
      </c>
      <c r="G3" s="25"/>
      <c r="H3" s="26"/>
    </row>
    <row r="4" spans="1:8" x14ac:dyDescent="0.3">
      <c r="A4" s="8" t="s">
        <v>662</v>
      </c>
      <c r="B4" s="9">
        <f t="shared" ca="1" si="0"/>
        <v>0</v>
      </c>
      <c r="C4" s="11" cm="1">
        <f t="array" ref="C4">get_start_date(E4,holidays)</f>
        <v>45078</v>
      </c>
      <c r="D4" s="11" cm="1">
        <f t="array" ref="D4">get_finish_date(C4,holidays,F4)</f>
        <v>45098</v>
      </c>
      <c r="E4" s="12">
        <f t="shared" ref="E4" si="1">D3</f>
        <v>45078</v>
      </c>
      <c r="F4" s="31">
        <v>13</v>
      </c>
      <c r="G4" s="109"/>
      <c r="H4" s="110"/>
    </row>
    <row r="5" spans="1:8" x14ac:dyDescent="0.3">
      <c r="A5" s="8" t="s">
        <v>663</v>
      </c>
      <c r="B5" s="9">
        <f t="shared" ca="1" si="0"/>
        <v>0</v>
      </c>
      <c r="C5" s="11" cm="1">
        <f t="array" ref="C5">get_start_date(E5,holidays)</f>
        <v>45096</v>
      </c>
      <c r="D5" s="11" cm="1">
        <f t="array" ref="D5">get_finish_date(C5,holidays,F5)</f>
        <v>45105</v>
      </c>
      <c r="E5" s="12">
        <v>45095</v>
      </c>
      <c r="F5" s="31">
        <v>7</v>
      </c>
      <c r="G5" s="25"/>
      <c r="H5" s="110"/>
    </row>
  </sheetData>
  <dataValidations count="3">
    <dataValidation type="decimal" allowBlank="1" showInputMessage="1" showErrorMessage="1" prompt="Actual project completion (%)" sqref="B2:B5" xr:uid="{FEEF444E-12D4-4070-9B7E-3052A578E0F4}">
      <formula1>0</formula1>
      <formula2>1</formula2>
    </dataValidation>
    <dataValidation type="date" allowBlank="1" showInputMessage="1" showErrorMessage="1" sqref="C2:E5" xr:uid="{D817596C-DF0A-4A63-89B2-CB34C950EA2D}">
      <formula1>44562</formula1>
      <formula2>219148</formula2>
    </dataValidation>
    <dataValidation type="whole" allowBlank="1" showInputMessage="1" showErrorMessage="1" prompt="Number of working days" sqref="F2:F5" xr:uid="{3A25240E-9708-44F9-B793-3791F73CF17A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6614-34A9-4F26-AC4D-1F340AB5D937}">
  <sheetPr codeName="Sheet49"/>
  <dimension ref="A1:H6"/>
  <sheetViews>
    <sheetView showGridLines="0" zoomScale="120" zoomScaleNormal="120" workbookViewId="0">
      <selection activeCell="C12" sqref="C12"/>
    </sheetView>
  </sheetViews>
  <sheetFormatPr defaultColWidth="8" defaultRowHeight="12.5" x14ac:dyDescent="0.3"/>
  <cols>
    <col min="1" max="1" width="4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MIN(MMULT(TRANSPOSE(B3:B6),D3:D6-C3:C6)/SUM(D3:D6-C3:C6)+0.0005,1)</f>
        <v>5.0000000000000001E-4</v>
      </c>
      <c r="C2" s="22" cm="1">
        <f t="array" ref="C2">get_start_date(E2,holidays)</f>
        <v>45089</v>
      </c>
      <c r="D2" s="23">
        <f>MAX(D3:D6)</f>
        <v>45114</v>
      </c>
      <c r="E2" s="23">
        <f>MIN(E3:E6)</f>
        <v>45089</v>
      </c>
      <c r="F2" s="24" cm="1">
        <f t="array" ref="F2">SUM(IF(WEEKDAY(_xlfn.SEQUENCE(D2-C2,1,C2,1),2)&lt;6,1,0))-SUM(IF(ISERROR(MATCH(_xlfn.SEQUENCE(D2-C2,1,C2,1),holidays,0)&gt;0)=FALSE,1,0))</f>
        <v>19</v>
      </c>
      <c r="H2" s="26"/>
    </row>
    <row r="3" spans="1:8" x14ac:dyDescent="0.3">
      <c r="A3" s="8" t="s">
        <v>664</v>
      </c>
      <c r="B3" s="9">
        <f t="shared" ref="B3:B6" ca="1" si="0">IFERROR(MAX(MIN(TODAY()-C3,D3-C3),0)/(D3-C3),0)</f>
        <v>0</v>
      </c>
      <c r="C3" s="11" cm="1">
        <f t="array" ref="C3">get_start_date(E3,holidays)</f>
        <v>45089</v>
      </c>
      <c r="D3" s="11" cm="1">
        <f t="array" ref="D3">get_finish_date(C3,holidays,F3)</f>
        <v>45092</v>
      </c>
      <c r="E3" s="12">
        <v>45089</v>
      </c>
      <c r="F3" s="19">
        <v>3</v>
      </c>
      <c r="G3" s="25"/>
      <c r="H3" s="26"/>
    </row>
    <row r="4" spans="1:8" x14ac:dyDescent="0.3">
      <c r="A4" s="8" t="s">
        <v>665</v>
      </c>
      <c r="B4" s="9">
        <f t="shared" ca="1" si="0"/>
        <v>0</v>
      </c>
      <c r="C4" s="11" cm="1">
        <f t="array" ref="C4">get_start_date(E4,holidays)</f>
        <v>45092</v>
      </c>
      <c r="D4" s="11" cm="1">
        <f t="array" ref="D4">get_finish_date(C4,holidays,F4)</f>
        <v>45107</v>
      </c>
      <c r="E4" s="12">
        <f t="shared" ref="E4" si="1">D3</f>
        <v>45092</v>
      </c>
      <c r="F4" s="31">
        <v>11</v>
      </c>
      <c r="G4" s="109"/>
      <c r="H4" s="110"/>
    </row>
    <row r="5" spans="1:8" x14ac:dyDescent="0.3">
      <c r="A5" s="8" t="s">
        <v>666</v>
      </c>
      <c r="B5" s="9">
        <f t="shared" ca="1" si="0"/>
        <v>0</v>
      </c>
      <c r="C5" s="11" cm="1">
        <f t="array" ref="C5">get_start_date(E5,holidays)</f>
        <v>45097</v>
      </c>
      <c r="D5" s="11" cm="1">
        <f t="array" ref="D5">get_finish_date(C5,holidays,F5)</f>
        <v>45099</v>
      </c>
      <c r="E5" s="12">
        <v>45097</v>
      </c>
      <c r="F5" s="31">
        <v>2</v>
      </c>
      <c r="G5" s="25"/>
      <c r="H5" s="110"/>
    </row>
    <row r="6" spans="1:8" x14ac:dyDescent="0.3">
      <c r="A6" s="8" t="s">
        <v>667</v>
      </c>
      <c r="B6" s="9">
        <f t="shared" ca="1" si="0"/>
        <v>0</v>
      </c>
      <c r="C6" s="11" cm="1">
        <f t="array" ref="C6">get_start_date(E6,holidays)</f>
        <v>45107</v>
      </c>
      <c r="D6" s="11" cm="1">
        <f t="array" ref="D6">get_finish_date(C6,holidays,F6)</f>
        <v>45114</v>
      </c>
      <c r="E6" s="12">
        <f>D4</f>
        <v>45107</v>
      </c>
      <c r="F6" s="19">
        <v>5</v>
      </c>
      <c r="G6" s="25"/>
      <c r="H6" s="26"/>
    </row>
  </sheetData>
  <dataValidations count="3">
    <dataValidation type="decimal" allowBlank="1" showInputMessage="1" showErrorMessage="1" prompt="Actual project completion (%)" sqref="B2:B6" xr:uid="{4150B917-9910-498F-8C82-905CDD4EC7AA}">
      <formula1>0</formula1>
      <formula2>1</formula2>
    </dataValidation>
    <dataValidation type="date" allowBlank="1" showInputMessage="1" showErrorMessage="1" sqref="C2:E6" xr:uid="{5A6518F9-E1A5-4A34-80AC-6ABF294C755B}">
      <formula1>44562</formula1>
      <formula2>219148</formula2>
    </dataValidation>
    <dataValidation type="whole" allowBlank="1" showInputMessage="1" showErrorMessage="1" prompt="Number of working days" sqref="F2:F6" xr:uid="{766B762B-9CE1-4377-91C2-023499C4C203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8C60-A402-48BE-BF17-50547C2998DA}">
  <sheetPr codeName="Sheet38"/>
  <dimension ref="A1:H6"/>
  <sheetViews>
    <sheetView showGridLines="0" zoomScale="140" zoomScaleNormal="140" workbookViewId="0">
      <selection activeCell="C18" sqref="C18"/>
    </sheetView>
  </sheetViews>
  <sheetFormatPr defaultColWidth="8" defaultRowHeight="12.5" x14ac:dyDescent="0.3"/>
  <cols>
    <col min="1" max="1" width="47.08203125" style="15" customWidth="1"/>
    <col min="2" max="2" width="10" style="15" customWidth="1"/>
    <col min="3" max="3" width="12.08203125" style="15" customWidth="1"/>
    <col min="4" max="6" width="10" style="15" customWidth="1"/>
    <col min="7" max="16384" width="8" style="15"/>
  </cols>
  <sheetData>
    <row r="1" spans="1:8" ht="20.149999999999999" customHeight="1" x14ac:dyDescent="0.3">
      <c r="A1" s="20" t="s">
        <v>29</v>
      </c>
      <c r="B1" s="20" t="s">
        <v>33</v>
      </c>
      <c r="C1" s="20" t="s">
        <v>34</v>
      </c>
      <c r="D1" s="20" t="s">
        <v>35</v>
      </c>
      <c r="E1" s="20" t="s">
        <v>36</v>
      </c>
      <c r="F1" s="20" t="s">
        <v>37</v>
      </c>
    </row>
    <row r="2" spans="1:8" ht="20.149999999999999" customHeight="1" x14ac:dyDescent="0.3">
      <c r="A2" s="27" t="s">
        <v>209</v>
      </c>
      <c r="B2" s="21" cm="1">
        <f t="array" aca="1" ref="B2" ca="1">MIN(MMULT(TRANSPOSE(B3:B6),D3:D6-C3:C6)/SUM(D3:D6-C3:C6)+0.0005,1)</f>
        <v>1</v>
      </c>
      <c r="C2" s="22" cm="1">
        <f t="array" ref="C2">get_start_date(E2,holidays)</f>
        <v>44998</v>
      </c>
      <c r="D2" s="23">
        <f>MAX(D3:D6)</f>
        <v>45006</v>
      </c>
      <c r="E2" s="23">
        <f>MIN(E3:E6)</f>
        <v>44998</v>
      </c>
      <c r="F2" s="24" cm="1">
        <f t="array" ref="F2">SUM(IF(WEEKDAY(_xlfn.SEQUENCE(D2-C2,1,C2,1),2)&lt;6,1,0))-SUM(IF(ISERROR(MATCH(_xlfn.SEQUENCE(D2-C2,1,C2,1),holidays,0)&gt;0)=FALSE,1,0))</f>
        <v>6</v>
      </c>
      <c r="H2" s="26"/>
    </row>
    <row r="3" spans="1:8" x14ac:dyDescent="0.3">
      <c r="A3" s="8" t="s">
        <v>512</v>
      </c>
      <c r="B3" s="9">
        <f t="shared" ref="B3:B6" ca="1" si="0">IFERROR(MAX(MIN(TODAY()-C3,D3-C3),0)/(D3-C3),0)</f>
        <v>1</v>
      </c>
      <c r="C3" s="10" cm="1">
        <f t="array" ref="C3">get_start_date(E3,holidays)</f>
        <v>44998</v>
      </c>
      <c r="D3" s="11" cm="1">
        <f t="array" ref="D3">get_finish_date(C3,holidays,F3)</f>
        <v>45001</v>
      </c>
      <c r="E3" s="12">
        <v>44998</v>
      </c>
      <c r="F3" s="19">
        <v>3</v>
      </c>
      <c r="G3" s="25"/>
      <c r="H3" s="26"/>
    </row>
    <row r="4" spans="1:8" x14ac:dyDescent="0.3">
      <c r="A4" s="8" t="s">
        <v>382</v>
      </c>
      <c r="B4" s="9">
        <f t="shared" ca="1" si="0"/>
        <v>0</v>
      </c>
      <c r="C4" s="10" cm="1">
        <f t="array" ref="C4">get_start_date(E4,holidays)</f>
        <v>45001</v>
      </c>
      <c r="D4" s="11" cm="1">
        <f t="array" ref="D4">get_finish_date(C4,holidays,F4)</f>
        <v>45001</v>
      </c>
      <c r="E4" s="12">
        <f t="shared" ref="E4:E6" si="1">D3</f>
        <v>45001</v>
      </c>
      <c r="F4" s="19">
        <v>0</v>
      </c>
      <c r="G4" s="25"/>
      <c r="H4" s="26"/>
    </row>
    <row r="5" spans="1:8" x14ac:dyDescent="0.3">
      <c r="A5" s="8" t="s">
        <v>514</v>
      </c>
      <c r="B5" s="9">
        <f t="shared" ca="1" si="0"/>
        <v>1</v>
      </c>
      <c r="C5" s="10" cm="1">
        <f t="array" ref="C5">get_start_date(E5,holidays)</f>
        <v>45001</v>
      </c>
      <c r="D5" s="11" cm="1">
        <f t="array" ref="D5">get_finish_date(C5,holidays,F5)</f>
        <v>45006</v>
      </c>
      <c r="E5" s="12">
        <f t="shared" si="1"/>
        <v>45001</v>
      </c>
      <c r="F5" s="19">
        <v>3</v>
      </c>
      <c r="G5" s="25"/>
      <c r="H5" s="26"/>
    </row>
    <row r="6" spans="1:8" x14ac:dyDescent="0.3">
      <c r="A6" s="8" t="s">
        <v>450</v>
      </c>
      <c r="B6" s="9">
        <f t="shared" ca="1" si="0"/>
        <v>0</v>
      </c>
      <c r="C6" s="10" cm="1">
        <f t="array" ref="C6">get_start_date(E6,holidays)</f>
        <v>45006</v>
      </c>
      <c r="D6" s="11" cm="1">
        <f t="array" ref="D6">get_finish_date(C6,holidays,F6)</f>
        <v>45006</v>
      </c>
      <c r="E6" s="12">
        <f t="shared" si="1"/>
        <v>45006</v>
      </c>
      <c r="F6" s="19">
        <v>0</v>
      </c>
      <c r="G6" s="25"/>
      <c r="H6" s="26"/>
    </row>
  </sheetData>
  <dataValidations count="3">
    <dataValidation type="decimal" allowBlank="1" showInputMessage="1" showErrorMessage="1" prompt="Actual project completion (%)" sqref="B2:B6" xr:uid="{561ABEB6-588D-43E9-B85B-3EACAE38901A}">
      <formula1>0</formula1>
      <formula2>1</formula2>
    </dataValidation>
    <dataValidation type="date" allowBlank="1" showInputMessage="1" showErrorMessage="1" sqref="C2:E6" xr:uid="{2371F641-AF3B-477C-ACDE-80635E66953E}">
      <formula1>44562</formula1>
      <formula2>219148</formula2>
    </dataValidation>
    <dataValidation type="whole" allowBlank="1" showInputMessage="1" showErrorMessage="1" prompt="Number of working days" sqref="F2:F6" xr:uid="{B485F0DA-737E-492E-8477-2CA6EAFEE6ED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A1:B36"/>
  <sheetViews>
    <sheetView showGridLines="0" topLeftCell="A17" zoomScaleNormal="100" workbookViewId="0">
      <selection activeCell="F32" sqref="F32"/>
    </sheetView>
  </sheetViews>
  <sheetFormatPr defaultColWidth="8" defaultRowHeight="14" x14ac:dyDescent="0.3"/>
  <cols>
    <col min="1" max="1" width="49" style="6" customWidth="1"/>
    <col min="2" max="2" width="12.08203125" style="6" customWidth="1"/>
    <col min="3" max="16384" width="8" style="6"/>
  </cols>
  <sheetData>
    <row r="1" spans="1:2" ht="20.149999999999999" customHeight="1" x14ac:dyDescent="0.3">
      <c r="A1" s="5" t="s">
        <v>475</v>
      </c>
      <c r="B1" s="5" t="s">
        <v>476</v>
      </c>
    </row>
    <row r="2" spans="1:2" ht="20.149999999999999" customHeight="1" x14ac:dyDescent="0.3">
      <c r="A2" s="7" t="s">
        <v>477</v>
      </c>
      <c r="B2" s="1">
        <v>44564</v>
      </c>
    </row>
    <row r="3" spans="1:2" ht="20.149999999999999" customHeight="1" x14ac:dyDescent="0.3">
      <c r="A3" s="7" t="s">
        <v>478</v>
      </c>
      <c r="B3" s="2">
        <v>44608</v>
      </c>
    </row>
    <row r="4" spans="1:2" ht="20.149999999999999" customHeight="1" x14ac:dyDescent="0.3">
      <c r="A4" s="7" t="s">
        <v>479</v>
      </c>
      <c r="B4" s="1">
        <v>44657</v>
      </c>
    </row>
    <row r="5" spans="1:2" ht="20.149999999999999" customHeight="1" x14ac:dyDescent="0.3">
      <c r="A5" s="7" t="s">
        <v>480</v>
      </c>
      <c r="B5" s="2">
        <v>44664</v>
      </c>
    </row>
    <row r="6" spans="1:2" ht="20.149999999999999" customHeight="1" x14ac:dyDescent="0.3">
      <c r="A6" s="7" t="s">
        <v>480</v>
      </c>
      <c r="B6" s="1">
        <v>44665</v>
      </c>
    </row>
    <row r="7" spans="1:2" ht="20.149999999999999" customHeight="1" x14ac:dyDescent="0.3">
      <c r="A7" s="3" t="s">
        <v>480</v>
      </c>
      <c r="B7" s="2">
        <v>44666</v>
      </c>
    </row>
    <row r="8" spans="1:2" ht="20.149999999999999" customHeight="1" x14ac:dyDescent="0.3">
      <c r="A8" s="4" t="s">
        <v>481</v>
      </c>
      <c r="B8" s="1">
        <v>44683</v>
      </c>
    </row>
    <row r="9" spans="1:2" ht="20.149999999999999" customHeight="1" x14ac:dyDescent="0.3">
      <c r="A9" s="7" t="s">
        <v>482</v>
      </c>
      <c r="B9" s="2">
        <v>44685</v>
      </c>
    </row>
    <row r="10" spans="1:2" ht="20.149999999999999" customHeight="1" x14ac:dyDescent="0.3">
      <c r="A10" s="7" t="s">
        <v>483</v>
      </c>
      <c r="B10" s="1">
        <v>44697</v>
      </c>
    </row>
    <row r="11" spans="1:2" ht="20.149999999999999" customHeight="1" x14ac:dyDescent="0.3">
      <c r="A11" s="7" t="s">
        <v>484</v>
      </c>
      <c r="B11" s="2">
        <v>44715</v>
      </c>
    </row>
    <row r="12" spans="1:2" ht="20.149999999999999" customHeight="1" x14ac:dyDescent="0.3">
      <c r="A12" s="7" t="s">
        <v>485</v>
      </c>
      <c r="B12" s="1">
        <v>44755</v>
      </c>
    </row>
    <row r="13" spans="1:2" ht="20.149999999999999" customHeight="1" x14ac:dyDescent="0.3">
      <c r="A13" s="7" t="s">
        <v>486</v>
      </c>
      <c r="B13" s="2">
        <v>44770</v>
      </c>
    </row>
    <row r="14" spans="1:2" ht="20.149999999999999" customHeight="1" x14ac:dyDescent="0.3">
      <c r="A14" s="7" t="s">
        <v>487</v>
      </c>
      <c r="B14" s="1">
        <v>44771</v>
      </c>
    </row>
    <row r="15" spans="1:2" ht="20.149999999999999" customHeight="1" x14ac:dyDescent="0.3">
      <c r="A15" s="7" t="s">
        <v>488</v>
      </c>
      <c r="B15" s="2">
        <v>44785</v>
      </c>
    </row>
    <row r="16" spans="1:2" ht="20.149999999999999" customHeight="1" x14ac:dyDescent="0.3">
      <c r="A16" s="7" t="s">
        <v>489</v>
      </c>
      <c r="B16" s="1">
        <v>44841</v>
      </c>
    </row>
    <row r="17" spans="1:2" ht="20.149999999999999" customHeight="1" x14ac:dyDescent="0.3">
      <c r="A17" s="7" t="s">
        <v>490</v>
      </c>
      <c r="B17" s="1">
        <v>44847</v>
      </c>
    </row>
    <row r="18" spans="1:2" ht="20.149999999999999" customHeight="1" x14ac:dyDescent="0.3">
      <c r="A18" s="7" t="s">
        <v>491</v>
      </c>
      <c r="B18" s="2">
        <v>44848</v>
      </c>
    </row>
    <row r="19" spans="1:2" ht="20.149999999999999" customHeight="1" x14ac:dyDescent="0.3">
      <c r="A19" s="7" t="s">
        <v>492</v>
      </c>
      <c r="B19" s="1">
        <v>44858</v>
      </c>
    </row>
    <row r="20" spans="1:2" ht="20.149999999999999" customHeight="1" x14ac:dyDescent="0.3">
      <c r="A20" s="7" t="s">
        <v>493</v>
      </c>
      <c r="B20" s="2">
        <v>44900</v>
      </c>
    </row>
    <row r="21" spans="1:2" ht="20.149999999999999" customHeight="1" x14ac:dyDescent="0.3">
      <c r="A21" s="7" t="s">
        <v>494</v>
      </c>
      <c r="B21" s="1">
        <v>44907</v>
      </c>
    </row>
    <row r="22" spans="1:2" ht="20.149999999999999" customHeight="1" x14ac:dyDescent="0.3">
      <c r="A22" s="7" t="s">
        <v>495</v>
      </c>
      <c r="B22" s="2">
        <v>44928</v>
      </c>
    </row>
    <row r="23" spans="1:2" ht="20.149999999999999" customHeight="1" x14ac:dyDescent="0.3">
      <c r="A23" s="7" t="s">
        <v>496</v>
      </c>
      <c r="B23" s="2">
        <v>44991</v>
      </c>
    </row>
    <row r="24" spans="1:2" ht="20.149999999999999" customHeight="1" x14ac:dyDescent="0.3">
      <c r="A24" s="7" t="s">
        <v>479</v>
      </c>
      <c r="B24" s="2">
        <v>45022</v>
      </c>
    </row>
    <row r="25" spans="1:2" ht="20.149999999999999" customHeight="1" x14ac:dyDescent="0.3">
      <c r="A25" s="7" t="s">
        <v>480</v>
      </c>
      <c r="B25" s="2">
        <v>45029</v>
      </c>
    </row>
    <row r="26" spans="1:2" ht="20.149999999999999" customHeight="1" x14ac:dyDescent="0.3">
      <c r="A26" s="7" t="s">
        <v>480</v>
      </c>
      <c r="B26" s="2">
        <v>45030</v>
      </c>
    </row>
    <row r="27" spans="1:2" ht="20.149999999999999" customHeight="1" x14ac:dyDescent="0.3">
      <c r="A27" s="7" t="s">
        <v>497</v>
      </c>
      <c r="B27" s="2">
        <v>45047</v>
      </c>
    </row>
    <row r="28" spans="1:2" ht="20.149999999999999" customHeight="1" x14ac:dyDescent="0.3">
      <c r="A28" s="7" t="s">
        <v>498</v>
      </c>
      <c r="B28" s="2">
        <v>45050</v>
      </c>
    </row>
    <row r="29" spans="1:2" ht="20.149999999999999" customHeight="1" x14ac:dyDescent="0.3">
      <c r="A29" s="7" t="s">
        <v>499</v>
      </c>
      <c r="B29" s="2">
        <v>45082</v>
      </c>
    </row>
    <row r="30" spans="1:2" ht="20.149999999999999" customHeight="1" x14ac:dyDescent="0.3">
      <c r="A30" s="7" t="s">
        <v>486</v>
      </c>
      <c r="B30" s="2">
        <v>45135</v>
      </c>
    </row>
    <row r="31" spans="1:2" ht="20.149999999999999" customHeight="1" x14ac:dyDescent="0.3">
      <c r="A31" s="7" t="s">
        <v>500</v>
      </c>
      <c r="B31" s="2">
        <v>45139</v>
      </c>
    </row>
    <row r="32" spans="1:2" ht="20.149999999999999" customHeight="1" x14ac:dyDescent="0.3">
      <c r="A32" s="7" t="s">
        <v>501</v>
      </c>
      <c r="B32" s="2">
        <v>45152</v>
      </c>
    </row>
    <row r="33" spans="1:2" ht="20.149999999999999" customHeight="1" x14ac:dyDescent="0.3">
      <c r="A33" s="7" t="s">
        <v>490</v>
      </c>
      <c r="B33" s="1">
        <v>45212</v>
      </c>
    </row>
    <row r="34" spans="1:2" ht="20.149999999999999" customHeight="1" x14ac:dyDescent="0.3">
      <c r="A34" s="7" t="s">
        <v>502</v>
      </c>
      <c r="B34" s="2">
        <v>45222</v>
      </c>
    </row>
    <row r="35" spans="1:2" ht="20.149999999999999" customHeight="1" x14ac:dyDescent="0.3">
      <c r="A35" s="7" t="s">
        <v>493</v>
      </c>
      <c r="B35" s="2">
        <v>45265</v>
      </c>
    </row>
    <row r="36" spans="1:2" ht="20.149999999999999" customHeight="1" x14ac:dyDescent="0.3">
      <c r="A36" s="7" t="s">
        <v>494</v>
      </c>
      <c r="B36" s="2">
        <v>45271</v>
      </c>
    </row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2869E3F47092CE448662E343168BAE61" ma:contentTypeVersion="13" ma:contentTypeDescription="สร้างเอกสารใหม่" ma:contentTypeScope="" ma:versionID="c721ce8ece10711c04112d19d32f62bb">
  <xsd:schema xmlns:xsd="http://www.w3.org/2001/XMLSchema" xmlns:xs="http://www.w3.org/2001/XMLSchema" xmlns:p="http://schemas.microsoft.com/office/2006/metadata/properties" xmlns:ns3="fcb81b8a-ad14-4baf-b590-3b5785ec93a4" xmlns:ns4="624353db-78b7-4297-9906-a191712e27e2" targetNamespace="http://schemas.microsoft.com/office/2006/metadata/properties" ma:root="true" ma:fieldsID="3fcdd379f5bd688fa09ef1761e5b74de" ns3:_="" ns4:_="">
    <xsd:import namespace="fcb81b8a-ad14-4baf-b590-3b5785ec93a4"/>
    <xsd:import namespace="624353db-78b7-4297-9906-a191712e27e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b81b8a-ad14-4baf-b590-3b5785ec9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4353db-78b7-4297-9906-a191712e27e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แชร์กับ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แชร์พร้อมกับรายละเอียด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การแชร์แฮชคำแนะนำ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FC7C470-E0FE-4FA0-B901-7AD3AF0E344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ECA0D0-0B42-4B59-ADD7-34DD6FF3C3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b81b8a-ad14-4baf-b590-3b5785ec93a4"/>
    <ds:schemaRef ds:uri="624353db-78b7-4297-9906-a191712e27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BED825-D45E-47A0-BA7A-0F84C3CA9F7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</vt:i4>
      </vt:variant>
    </vt:vector>
  </HeadingPairs>
  <TitlesOfParts>
    <vt:vector size="55" baseType="lpstr">
      <vt:lpstr>Team</vt:lpstr>
      <vt:lpstr>schedule</vt:lpstr>
      <vt:lpstr>P0011</vt:lpstr>
      <vt:lpstr>P0012</vt:lpstr>
      <vt:lpstr>P0013</vt:lpstr>
      <vt:lpstr>P0016</vt:lpstr>
      <vt:lpstr>P0017</vt:lpstr>
      <vt:lpstr>P0018</vt:lpstr>
      <vt:lpstr>P0019</vt:lpstr>
      <vt:lpstr>P0020</vt:lpstr>
      <vt:lpstr>P0022</vt:lpstr>
      <vt:lpstr>P0023</vt:lpstr>
      <vt:lpstr>P0024</vt:lpstr>
      <vt:lpstr>P0025</vt:lpstr>
      <vt:lpstr>P0026</vt:lpstr>
      <vt:lpstr>P0027</vt:lpstr>
      <vt:lpstr>P0028</vt:lpstr>
      <vt:lpstr>P0029</vt:lpstr>
      <vt:lpstr>P0030</vt:lpstr>
      <vt:lpstr>P0031</vt:lpstr>
      <vt:lpstr>P0032</vt:lpstr>
      <vt:lpstr>P0033</vt:lpstr>
      <vt:lpstr>P0034</vt:lpstr>
      <vt:lpstr>P0035</vt:lpstr>
      <vt:lpstr>P0036</vt:lpstr>
      <vt:lpstr>P0037</vt:lpstr>
      <vt:lpstr>P0038</vt:lpstr>
      <vt:lpstr>P0039</vt:lpstr>
      <vt:lpstr>P0040</vt:lpstr>
      <vt:lpstr>P0041</vt:lpstr>
      <vt:lpstr>P0042</vt:lpstr>
      <vt:lpstr>P0043</vt:lpstr>
      <vt:lpstr>P0044</vt:lpstr>
      <vt:lpstr>P0045</vt:lpstr>
      <vt:lpstr>P0046</vt:lpstr>
      <vt:lpstr>P0047</vt:lpstr>
      <vt:lpstr>P0048</vt:lpstr>
      <vt:lpstr>P0049</vt:lpstr>
      <vt:lpstr>P0050</vt:lpstr>
      <vt:lpstr>P0052</vt:lpstr>
      <vt:lpstr>P0053</vt:lpstr>
      <vt:lpstr>P0054</vt:lpstr>
      <vt:lpstr>P0055</vt:lpstr>
      <vt:lpstr>P0056</vt:lpstr>
      <vt:lpstr>P0057</vt:lpstr>
      <vt:lpstr>P0058</vt:lpstr>
      <vt:lpstr>P0059</vt:lpstr>
      <vt:lpstr>P0060</vt:lpstr>
      <vt:lpstr>P0061</vt:lpstr>
      <vt:lpstr>P0062</vt:lpstr>
      <vt:lpstr>P0063</vt:lpstr>
      <vt:lpstr>P0064</vt:lpstr>
      <vt:lpstr>P0051</vt:lpstr>
      <vt:lpstr>PublicHolidays</vt:lpstr>
      <vt:lpstr>holidays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Micky</dc:creator>
  <cp:keywords/>
  <dc:description/>
  <cp:lastModifiedBy>Pornpol Kong-im</cp:lastModifiedBy>
  <cp:revision/>
  <dcterms:created xsi:type="dcterms:W3CDTF">2022-04-21T09:10:47Z</dcterms:created>
  <dcterms:modified xsi:type="dcterms:W3CDTF">2023-05-30T02:25:44Z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fb69f84-6297-413e-8898-68c80577aad3_Enabled">
    <vt:lpwstr>true</vt:lpwstr>
  </property>
  <property fmtid="{D5CDD505-2E9C-101B-9397-08002B2CF9AE}" pid="3" name="MSIP_Label_efb69f84-6297-413e-8898-68c80577aad3_SetDate">
    <vt:lpwstr>2022-04-28T06:39:10Z</vt:lpwstr>
  </property>
  <property fmtid="{D5CDD505-2E9C-101B-9397-08002B2CF9AE}" pid="4" name="MSIP_Label_efb69f84-6297-413e-8898-68c80577aad3_Method">
    <vt:lpwstr>Privileged</vt:lpwstr>
  </property>
  <property fmtid="{D5CDD505-2E9C-101B-9397-08002B2CF9AE}" pid="5" name="MSIP_Label_efb69f84-6297-413e-8898-68c80577aad3_Name">
    <vt:lpwstr>Internal Use Only</vt:lpwstr>
  </property>
  <property fmtid="{D5CDD505-2E9C-101B-9397-08002B2CF9AE}" pid="6" name="MSIP_Label_efb69f84-6297-413e-8898-68c80577aad3_SiteId">
    <vt:lpwstr>8e11df9f-4615-434f-a6c6-8a0cb4ffeb6c</vt:lpwstr>
  </property>
  <property fmtid="{D5CDD505-2E9C-101B-9397-08002B2CF9AE}" pid="7" name="MSIP_Label_efb69f84-6297-413e-8898-68c80577aad3_ActionId">
    <vt:lpwstr>5b488a79-227d-4b2c-9084-f0d48f3e9a41</vt:lpwstr>
  </property>
  <property fmtid="{D5CDD505-2E9C-101B-9397-08002B2CF9AE}" pid="8" name="MSIP_Label_efb69f84-6297-413e-8898-68c80577aad3_ContentBits">
    <vt:lpwstr>2</vt:lpwstr>
  </property>
  <property fmtid="{D5CDD505-2E9C-101B-9397-08002B2CF9AE}" pid="9" name="ContentTypeId">
    <vt:lpwstr>0x0101002869E3F47092CE448662E343168BAE61</vt:lpwstr>
  </property>
</Properties>
</file>