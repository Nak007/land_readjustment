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WorkSchedule/"/>
    </mc:Choice>
  </mc:AlternateContent>
  <xr:revisionPtr revIDLastSave="2296" documentId="13_ncr:1_{7A903167-F083-48F0-97E2-5E9123C979B6}" xr6:coauthVersionLast="47" xr6:coauthVersionMax="47" xr10:uidLastSave="{AF7EE458-E585-4A11-B625-926B2A44FFAA}"/>
  <bookViews>
    <workbookView xWindow="-38510" yWindow="500" windowWidth="38620" windowHeight="21100" firstSheet="1" activeTab="1" xr2:uid="{3AAFA5A8-BE87-48E4-8D01-8808AB85EB7F}"/>
  </bookViews>
  <sheets>
    <sheet name="PublicHolidays" sheetId="1" state="hidden" r:id="rId1"/>
    <sheet name="WorkSchedule" sheetId="20" r:id="rId2"/>
    <sheet name="MandaySchedule" sheetId="24" r:id="rId3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EffortType">MandaySchedule!$E$12:$E$21</definedName>
    <definedName name="holidays">PublicHolidays!$B$2:$B$74</definedName>
    <definedName name="manday">WorkSchedule!$V$12:$AE$71</definedName>
    <definedName name="members">MandaySchedule!$B$12:$B$21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8" i="20" l="1"/>
  <c r="B13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J40" i="20" a="1"/>
  <c r="J32" i="20" a="1"/>
  <c r="J24" i="20" a="1"/>
  <c r="J16" i="20" a="1"/>
  <c r="J41" i="20" a="1"/>
  <c r="J33" i="20" a="1"/>
  <c r="J25" i="20" a="1"/>
  <c r="J17" i="20" a="1"/>
  <c r="J34" i="20" a="1"/>
  <c r="J26" i="20" a="1"/>
  <c r="J18" i="20" a="1"/>
  <c r="J35" i="20" a="1"/>
  <c r="J27" i="20" a="1"/>
  <c r="J19" i="20" a="1"/>
  <c r="J36" i="20" a="1"/>
  <c r="J28" i="20" a="1"/>
  <c r="J20" i="20" a="1"/>
  <c r="J29" i="20" a="1"/>
  <c r="J15" i="20" a="1"/>
  <c r="J38" i="20" a="1"/>
  <c r="J37" i="20" a="1"/>
  <c r="J21" i="20" a="1"/>
  <c r="J39" i="20" a="1"/>
  <c r="J30" i="20" a="1"/>
  <c r="J13" i="20" a="1"/>
  <c r="J23" i="20" a="1"/>
  <c r="J14" i="20" a="1"/>
  <c r="J31" i="20" a="1"/>
  <c r="J22" i="20" a="1"/>
  <c r="J53" i="20" a="1"/>
  <c r="J45" i="20" a="1"/>
  <c r="J50" i="20" a="1"/>
  <c r="J44" i="20" a="1"/>
  <c r="J54" i="20" a="1"/>
  <c r="J46" i="20" a="1"/>
  <c r="J42" i="20" a="1"/>
  <c r="J52" i="20" a="1"/>
  <c r="J55" i="20" a="1"/>
  <c r="J47" i="20" a="1"/>
  <c r="J43" i="20" a="1"/>
  <c r="J56" i="20" a="1"/>
  <c r="J48" i="20" a="1"/>
  <c r="J51" i="20" a="1"/>
  <c r="J57" i="20" a="1"/>
  <c r="J49" i="20" a="1"/>
  <c r="J70" i="20" a="1"/>
  <c r="J66" i="20" a="1"/>
  <c r="J62" i="20" a="1"/>
  <c r="J58" i="20" a="1"/>
  <c r="J65" i="20" a="1"/>
  <c r="J71" i="20" a="1"/>
  <c r="J67" i="20" a="1"/>
  <c r="J63" i="20" a="1"/>
  <c r="J59" i="20" a="1"/>
  <c r="J68" i="20" a="1"/>
  <c r="J64" i="20" a="1"/>
  <c r="J60" i="20" a="1"/>
  <c r="J69" i="20" a="1"/>
  <c r="J61" i="20" a="1"/>
  <c r="J22" i="20" l="1"/>
  <c r="K22" i="20" s="1"/>
  <c r="J31" i="20"/>
  <c r="K31" i="20" s="1"/>
  <c r="J14" i="20"/>
  <c r="K14" i="20" s="1"/>
  <c r="J23" i="20"/>
  <c r="K23" i="20" s="1"/>
  <c r="J13" i="20"/>
  <c r="K13" i="20" s="1"/>
  <c r="J30" i="20"/>
  <c r="K30" i="20" s="1"/>
  <c r="J39" i="20"/>
  <c r="K39" i="20" s="1"/>
  <c r="J21" i="20"/>
  <c r="K21" i="20" s="1"/>
  <c r="J37" i="20"/>
  <c r="K37" i="20" s="1"/>
  <c r="J38" i="20"/>
  <c r="K38" i="20" s="1"/>
  <c r="J15" i="20"/>
  <c r="K15" i="20" s="1"/>
  <c r="J29" i="20"/>
  <c r="K29" i="20" s="1"/>
  <c r="J20" i="20"/>
  <c r="K20" i="20" s="1"/>
  <c r="J28" i="20"/>
  <c r="K28" i="20" s="1"/>
  <c r="J36" i="20"/>
  <c r="K36" i="20" s="1"/>
  <c r="J19" i="20"/>
  <c r="K19" i="20" s="1"/>
  <c r="J27" i="20"/>
  <c r="K27" i="20" s="1"/>
  <c r="J35" i="20"/>
  <c r="K35" i="20" s="1"/>
  <c r="J18" i="20"/>
  <c r="K18" i="20" s="1"/>
  <c r="J26" i="20"/>
  <c r="K26" i="20" s="1"/>
  <c r="J34" i="20"/>
  <c r="K34" i="20" s="1"/>
  <c r="J17" i="20"/>
  <c r="K17" i="20" s="1"/>
  <c r="J25" i="20"/>
  <c r="K25" i="20" s="1"/>
  <c r="J33" i="20"/>
  <c r="K33" i="20" s="1"/>
  <c r="J41" i="20"/>
  <c r="K41" i="20" s="1"/>
  <c r="J16" i="20"/>
  <c r="K16" i="20" s="1"/>
  <c r="J24" i="20"/>
  <c r="K24" i="20" s="1"/>
  <c r="J32" i="20"/>
  <c r="K32" i="20" s="1"/>
  <c r="J40" i="20"/>
  <c r="K40" i="20" s="1"/>
  <c r="B14" i="20"/>
  <c r="J49" i="20"/>
  <c r="K49" i="20" s="1"/>
  <c r="J57" i="20"/>
  <c r="K57" i="20" s="1"/>
  <c r="J51" i="20"/>
  <c r="K51" i="20" s="1"/>
  <c r="J48" i="20"/>
  <c r="K48" i="20" s="1"/>
  <c r="J56" i="20"/>
  <c r="K56" i="20" s="1"/>
  <c r="J43" i="20"/>
  <c r="K43" i="20" s="1"/>
  <c r="J47" i="20"/>
  <c r="K47" i="20" s="1"/>
  <c r="J55" i="20"/>
  <c r="K55" i="20" s="1"/>
  <c r="J52" i="20"/>
  <c r="K52" i="20" s="1"/>
  <c r="J42" i="20"/>
  <c r="K42" i="20" s="1"/>
  <c r="J46" i="20"/>
  <c r="K46" i="20" s="1"/>
  <c r="J54" i="20"/>
  <c r="K54" i="20" s="1"/>
  <c r="J44" i="20"/>
  <c r="K44" i="20" s="1"/>
  <c r="J50" i="20"/>
  <c r="K50" i="20" s="1"/>
  <c r="J45" i="20"/>
  <c r="K45" i="20" s="1"/>
  <c r="J53" i="20"/>
  <c r="K53" i="20" s="1"/>
  <c r="J61" i="20"/>
  <c r="J69" i="20"/>
  <c r="J60" i="20"/>
  <c r="J64" i="20"/>
  <c r="J68" i="20"/>
  <c r="J59" i="20"/>
  <c r="J63" i="20"/>
  <c r="J67" i="20"/>
  <c r="J71" i="20"/>
  <c r="J65" i="20"/>
  <c r="J58" i="20"/>
  <c r="J62" i="20"/>
  <c r="J66" i="20"/>
  <c r="J70" i="20"/>
  <c r="D30" i="24" a="1"/>
  <c r="D30" i="24" s="1"/>
  <c r="D29" i="24" a="1"/>
  <c r="D29" i="24" s="1"/>
  <c r="D28" i="24" a="1"/>
  <c r="D28" i="24" s="1"/>
  <c r="D27" i="24" a="1"/>
  <c r="D27" i="24" s="1"/>
  <c r="D26" i="24" a="1"/>
  <c r="D26" i="24" s="1"/>
  <c r="H15" i="24"/>
  <c r="G15" i="24"/>
  <c r="B15" i="24"/>
  <c r="H14" i="24"/>
  <c r="G14" i="24"/>
  <c r="G13" i="24"/>
  <c r="H12" i="24"/>
  <c r="G12" i="24"/>
  <c r="I10" i="24"/>
  <c r="I12" i="24" s="1"/>
  <c r="H10" i="24"/>
  <c r="H13" i="24" s="1"/>
  <c r="R13" i="20" l="1"/>
  <c r="B15" i="20"/>
  <c r="R14" i="20"/>
  <c r="K66" i="20"/>
  <c r="K62" i="20"/>
  <c r="K68" i="20"/>
  <c r="K70" i="20"/>
  <c r="K59" i="20"/>
  <c r="K58" i="20"/>
  <c r="K64" i="20"/>
  <c r="K65" i="20"/>
  <c r="K60" i="20"/>
  <c r="K71" i="20"/>
  <c r="K67" i="20"/>
  <c r="K69" i="20"/>
  <c r="K63" i="20"/>
  <c r="K61" i="20"/>
  <c r="D32" i="24"/>
  <c r="D31" i="24"/>
  <c r="I15" i="24"/>
  <c r="B16" i="24"/>
  <c r="I13" i="24"/>
  <c r="I14" i="24"/>
  <c r="J10" i="24"/>
  <c r="C5" i="20"/>
  <c r="L67" i="20" a="1"/>
  <c r="L28" i="20" a="1"/>
  <c r="L64" i="20" a="1"/>
  <c r="L40" i="20" a="1"/>
  <c r="L59" i="20" a="1"/>
  <c r="L53" i="20" a="1"/>
  <c r="L41" i="20" a="1"/>
  <c r="L66" i="20" a="1"/>
  <c r="L22" i="20" a="1"/>
  <c r="L18" i="20" a="1"/>
  <c r="L61" i="20" a="1"/>
  <c r="L63" i="20" a="1"/>
  <c r="L13" i="20" a="1"/>
  <c r="L42" i="20" a="1"/>
  <c r="L51" i="20" a="1"/>
  <c r="L33" i="20" a="1"/>
  <c r="L68" i="20" a="1"/>
  <c r="L70" i="20" a="1"/>
  <c r="L27" i="20" a="1"/>
  <c r="L30" i="20" a="1"/>
  <c r="L47" i="20" a="1"/>
  <c r="L45" i="20" a="1"/>
  <c r="L44" i="20" a="1"/>
  <c r="L54" i="20" a="1"/>
  <c r="L56" i="20" a="1"/>
  <c r="L71" i="20" a="1"/>
  <c r="L52" i="20" a="1"/>
  <c r="L60" i="20" a="1"/>
  <c r="L23" i="20" a="1"/>
  <c r="L14" i="20" a="1"/>
  <c r="L34" i="20" a="1"/>
  <c r="L15" i="20" a="1"/>
  <c r="L65" i="20" a="1"/>
  <c r="L37" i="20" a="1"/>
  <c r="L39" i="20" a="1"/>
  <c r="L58" i="20" a="1"/>
  <c r="L24" i="20" a="1"/>
  <c r="L50" i="20" a="1"/>
  <c r="L20" i="20" a="1"/>
  <c r="L21" i="20" a="1"/>
  <c r="L43" i="20" a="1"/>
  <c r="L31" i="20" a="1"/>
  <c r="L32" i="20" a="1"/>
  <c r="L16" i="20" a="1"/>
  <c r="L36" i="20" a="1"/>
  <c r="L48" i="20" a="1"/>
  <c r="L26" i="20" a="1"/>
  <c r="L35" i="20" a="1"/>
  <c r="L55" i="20" a="1"/>
  <c r="L69" i="20" a="1"/>
  <c r="L62" i="20" a="1"/>
  <c r="L29" i="20" a="1"/>
  <c r="L17" i="20" a="1"/>
  <c r="L49" i="20" a="1"/>
  <c r="L25" i="20" a="1"/>
  <c r="L46" i="20" a="1"/>
  <c r="L38" i="20" a="1"/>
  <c r="L57" i="20" a="1"/>
  <c r="L19" i="20" a="1"/>
  <c r="L35" i="20" l="1"/>
  <c r="M35" i="20" s="1"/>
  <c r="L27" i="20"/>
  <c r="M27" i="20" s="1"/>
  <c r="L19" i="20"/>
  <c r="M19" i="20" s="1"/>
  <c r="L37" i="20"/>
  <c r="M37" i="20" s="1"/>
  <c r="L21" i="20"/>
  <c r="M21" i="20" s="1"/>
  <c r="L36" i="20"/>
  <c r="M36" i="20" s="1"/>
  <c r="L28" i="20"/>
  <c r="M28" i="20" s="1"/>
  <c r="L20" i="20"/>
  <c r="M20" i="20" s="1"/>
  <c r="L29" i="20"/>
  <c r="M29" i="20" s="1"/>
  <c r="L13" i="20"/>
  <c r="M13" i="20" s="1"/>
  <c r="L38" i="20"/>
  <c r="M38" i="20" s="1"/>
  <c r="L30" i="20"/>
  <c r="M30" i="20" s="1"/>
  <c r="L22" i="20"/>
  <c r="M22" i="20" s="1"/>
  <c r="L14" i="20"/>
  <c r="M14" i="20" s="1"/>
  <c r="L39" i="20"/>
  <c r="M39" i="20" s="1"/>
  <c r="L31" i="20"/>
  <c r="M31" i="20" s="1"/>
  <c r="L23" i="20"/>
  <c r="M23" i="20" s="1"/>
  <c r="L34" i="20"/>
  <c r="M34" i="20" s="1"/>
  <c r="L25" i="20"/>
  <c r="M25" i="20" s="1"/>
  <c r="L40" i="20"/>
  <c r="M40" i="20" s="1"/>
  <c r="L26" i="20"/>
  <c r="M26" i="20" s="1"/>
  <c r="L33" i="20"/>
  <c r="M33" i="20" s="1"/>
  <c r="L24" i="20"/>
  <c r="M24" i="20" s="1"/>
  <c r="L41" i="20"/>
  <c r="M41" i="20" s="1"/>
  <c r="L32" i="20"/>
  <c r="M32" i="20" s="1"/>
  <c r="L18" i="20"/>
  <c r="M18" i="20" s="1"/>
  <c r="L17" i="20"/>
  <c r="M17" i="20" s="1"/>
  <c r="L16" i="20"/>
  <c r="M16" i="20" s="1"/>
  <c r="L15" i="20"/>
  <c r="M15" i="20" s="1"/>
  <c r="B16" i="20"/>
  <c r="R15" i="20"/>
  <c r="L56" i="20"/>
  <c r="M56" i="20" s="1"/>
  <c r="L48" i="20"/>
  <c r="M48" i="20" s="1"/>
  <c r="L45" i="20"/>
  <c r="M45" i="20" s="1"/>
  <c r="L54" i="20"/>
  <c r="M54" i="20" s="1"/>
  <c r="L57" i="20"/>
  <c r="M57" i="20" s="1"/>
  <c r="L49" i="20"/>
  <c r="M49" i="20" s="1"/>
  <c r="L50" i="20"/>
  <c r="M50" i="20" s="1"/>
  <c r="L42" i="20"/>
  <c r="M42" i="20" s="1"/>
  <c r="L51" i="20"/>
  <c r="M51" i="20" s="1"/>
  <c r="L43" i="20"/>
  <c r="M43" i="20" s="1"/>
  <c r="L53" i="20"/>
  <c r="M53" i="20" s="1"/>
  <c r="L55" i="20"/>
  <c r="M55" i="20" s="1"/>
  <c r="L52" i="20"/>
  <c r="M52" i="20" s="1"/>
  <c r="L44" i="20"/>
  <c r="M44" i="20" s="1"/>
  <c r="L46" i="20"/>
  <c r="M46" i="20" s="1"/>
  <c r="L47" i="20"/>
  <c r="M47" i="20" s="1"/>
  <c r="L62" i="20"/>
  <c r="M62" i="20" s="1"/>
  <c r="L68" i="20"/>
  <c r="M68" i="20" s="1"/>
  <c r="L64" i="20"/>
  <c r="M64" i="20" s="1"/>
  <c r="L60" i="20"/>
  <c r="M60" i="20" s="1"/>
  <c r="L69" i="20"/>
  <c r="M69" i="20" s="1"/>
  <c r="L61" i="20"/>
  <c r="M61" i="20" s="1"/>
  <c r="L59" i="20"/>
  <c r="M59" i="20" s="1"/>
  <c r="L65" i="20"/>
  <c r="M65" i="20" s="1"/>
  <c r="L58" i="20"/>
  <c r="M58" i="20" s="1"/>
  <c r="L71" i="20"/>
  <c r="M71" i="20" s="1"/>
  <c r="L67" i="20"/>
  <c r="M67" i="20" s="1"/>
  <c r="L63" i="20"/>
  <c r="M63" i="20" s="1"/>
  <c r="L70" i="20"/>
  <c r="M70" i="20" s="1"/>
  <c r="L66" i="20"/>
  <c r="M66" i="20" s="1"/>
  <c r="J12" i="24"/>
  <c r="J14" i="24"/>
  <c r="K10" i="24"/>
  <c r="J13" i="24"/>
  <c r="J15" i="24"/>
  <c r="K16" i="24"/>
  <c r="J16" i="24"/>
  <c r="G16" i="24"/>
  <c r="B17" i="24"/>
  <c r="I16" i="24"/>
  <c r="H16" i="24"/>
  <c r="I12" i="20"/>
  <c r="J12" i="20" a="1"/>
  <c r="S69" i="20" a="1"/>
  <c r="S67" i="20" a="1"/>
  <c r="S61" i="20" a="1"/>
  <c r="S30" i="20" a="1"/>
  <c r="S42" i="20" a="1"/>
  <c r="S32" i="20" a="1"/>
  <c r="S52" i="20" a="1"/>
  <c r="S56" i="20" a="1"/>
  <c r="S54" i="20" a="1"/>
  <c r="S27" i="20" a="1"/>
  <c r="S55" i="20" a="1"/>
  <c r="S64" i="20" a="1"/>
  <c r="S53" i="20" a="1"/>
  <c r="S51" i="20" a="1"/>
  <c r="S18" i="20" a="1"/>
  <c r="S33" i="20" a="1"/>
  <c r="S65" i="20" a="1"/>
  <c r="S14" i="20" a="1"/>
  <c r="S17" i="20" a="1"/>
  <c r="S40" i="20" a="1"/>
  <c r="S47" i="20" a="1"/>
  <c r="S25" i="20" a="1"/>
  <c r="S13" i="20" a="1"/>
  <c r="S71" i="20" a="1"/>
  <c r="S23" i="20" a="1"/>
  <c r="S36" i="20" a="1"/>
  <c r="S16" i="20" a="1"/>
  <c r="S44" i="20" a="1"/>
  <c r="S46" i="20" a="1"/>
  <c r="S34" i="20" a="1"/>
  <c r="S43" i="20" a="1"/>
  <c r="S38" i="20" a="1"/>
  <c r="S66" i="20" a="1"/>
  <c r="S28" i="20" a="1"/>
  <c r="S63" i="20" a="1"/>
  <c r="S45" i="20" a="1"/>
  <c r="S68" i="20" a="1"/>
  <c r="S58" i="20" a="1"/>
  <c r="S24" i="20" a="1"/>
  <c r="S15" i="20" a="1"/>
  <c r="S48" i="20" a="1"/>
  <c r="S21" i="20" a="1"/>
  <c r="S39" i="20" a="1"/>
  <c r="S26" i="20" a="1"/>
  <c r="S29" i="20" a="1"/>
  <c r="S31" i="20" a="1"/>
  <c r="S70" i="20" a="1"/>
  <c r="S35" i="20" a="1"/>
  <c r="S19" i="20" a="1"/>
  <c r="S50" i="20" a="1"/>
  <c r="S62" i="20" a="1"/>
  <c r="S37" i="20" a="1"/>
  <c r="S57" i="20" a="1"/>
  <c r="S59" i="20" a="1"/>
  <c r="S20" i="20" a="1"/>
  <c r="S49" i="20" a="1"/>
  <c r="S60" i="20" a="1"/>
  <c r="S22" i="20" a="1"/>
  <c r="S41" i="20" a="1"/>
  <c r="S41" i="20" l="1"/>
  <c r="S24" i="20"/>
  <c r="S39" i="20"/>
  <c r="S28" i="20"/>
  <c r="S36" i="20"/>
  <c r="S31" i="20"/>
  <c r="S33" i="20"/>
  <c r="S15" i="20"/>
  <c r="S26" i="20"/>
  <c r="S22" i="20"/>
  <c r="S21" i="20"/>
  <c r="S40" i="20"/>
  <c r="S17" i="20"/>
  <c r="S25" i="20"/>
  <c r="S38" i="20"/>
  <c r="S19" i="20"/>
  <c r="S20" i="20"/>
  <c r="S14" i="20"/>
  <c r="S16" i="20"/>
  <c r="S30" i="20"/>
  <c r="S18" i="20"/>
  <c r="S34" i="20"/>
  <c r="S13" i="20"/>
  <c r="S27" i="20"/>
  <c r="S37" i="20"/>
  <c r="S32" i="20"/>
  <c r="S23" i="20"/>
  <c r="S29" i="20"/>
  <c r="S35" i="20"/>
  <c r="O41" i="20"/>
  <c r="P41" i="20"/>
  <c r="N41" i="20"/>
  <c r="P24" i="20"/>
  <c r="O24" i="20"/>
  <c r="N24" i="20"/>
  <c r="O39" i="20"/>
  <c r="N39" i="20"/>
  <c r="P39" i="20"/>
  <c r="P28" i="20"/>
  <c r="O28" i="20"/>
  <c r="N28" i="20"/>
  <c r="P36" i="20"/>
  <c r="O36" i="20"/>
  <c r="N36" i="20"/>
  <c r="O31" i="20"/>
  <c r="N31" i="20"/>
  <c r="P31" i="20"/>
  <c r="O33" i="20"/>
  <c r="P33" i="20"/>
  <c r="N33" i="20"/>
  <c r="O15" i="20"/>
  <c r="N15" i="20"/>
  <c r="P15" i="20"/>
  <c r="P26" i="20"/>
  <c r="O26" i="20"/>
  <c r="N26" i="20"/>
  <c r="N22" i="20"/>
  <c r="P22" i="20"/>
  <c r="O22" i="20"/>
  <c r="O21" i="20"/>
  <c r="P21" i="20"/>
  <c r="N21" i="20"/>
  <c r="B17" i="20"/>
  <c r="R16" i="20"/>
  <c r="P40" i="20"/>
  <c r="N40" i="20"/>
  <c r="O40" i="20"/>
  <c r="O17" i="20"/>
  <c r="P17" i="20"/>
  <c r="N17" i="20"/>
  <c r="O25" i="20"/>
  <c r="P25" i="20"/>
  <c r="N25" i="20"/>
  <c r="N38" i="20"/>
  <c r="O38" i="20"/>
  <c r="P38" i="20"/>
  <c r="P19" i="20"/>
  <c r="O19" i="20"/>
  <c r="N19" i="20"/>
  <c r="P20" i="20"/>
  <c r="O20" i="20"/>
  <c r="N20" i="20"/>
  <c r="N14" i="20"/>
  <c r="P14" i="20"/>
  <c r="O14" i="20"/>
  <c r="P16" i="20"/>
  <c r="O16" i="20"/>
  <c r="N16" i="20"/>
  <c r="N30" i="20"/>
  <c r="P30" i="20"/>
  <c r="O30" i="20"/>
  <c r="P18" i="20"/>
  <c r="O18" i="20"/>
  <c r="N18" i="20"/>
  <c r="Q18" i="20" s="1"/>
  <c r="P34" i="20"/>
  <c r="O34" i="20"/>
  <c r="N34" i="20"/>
  <c r="P13" i="20"/>
  <c r="O13" i="20"/>
  <c r="N13" i="20"/>
  <c r="P27" i="20"/>
  <c r="O27" i="20"/>
  <c r="N27" i="20"/>
  <c r="P37" i="20"/>
  <c r="O37" i="20"/>
  <c r="N37" i="20"/>
  <c r="P32" i="20"/>
  <c r="O32" i="20"/>
  <c r="N32" i="20"/>
  <c r="O23" i="20"/>
  <c r="N23" i="20"/>
  <c r="P23" i="20"/>
  <c r="O29" i="20"/>
  <c r="N29" i="20"/>
  <c r="P29" i="20"/>
  <c r="P35" i="20"/>
  <c r="O35" i="20"/>
  <c r="N35" i="20"/>
  <c r="Q35" i="20" s="1"/>
  <c r="S47" i="20"/>
  <c r="S42" i="20"/>
  <c r="S46" i="20"/>
  <c r="S50" i="20"/>
  <c r="S44" i="20"/>
  <c r="S49" i="20"/>
  <c r="S57" i="20"/>
  <c r="S45" i="20"/>
  <c r="S52" i="20"/>
  <c r="S55" i="20"/>
  <c r="S54" i="20"/>
  <c r="S53" i="20"/>
  <c r="S43" i="20"/>
  <c r="S48" i="20"/>
  <c r="S51" i="20"/>
  <c r="S56" i="20"/>
  <c r="P47" i="20"/>
  <c r="O47" i="20"/>
  <c r="N47" i="20"/>
  <c r="P42" i="20"/>
  <c r="N42" i="20"/>
  <c r="O42" i="20"/>
  <c r="P46" i="20"/>
  <c r="O46" i="20"/>
  <c r="N46" i="20"/>
  <c r="P50" i="20"/>
  <c r="O50" i="20"/>
  <c r="N50" i="20"/>
  <c r="O44" i="20"/>
  <c r="N44" i="20"/>
  <c r="P44" i="20"/>
  <c r="N49" i="20"/>
  <c r="P49" i="20"/>
  <c r="O49" i="20"/>
  <c r="N57" i="20"/>
  <c r="P57" i="20"/>
  <c r="O57" i="20"/>
  <c r="P45" i="20"/>
  <c r="O45" i="20"/>
  <c r="N45" i="20"/>
  <c r="O52" i="20"/>
  <c r="N52" i="20"/>
  <c r="P52" i="20"/>
  <c r="P55" i="20"/>
  <c r="O55" i="20"/>
  <c r="N55" i="20"/>
  <c r="P54" i="20"/>
  <c r="O54" i="20"/>
  <c r="N54" i="20"/>
  <c r="P53" i="20"/>
  <c r="O53" i="20"/>
  <c r="N53" i="20"/>
  <c r="N43" i="20"/>
  <c r="P43" i="20"/>
  <c r="O43" i="20"/>
  <c r="N48" i="20"/>
  <c r="P48" i="20"/>
  <c r="O48" i="20"/>
  <c r="N51" i="20"/>
  <c r="O51" i="20"/>
  <c r="P51" i="20"/>
  <c r="N56" i="20"/>
  <c r="P56" i="20"/>
  <c r="O56" i="20"/>
  <c r="S66" i="20"/>
  <c r="S61" i="20"/>
  <c r="S70" i="20"/>
  <c r="S69" i="20"/>
  <c r="S64" i="20"/>
  <c r="S63" i="20"/>
  <c r="S68" i="20"/>
  <c r="S67" i="20"/>
  <c r="S60" i="20"/>
  <c r="S71" i="20"/>
  <c r="S58" i="20"/>
  <c r="S65" i="20"/>
  <c r="S62" i="20"/>
  <c r="S59" i="20"/>
  <c r="P66" i="20"/>
  <c r="O66" i="20"/>
  <c r="N66" i="20"/>
  <c r="N61" i="20"/>
  <c r="O61" i="20"/>
  <c r="P61" i="20"/>
  <c r="P70" i="20"/>
  <c r="O70" i="20"/>
  <c r="N70" i="20"/>
  <c r="N69" i="20"/>
  <c r="P69" i="20"/>
  <c r="O69" i="20"/>
  <c r="N64" i="20"/>
  <c r="P64" i="20"/>
  <c r="O64" i="20"/>
  <c r="O63" i="20"/>
  <c r="P63" i="20"/>
  <c r="N63" i="20"/>
  <c r="N68" i="20"/>
  <c r="P68" i="20"/>
  <c r="O68" i="20"/>
  <c r="O67" i="20"/>
  <c r="P67" i="20"/>
  <c r="N67" i="20"/>
  <c r="O60" i="20"/>
  <c r="N60" i="20"/>
  <c r="P60" i="20"/>
  <c r="P71" i="20"/>
  <c r="O71" i="20"/>
  <c r="N71" i="20"/>
  <c r="P58" i="20"/>
  <c r="O58" i="20"/>
  <c r="N58" i="20"/>
  <c r="N65" i="20"/>
  <c r="P65" i="20"/>
  <c r="O65" i="20"/>
  <c r="P62" i="20"/>
  <c r="O62" i="20"/>
  <c r="N62" i="20"/>
  <c r="P59" i="20"/>
  <c r="O59" i="20"/>
  <c r="N59" i="20"/>
  <c r="K14" i="24"/>
  <c r="K15" i="24"/>
  <c r="K13" i="24"/>
  <c r="L10" i="24"/>
  <c r="L17" i="24" s="1"/>
  <c r="K12" i="24"/>
  <c r="G17" i="24"/>
  <c r="J17" i="24"/>
  <c r="K17" i="24"/>
  <c r="B18" i="24"/>
  <c r="I17" i="24"/>
  <c r="H17" i="24"/>
  <c r="J12" i="20"/>
  <c r="R12" i="20" s="1"/>
  <c r="Q38" i="20" l="1"/>
  <c r="Q23" i="20"/>
  <c r="Q27" i="20"/>
  <c r="Q19" i="20"/>
  <c r="Q39" i="20"/>
  <c r="Q24" i="20"/>
  <c r="Q29" i="20"/>
  <c r="Q40" i="20"/>
  <c r="Q16" i="20"/>
  <c r="Q26" i="20"/>
  <c r="Q41" i="20"/>
  <c r="R17" i="20"/>
  <c r="B18" i="20"/>
  <c r="Q17" i="20"/>
  <c r="Q21" i="20"/>
  <c r="Q31" i="20"/>
  <c r="Q32" i="20"/>
  <c r="Q13" i="20"/>
  <c r="Q15" i="20"/>
  <c r="Q36" i="20"/>
  <c r="Q14" i="20"/>
  <c r="Q37" i="20"/>
  <c r="Q20" i="20"/>
  <c r="Q33" i="20"/>
  <c r="Q34" i="20"/>
  <c r="Q30" i="20"/>
  <c r="Q25" i="20"/>
  <c r="Q22" i="20"/>
  <c r="Q28" i="20"/>
  <c r="Q54" i="20"/>
  <c r="Q46" i="20"/>
  <c r="Q58" i="20"/>
  <c r="Q45" i="20"/>
  <c r="Q53" i="20"/>
  <c r="Q50" i="20"/>
  <c r="Q47" i="20"/>
  <c r="Q57" i="20"/>
  <c r="Q67" i="20"/>
  <c r="Q66" i="20"/>
  <c r="Q55" i="20"/>
  <c r="Q44" i="20"/>
  <c r="Q56" i="20"/>
  <c r="Q49" i="20"/>
  <c r="Q43" i="20"/>
  <c r="Q62" i="20"/>
  <c r="Q63" i="20"/>
  <c r="Q51" i="20"/>
  <c r="Q42" i="20"/>
  <c r="Q48" i="20"/>
  <c r="Q52" i="20"/>
  <c r="Q64" i="20"/>
  <c r="Q61" i="20"/>
  <c r="Q71" i="20"/>
  <c r="Q70" i="20"/>
  <c r="Q65" i="20"/>
  <c r="Q60" i="20"/>
  <c r="Q68" i="20"/>
  <c r="Q69" i="20"/>
  <c r="Q59" i="20"/>
  <c r="K18" i="24"/>
  <c r="J18" i="24"/>
  <c r="G18" i="24"/>
  <c r="B19" i="24"/>
  <c r="I18" i="24"/>
  <c r="H18" i="24"/>
  <c r="L18" i="24"/>
  <c r="L12" i="24"/>
  <c r="M10" i="24"/>
  <c r="L13" i="24"/>
  <c r="L15" i="24"/>
  <c r="L14" i="24"/>
  <c r="L16" i="24"/>
  <c r="K12" i="20"/>
  <c r="R18" i="20" l="1"/>
  <c r="B19" i="20"/>
  <c r="N10" i="24"/>
  <c r="M12" i="24"/>
  <c r="M13" i="24"/>
  <c r="M14" i="24"/>
  <c r="M15" i="24"/>
  <c r="M16" i="24"/>
  <c r="M17" i="24"/>
  <c r="M18" i="24"/>
  <c r="G19" i="24"/>
  <c r="J19" i="24"/>
  <c r="N19" i="24"/>
  <c r="K19" i="24"/>
  <c r="M19" i="24"/>
  <c r="L19" i="24"/>
  <c r="B20" i="24"/>
  <c r="I19" i="24"/>
  <c r="H19" i="24"/>
  <c r="R19" i="20" l="1"/>
  <c r="B20" i="20"/>
  <c r="N13" i="24"/>
  <c r="N15" i="24"/>
  <c r="N12" i="24"/>
  <c r="N14" i="24"/>
  <c r="O10" i="24"/>
  <c r="N16" i="24"/>
  <c r="N17" i="24"/>
  <c r="N18" i="24"/>
  <c r="K20" i="24"/>
  <c r="N20" i="24"/>
  <c r="J20" i="24"/>
  <c r="O20" i="24"/>
  <c r="G20" i="24"/>
  <c r="B21" i="24"/>
  <c r="I20" i="24"/>
  <c r="H20" i="24"/>
  <c r="M20" i="24"/>
  <c r="L20" i="24"/>
  <c r="R20" i="20" l="1"/>
  <c r="B21" i="20"/>
  <c r="O21" i="24"/>
  <c r="G21" i="24"/>
  <c r="N21" i="24"/>
  <c r="N22" i="24" s="1"/>
  <c r="K21" i="24"/>
  <c r="K22" i="24" s="1"/>
  <c r="M21" i="24"/>
  <c r="M22" i="24" s="1"/>
  <c r="J21" i="24"/>
  <c r="J22" i="24" s="1"/>
  <c r="L21" i="24"/>
  <c r="L22" i="24" s="1"/>
  <c r="I21" i="24"/>
  <c r="I22" i="24" s="1"/>
  <c r="P21" i="24"/>
  <c r="H21" i="24"/>
  <c r="H22" i="24" s="1"/>
  <c r="O15" i="24"/>
  <c r="O12" i="24"/>
  <c r="O14" i="24"/>
  <c r="O13" i="24"/>
  <c r="P10" i="24"/>
  <c r="O16" i="24"/>
  <c r="O17" i="24"/>
  <c r="O18" i="24"/>
  <c r="O19" i="24"/>
  <c r="B22" i="20" l="1"/>
  <c r="R21" i="20"/>
  <c r="G22" i="24"/>
  <c r="P12" i="24"/>
  <c r="Q10" i="24"/>
  <c r="P14" i="24"/>
  <c r="P13" i="24"/>
  <c r="P15" i="24"/>
  <c r="P16" i="24"/>
  <c r="P17" i="24"/>
  <c r="P18" i="24"/>
  <c r="P19" i="24"/>
  <c r="P20" i="24"/>
  <c r="O22" i="24"/>
  <c r="B23" i="20" l="1"/>
  <c r="R22" i="20"/>
  <c r="Q12" i="24"/>
  <c r="R10" i="24"/>
  <c r="Q14" i="24"/>
  <c r="Q13" i="24"/>
  <c r="Q15" i="24"/>
  <c r="Q16" i="24"/>
  <c r="Q17" i="24"/>
  <c r="Q18" i="24"/>
  <c r="Q19" i="24"/>
  <c r="Q20" i="24"/>
  <c r="Q21" i="24"/>
  <c r="P22" i="24"/>
  <c r="L12" i="20" a="1"/>
  <c r="B24" i="20" l="1"/>
  <c r="R23" i="20"/>
  <c r="C7" i="20"/>
  <c r="R13" i="24"/>
  <c r="R15" i="24"/>
  <c r="R14" i="24"/>
  <c r="S10" i="24"/>
  <c r="R12" i="24"/>
  <c r="R16" i="24"/>
  <c r="R17" i="24"/>
  <c r="R18" i="24"/>
  <c r="R19" i="24"/>
  <c r="R20" i="24"/>
  <c r="R21" i="24"/>
  <c r="Q22" i="24"/>
  <c r="L12" i="20"/>
  <c r="B25" i="20" l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R24" i="20"/>
  <c r="C6" i="20"/>
  <c r="R22" i="24"/>
  <c r="S14" i="24"/>
  <c r="S13" i="24"/>
  <c r="T10" i="24"/>
  <c r="S15" i="24"/>
  <c r="S12" i="24"/>
  <c r="S16" i="24"/>
  <c r="S17" i="24"/>
  <c r="S18" i="24"/>
  <c r="S19" i="24"/>
  <c r="S20" i="24"/>
  <c r="S21" i="24"/>
  <c r="M12" i="20"/>
  <c r="S12" i="20" a="1"/>
  <c r="B43" i="20" l="1"/>
  <c r="R42" i="20"/>
  <c r="R25" i="20"/>
  <c r="S12" i="20"/>
  <c r="C8" i="20"/>
  <c r="S22" i="24"/>
  <c r="U10" i="24"/>
  <c r="T13" i="24"/>
  <c r="T12" i="24"/>
  <c r="T15" i="24"/>
  <c r="T14" i="24"/>
  <c r="T16" i="24"/>
  <c r="T17" i="24"/>
  <c r="T18" i="24"/>
  <c r="T19" i="24"/>
  <c r="T20" i="24"/>
  <c r="T21" i="24"/>
  <c r="O12" i="20"/>
  <c r="N12" i="20"/>
  <c r="P12" i="20"/>
  <c r="B44" i="20" l="1"/>
  <c r="R43" i="20"/>
  <c r="R26" i="20"/>
  <c r="C3" i="24" a="1"/>
  <c r="T22" i="24"/>
  <c r="V10" i="24"/>
  <c r="U13" i="24"/>
  <c r="U12" i="24"/>
  <c r="U14" i="24"/>
  <c r="U15" i="24"/>
  <c r="U16" i="24"/>
  <c r="U17" i="24"/>
  <c r="U18" i="24"/>
  <c r="U19" i="24"/>
  <c r="U20" i="24"/>
  <c r="U21" i="24"/>
  <c r="Q12" i="20"/>
  <c r="B45" i="20" l="1"/>
  <c r="R44" i="20"/>
  <c r="R27" i="20"/>
  <c r="C4" i="24"/>
  <c r="C3" i="24"/>
  <c r="C5" i="24"/>
  <c r="C7" i="24"/>
  <c r="C6" i="24"/>
  <c r="C8" i="24"/>
  <c r="V13" i="24"/>
  <c r="V14" i="24"/>
  <c r="V15" i="24"/>
  <c r="V12" i="24"/>
  <c r="W10" i="24"/>
  <c r="V16" i="24"/>
  <c r="V17" i="24"/>
  <c r="V18" i="24"/>
  <c r="V19" i="24"/>
  <c r="V20" i="24"/>
  <c r="V21" i="24"/>
  <c r="U22" i="24"/>
  <c r="B46" i="20" l="1"/>
  <c r="R45" i="20"/>
  <c r="R28" i="20"/>
  <c r="W15" i="24"/>
  <c r="W14" i="24"/>
  <c r="W12" i="24"/>
  <c r="X10" i="24"/>
  <c r="W13" i="24"/>
  <c r="W16" i="24"/>
  <c r="W17" i="24"/>
  <c r="W18" i="24"/>
  <c r="W19" i="24"/>
  <c r="W20" i="24"/>
  <c r="W21" i="24"/>
  <c r="V22" i="24"/>
  <c r="B47" i="20" l="1"/>
  <c r="R46" i="20"/>
  <c r="R29" i="20"/>
  <c r="X12" i="24"/>
  <c r="X14" i="24"/>
  <c r="F14" i="24" s="1"/>
  <c r="X13" i="24"/>
  <c r="F13" i="24" s="1"/>
  <c r="X15" i="24"/>
  <c r="F15" i="24" s="1"/>
  <c r="X16" i="24"/>
  <c r="F16" i="24" s="1"/>
  <c r="X17" i="24"/>
  <c r="F17" i="24" s="1"/>
  <c r="X18" i="24"/>
  <c r="F18" i="24" s="1"/>
  <c r="X19" i="24"/>
  <c r="F19" i="24" s="1"/>
  <c r="X20" i="24"/>
  <c r="F20" i="24" s="1"/>
  <c r="X21" i="24"/>
  <c r="F21" i="24" s="1"/>
  <c r="W22" i="24"/>
  <c r="B48" i="20" l="1"/>
  <c r="R47" i="20"/>
  <c r="R30" i="20"/>
  <c r="X22" i="24"/>
  <c r="F12" i="24"/>
  <c r="F22" i="24" s="1"/>
  <c r="B49" i="20" l="1"/>
  <c r="R48" i="20"/>
  <c r="R31" i="20"/>
  <c r="G11" i="24"/>
  <c r="H11" i="24" s="1"/>
  <c r="I11" i="24" s="1"/>
  <c r="J11" i="24" s="1"/>
  <c r="K11" i="24" s="1"/>
  <c r="L11" i="24" s="1"/>
  <c r="M11" i="24" s="1"/>
  <c r="N11" i="24" s="1"/>
  <c r="O11" i="24" s="1"/>
  <c r="P11" i="24" s="1"/>
  <c r="Q11" i="24" s="1"/>
  <c r="R11" i="24" s="1"/>
  <c r="S11" i="24" s="1"/>
  <c r="T11" i="24" s="1"/>
  <c r="U11" i="24" s="1"/>
  <c r="V11" i="24" s="1"/>
  <c r="W11" i="24" s="1"/>
  <c r="X11" i="24" s="1"/>
  <c r="B50" i="20" l="1"/>
  <c r="R49" i="20"/>
  <c r="R32" i="20"/>
  <c r="B51" i="20" l="1"/>
  <c r="R50" i="20"/>
  <c r="R33" i="20"/>
  <c r="B52" i="20" l="1"/>
  <c r="R51" i="20"/>
  <c r="R34" i="20"/>
  <c r="B53" i="20" l="1"/>
  <c r="R52" i="20"/>
  <c r="R35" i="20"/>
  <c r="B54" i="20" l="1"/>
  <c r="R53" i="20"/>
  <c r="R36" i="20"/>
  <c r="B55" i="20" l="1"/>
  <c r="R54" i="20"/>
  <c r="R37" i="20"/>
  <c r="B56" i="20" l="1"/>
  <c r="R55" i="20"/>
  <c r="R38" i="20"/>
  <c r="B57" i="20" l="1"/>
  <c r="R56" i="20"/>
  <c r="R39" i="20"/>
  <c r="R57" i="20" l="1"/>
  <c r="R41" i="20"/>
  <c r="R40" i="20"/>
  <c r="B59" i="20" l="1"/>
  <c r="R58" i="20"/>
  <c r="B60" i="20" l="1"/>
  <c r="R59" i="20"/>
  <c r="B61" i="20" l="1"/>
  <c r="R60" i="20"/>
  <c r="B62" i="20" l="1"/>
  <c r="R61" i="20"/>
  <c r="B63" i="20" l="1"/>
  <c r="R62" i="20"/>
  <c r="B64" i="20" l="1"/>
  <c r="R63" i="20"/>
  <c r="B65" i="20" l="1"/>
  <c r="R64" i="20"/>
  <c r="B66" i="20" l="1"/>
  <c r="R65" i="20"/>
  <c r="B67" i="20" l="1"/>
  <c r="R66" i="20"/>
  <c r="B68" i="20" l="1"/>
  <c r="R67" i="20"/>
  <c r="B69" i="20" l="1"/>
  <c r="R68" i="20"/>
  <c r="B70" i="20" l="1"/>
  <c r="R69" i="20"/>
  <c r="R70" i="20" l="1"/>
  <c r="B71" i="20"/>
  <c r="R71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749A26B6-D0A5-4DAB-9E03-AADD3C363ACC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<sst xmlns="http://schemas.openxmlformats.org/spreadsheetml/2006/main" count="206" uniqueCount="95">
  <si>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</si>
  <si>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</si>
  <si>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</si>
  <si>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</si>
  <si>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</si>
  <si>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</si>
  <si>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</si>
  <si>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</si>
  <si>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</si>
  <si>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</si>
  <si>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</si>
  <si>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</si>
  <si>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</si>
  <si>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</si>
  <si>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</si>
  <si>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</si>
  <si>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</si>
  <si>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</si>
  <si>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</si>
  <si>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</si>
  <si>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</si>
  <si>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</si>
  <si>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</si>
  <si>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</si>
  <si>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</si>
  <si>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</si>
  <si>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</si>
  <si>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</si>
  <si>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</si>
  <si>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</si>
  <si>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</si>
  <si>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</si>
  <si>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</si>
  <si>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</si>
  <si>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</si>
  <si>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</si>
  <si>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</si>
  <si>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</si>
  <si>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</si>
  <si>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</si>
  <si>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</si>
  <si>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</si>
  <si>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</si>
  <si>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</si>
  <si>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</si>
  <si>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</si>
  <si>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</si>
  <si>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</si>
  <si>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</si>
  <si>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Label</t>
  </si>
  <si>
    <t>Percent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</si>
  <si>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</si>
  <si>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</si>
  <si>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</si>
  <si>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</si>
  <si>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</si>
  <si>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</si>
  <si>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</si>
  <si>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</si>
  <si>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</t>
  </si>
  <si>
    <t>Role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</si>
  <si>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</si>
  <si>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</si>
  <si>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</si>
  <si>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</si>
  <si>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</si>
  <si>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</si>
  <si>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</si>
  <si>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</si>
  <si>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</si>
  <si>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</si>
  <si>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</si>
  <si>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</si>
  <si>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</si>
  <si>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</si>
  <si>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</si>
  <si>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</si>
  <si>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</si>
  <si>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</si>
  <si>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</si>
  <si>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</si>
  <si>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</si>
  <si>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</si>
  <si>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</si>
  <si>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</si>
  <si>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</si>
  <si>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</si>
  <si>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</si>
  <si>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</si>
  <si>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</si>
  <si>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</si>
  <si>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</si>
  <si>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Work Schedule Version 2.3</t>
  </si>
  <si>
    <t>Man-days</t>
  </si>
  <si>
    <t>Member10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</si>
</sst>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1" formatCode="[$-409]mmm\-yy;@"/>
    <numFmt numFmtId="192" formatCode="#,##0\ &quot;days&quot;"/>
    <numFmt numFmtId="193" formatCode="&quot;M&quot;00"/>
  </numFmts>
  <fonts count="2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b/>
      <sz val="10"/>
      <color rgb="FF000000"/>
      <name val="Calibri"/>
      <family val="2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120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7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7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0" fontId="4" fillId="0" borderId="21" xfId="0" applyFont="1" applyBorder="1" applyAlignment="1">
      <alignment vertical="center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89" fontId="14" fillId="6" borderId="23" xfId="1" applyNumberFormat="1" applyFont="1" applyFill="1" applyBorder="1" applyAlignment="1">
      <alignment horizontal="center" vertical="center" shrinkToFit="1"/>
    </xf>
    <xf numFmtId="189" fontId="14" fillId="6" borderId="22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7" fillId="3" borderId="1" xfId="0" applyNumberFormat="1" applyFont="1" applyFill="1" applyBorder="1" applyAlignment="1">
      <alignment horizontal="center" vertical="center" wrapText="1"/>
    </xf>
    <xf numFmtId="14" fontId="17" fillId="4" borderId="1" xfId="0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left" vertical="center" wrapText="1"/>
    </xf>
    <xf numFmtId="0" fontId="17" fillId="3" borderId="1" xfId="0" applyFont="1" applyFill="1" applyBorder="1" applyAlignment="1">
      <alignment horizontal="left" vertical="center" wrapText="1"/>
    </xf>
    <xf numFmtId="192" fontId="10" fillId="0" borderId="4" xfId="1" applyNumberFormat="1" applyFont="1" applyBorder="1" applyAlignment="1">
      <alignment horizontal="center" vertical="top"/>
    </xf>
    <xf numFmtId="192" fontId="10" fillId="0" borderId="6" xfId="1" applyNumberFormat="1" applyFont="1" applyBorder="1" applyAlignment="1">
      <alignment horizontal="center" vertical="top"/>
    </xf>
    <xf numFmtId="192" fontId="9" fillId="0" borderId="4" xfId="3" applyNumberFormat="1" applyFont="1" applyFill="1" applyBorder="1" applyAlignment="1">
      <alignment horizontal="center" vertical="top"/>
    </xf>
    <xf numFmtId="192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2" fontId="4" fillId="0" borderId="8" xfId="3" applyNumberFormat="1" applyFont="1" applyFill="1" applyBorder="1" applyAlignment="1">
      <alignment horizontal="center" vertical="top"/>
    </xf>
    <xf numFmtId="0" fontId="7" fillId="5" borderId="31" xfId="0" applyFont="1" applyFill="1" applyBorder="1" applyAlignment="1">
      <alignment horizontal="center" vertical="center" shrinkToFit="1"/>
    </xf>
    <xf numFmtId="43" fontId="10" fillId="0" borderId="4" xfId="1" applyFont="1" applyBorder="1" applyAlignment="1">
      <alignment horizontal="center" vertical="top"/>
    </xf>
    <xf numFmtId="43" fontId="10" fillId="0" borderId="13" xfId="1" applyFont="1" applyBorder="1" applyAlignment="1">
      <alignment horizontal="center" vertical="top"/>
    </xf>
    <xf numFmtId="43" fontId="10" fillId="0" borderId="6" xfId="1" applyFont="1" applyBorder="1" applyAlignment="1">
      <alignment horizontal="center" vertical="top"/>
    </xf>
    <xf numFmtId="43" fontId="10" fillId="0" borderId="15" xfId="1" applyFont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2" fontId="9" fillId="0" borderId="24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25" xfId="2" applyNumberFormat="1" applyFont="1" applyFill="1" applyBorder="1" applyAlignment="1">
      <alignment horizontal="center" vertical="top"/>
    </xf>
    <xf numFmtId="189" fontId="10" fillId="0" borderId="4" xfId="1" applyNumberFormat="1" applyFont="1" applyBorder="1" applyAlignment="1">
      <alignment horizontal="left" vertical="top"/>
    </xf>
    <xf numFmtId="189" fontId="10" fillId="0" borderId="6" xfId="1" applyNumberFormat="1" applyFont="1" applyBorder="1" applyAlignment="1">
      <alignment horizontal="left" vertical="top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93" fontId="7" fillId="5" borderId="11" xfId="0" applyNumberFormat="1" applyFont="1" applyFill="1" applyBorder="1" applyAlignment="1">
      <alignment horizontal="center" vertical="center"/>
    </xf>
    <xf numFmtId="193" fontId="7" fillId="5" borderId="29" xfId="0" applyNumberFormat="1" applyFont="1" applyFill="1" applyBorder="1" applyAlignment="1">
      <alignment horizontal="center" vertical="center"/>
    </xf>
    <xf numFmtId="191" fontId="7" fillId="5" borderId="12" xfId="0" applyNumberFormat="1" applyFont="1" applyFill="1" applyBorder="1" applyAlignment="1">
      <alignment horizontal="center" vertical="center"/>
    </xf>
    <xf numFmtId="191" fontId="7" fillId="5" borderId="42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34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20" fillId="0" borderId="35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20" fillId="0" borderId="36" xfId="0" applyNumberFormat="1" applyFont="1" applyBorder="1" applyAlignment="1">
      <alignment vertical="top" shrinkToFit="1"/>
    </xf>
    <xf numFmtId="192" fontId="21" fillId="8" borderId="31" xfId="3" applyNumberFormat="1" applyFont="1" applyFill="1" applyBorder="1" applyAlignment="1">
      <alignment horizontal="center" vertical="top"/>
    </xf>
    <xf numFmtId="43" fontId="22" fillId="8" borderId="31" xfId="1" applyFont="1" applyFill="1" applyBorder="1" applyAlignment="1">
      <alignment horizontal="center" vertical="top"/>
    </xf>
    <xf numFmtId="43" fontId="22" fillId="8" borderId="32" xfId="1" applyFont="1" applyFill="1" applyBorder="1" applyAlignment="1">
      <alignment horizontal="center" vertical="top"/>
    </xf>
    <xf numFmtId="189" fontId="4" fillId="0" borderId="0" xfId="0" applyNumberFormat="1" applyFont="1" applyAlignment="1">
      <alignment vertical="center"/>
    </xf>
    <xf numFmtId="0" fontId="4" fillId="0" borderId="44" xfId="0" applyFont="1" applyBorder="1" applyAlignment="1">
      <alignment vertical="center"/>
    </xf>
    <xf numFmtId="0" fontId="23" fillId="5" borderId="30" xfId="0" applyFont="1" applyFill="1" applyBorder="1" applyAlignment="1">
      <alignment horizontal="center" vertical="center" wrapText="1" shrinkToFit="1"/>
    </xf>
    <xf numFmtId="0" fontId="7" fillId="5" borderId="32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91" fontId="15" fillId="0" borderId="0" xfId="0" applyNumberFormat="1" applyFont="1" applyAlignment="1">
      <alignment horizontal="center" vertical="center"/>
    </xf>
    <xf numFmtId="192" fontId="4" fillId="0" borderId="14" xfId="1" applyNumberFormat="1" applyFont="1" applyBorder="1" applyAlignment="1">
      <alignment horizontal="right" vertical="top" shrinkToFit="1"/>
    </xf>
    <xf numFmtId="192" fontId="4" fillId="0" borderId="0" xfId="3" applyNumberFormat="1" applyFont="1" applyFill="1" applyBorder="1" applyAlignment="1">
      <alignment horizontal="center" vertical="top"/>
    </xf>
    <xf numFmtId="43" fontId="10" fillId="0" borderId="0" xfId="1" applyFont="1" applyFill="1" applyBorder="1" applyAlignment="1">
      <alignment horizontal="center" vertical="top"/>
    </xf>
    <xf numFmtId="192" fontId="9" fillId="0" borderId="13" xfId="1" applyNumberFormat="1" applyFont="1" applyBorder="1" applyAlignment="1">
      <alignment horizontal="right" vertical="top" shrinkToFit="1"/>
    </xf>
    <xf numFmtId="192" fontId="9" fillId="0" borderId="0" xfId="3" applyNumberFormat="1" applyFont="1" applyFill="1" applyBorder="1" applyAlignment="1">
      <alignment horizontal="center" vertical="top"/>
    </xf>
    <xf numFmtId="192" fontId="9" fillId="0" borderId="28" xfId="1" applyNumberFormat="1" applyFont="1" applyBorder="1" applyAlignment="1">
      <alignment horizontal="right" vertical="top" shrinkToFit="1"/>
    </xf>
    <xf numFmtId="192" fontId="21" fillId="8" borderId="14" xfId="1" applyNumberFormat="1" applyFont="1" applyFill="1" applyBorder="1" applyAlignment="1">
      <alignment horizontal="right" vertical="top" shrinkToFit="1"/>
    </xf>
    <xf numFmtId="192" fontId="21" fillId="8" borderId="15" xfId="1" applyNumberFormat="1" applyFont="1" applyFill="1" applyBorder="1" applyAlignment="1">
      <alignment horizontal="right" vertical="top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wrapText="1" shrinkToFit="1"/>
    </xf>
    <xf numFmtId="0" fontId="6" fillId="6" borderId="27" xfId="0" applyFont="1" applyFill="1" applyBorder="1" applyAlignment="1">
      <alignment horizontal="center" vertical="center" shrinkToFit="1"/>
    </xf>
    <xf numFmtId="0" fontId="6" fillId="6" borderId="21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8" fillId="7" borderId="20" xfId="0" applyFont="1" applyFill="1" applyBorder="1" applyAlignment="1">
      <alignment horizontal="center" vertical="center" shrinkToFit="1"/>
    </xf>
    <xf numFmtId="0" fontId="8" fillId="7" borderId="26" xfId="0" applyFont="1" applyFill="1" applyBorder="1" applyAlignment="1">
      <alignment horizontal="center" vertical="center" shrinkToFit="1"/>
    </xf>
    <xf numFmtId="0" fontId="8" fillId="7" borderId="37" xfId="0" applyFont="1" applyFill="1" applyBorder="1" applyAlignment="1">
      <alignment horizontal="center" vertical="center" shrinkToFit="1"/>
    </xf>
    <xf numFmtId="0" fontId="7" fillId="5" borderId="39" xfId="0" applyFont="1" applyFill="1" applyBorder="1" applyAlignment="1">
      <alignment horizontal="center" vertical="center" shrinkToFit="1"/>
    </xf>
    <xf numFmtId="0" fontId="7" fillId="5" borderId="41" xfId="0" applyFont="1" applyFill="1" applyBorder="1" applyAlignment="1">
      <alignment horizontal="center" vertical="center" shrinkToFit="1"/>
    </xf>
    <xf numFmtId="1" fontId="21" fillId="8" borderId="30" xfId="0" applyNumberFormat="1" applyFont="1" applyFill="1" applyBorder="1" applyAlignment="1">
      <alignment horizontal="center" vertical="top" wrapText="1"/>
    </xf>
    <xf numFmtId="1" fontId="21" fillId="8" borderId="43" xfId="0" applyNumberFormat="1" applyFont="1" applyFill="1" applyBorder="1" applyAlignment="1">
      <alignment horizontal="center" vertical="top" wrapText="1"/>
    </xf>
    <xf numFmtId="1" fontId="21" fillId="8" borderId="33" xfId="0" applyNumberFormat="1" applyFont="1" applyFill="1" applyBorder="1" applyAlignment="1">
      <alignment horizontal="center" vertical="top" wrapText="1"/>
    </xf>
    <xf numFmtId="0" fontId="21" fillId="8" borderId="7" xfId="0" applyFont="1" applyFill="1" applyBorder="1" applyAlignment="1">
      <alignment horizontal="left" vertical="top" wrapText="1"/>
    </xf>
    <xf numFmtId="0" fontId="21" fillId="8" borderId="45" xfId="0" applyFont="1" applyFill="1" applyBorder="1" applyAlignment="1">
      <alignment horizontal="left" vertical="top" wrapText="1"/>
    </xf>
    <xf numFmtId="0" fontId="21" fillId="8" borderId="5" xfId="0" applyFont="1" applyFill="1" applyBorder="1" applyAlignment="1">
      <alignment horizontal="left" vertical="top" wrapText="1"/>
    </xf>
    <xf numFmtId="0" fontId="21" fillId="8" borderId="36" xfId="0" applyFont="1" applyFill="1" applyBorder="1" applyAlignment="1">
      <alignment horizontal="left" vertical="top" wrapText="1"/>
    </xf>
    <xf numFmtId="0" fontId="6" fillId="6" borderId="38" xfId="0" applyFont="1" applyFill="1" applyBorder="1" applyAlignment="1">
      <alignment horizontal="center" vertical="center" shrinkToFit="1"/>
    </xf>
    <xf numFmtId="0" fontId="6" fillId="6" borderId="40" xfId="0" applyFont="1" applyFill="1" applyBorder="1" applyAlignment="1">
      <alignment horizontal="center" vertical="center" shrinkToFi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1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165100</xdr:rowOff>
        </xdr:from>
        <xdr:to>
          <xdr:col>3</xdr:col>
          <xdr:colOff>1536700</xdr:colOff>
          <xdr:row>3</xdr:row>
          <xdr:rowOff>146050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Create Gantt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190500</xdr:rowOff>
        </xdr:from>
        <xdr:to>
          <xdr:col>3</xdr:col>
          <xdr:colOff>1536700</xdr:colOff>
          <xdr:row>5</xdr:row>
          <xdr:rowOff>171450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19050</xdr:rowOff>
        </xdr:from>
        <xdr:to>
          <xdr:col>3</xdr:col>
          <xdr:colOff>1536700</xdr:colOff>
          <xdr:row>8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1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Man-day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39" t="s">
        <v>0</v>
      </c>
      <c r="B1" s="39" t="s">
        <v>1</v>
      </c>
    </row>
    <row r="2" spans="1:2" ht="15" customHeight="1" x14ac:dyDescent="0.3">
      <c r="A2" s="40" t="s">
        <v>2</v>
      </c>
      <c r="B2" s="41">
        <v>44564</v>
      </c>
    </row>
    <row r="3" spans="1:2" ht="15" customHeight="1" x14ac:dyDescent="0.3">
      <c r="A3" s="40" t="s">
        <v>3</v>
      </c>
      <c r="B3" s="42">
        <v>44608</v>
      </c>
    </row>
    <row r="4" spans="1:2" ht="15" customHeight="1" x14ac:dyDescent="0.3">
      <c r="A4" s="40" t="s">
        <v>4</v>
      </c>
      <c r="B4" s="41">
        <v>44657</v>
      </c>
    </row>
    <row r="5" spans="1:2" ht="15" customHeight="1" x14ac:dyDescent="0.3">
      <c r="A5" s="40" t="s">
        <v>5</v>
      </c>
      <c r="B5" s="42">
        <v>44664</v>
      </c>
    </row>
    <row r="6" spans="1:2" ht="15" customHeight="1" x14ac:dyDescent="0.3">
      <c r="A6" s="40" t="s">
        <v>5</v>
      </c>
      <c r="B6" s="41">
        <v>44665</v>
      </c>
    </row>
    <row r="7" spans="1:2" ht="15" customHeight="1" x14ac:dyDescent="0.3">
      <c r="A7" s="43" t="s">
        <v>5</v>
      </c>
      <c r="B7" s="42">
        <v>44666</v>
      </c>
    </row>
    <row r="8" spans="1:2" ht="15" customHeight="1" x14ac:dyDescent="0.3">
      <c r="A8" s="44" t="s">
        <v>6</v>
      </c>
      <c r="B8" s="41">
        <v>44683</v>
      </c>
    </row>
    <row r="9" spans="1:2" ht="15" customHeight="1" x14ac:dyDescent="0.3">
      <c r="A9" s="40" t="s">
        <v>7</v>
      </c>
      <c r="B9" s="42">
        <v>44685</v>
      </c>
    </row>
    <row r="10" spans="1:2" ht="15" customHeight="1" x14ac:dyDescent="0.3">
      <c r="A10" s="40" t="s">
        <v>8</v>
      </c>
      <c r="B10" s="41">
        <v>44697</v>
      </c>
    </row>
    <row r="11" spans="1:2" ht="15" customHeight="1" x14ac:dyDescent="0.3">
      <c r="A11" s="40" t="s">
        <v>9</v>
      </c>
      <c r="B11" s="42">
        <v>44715</v>
      </c>
    </row>
    <row r="12" spans="1:2" ht="15" customHeight="1" x14ac:dyDescent="0.3">
      <c r="A12" s="40" t="s">
        <v>10</v>
      </c>
      <c r="B12" s="41">
        <v>44755</v>
      </c>
    </row>
    <row r="13" spans="1:2" ht="15" customHeight="1" x14ac:dyDescent="0.3">
      <c r="A13" s="40" t="s">
        <v>11</v>
      </c>
      <c r="B13" s="42">
        <v>44770</v>
      </c>
    </row>
    <row r="14" spans="1:2" ht="15" customHeight="1" x14ac:dyDescent="0.3">
      <c r="A14" s="40" t="s">
        <v>12</v>
      </c>
      <c r="B14" s="41">
        <v>44771</v>
      </c>
    </row>
    <row r="15" spans="1:2" ht="15" customHeight="1" x14ac:dyDescent="0.3">
      <c r="A15" s="40" t="s">
        <v>13</v>
      </c>
      <c r="B15" s="42">
        <v>44785</v>
      </c>
    </row>
    <row r="16" spans="1:2" ht="15" customHeight="1" x14ac:dyDescent="0.3">
      <c r="A16" s="40" t="s">
        <v>14</v>
      </c>
      <c r="B16" s="41">
        <v>44841</v>
      </c>
    </row>
    <row r="17" spans="1:2" ht="15" customHeight="1" x14ac:dyDescent="0.3">
      <c r="A17" s="40" t="s">
        <v>15</v>
      </c>
      <c r="B17" s="41">
        <v>44847</v>
      </c>
    </row>
    <row r="18" spans="1:2" ht="15" customHeight="1" x14ac:dyDescent="0.3">
      <c r="A18" s="40" t="s">
        <v>16</v>
      </c>
      <c r="B18" s="42">
        <v>44848</v>
      </c>
    </row>
    <row r="19" spans="1:2" ht="15" customHeight="1" x14ac:dyDescent="0.3">
      <c r="A19" s="40" t="s">
        <v>17</v>
      </c>
      <c r="B19" s="41">
        <v>44858</v>
      </c>
    </row>
    <row r="20" spans="1:2" ht="15" customHeight="1" x14ac:dyDescent="0.3">
      <c r="A20" s="40" t="s">
        <v>18</v>
      </c>
      <c r="B20" s="42">
        <v>44900</v>
      </c>
    </row>
    <row r="21" spans="1:2" ht="15" customHeight="1" x14ac:dyDescent="0.3">
      <c r="A21" s="40" t="s">
        <v>19</v>
      </c>
      <c r="B21" s="41">
        <v>44907</v>
      </c>
    </row>
    <row r="22" spans="1:2" ht="15" customHeight="1" x14ac:dyDescent="0.3">
      <c r="A22" s="40" t="s">
        <v>20</v>
      </c>
      <c r="B22" s="42">
        <v>44928</v>
      </c>
    </row>
    <row r="23" spans="1:2" ht="15" customHeight="1" x14ac:dyDescent="0.3">
      <c r="A23" s="40" t="s">
        <v>21</v>
      </c>
      <c r="B23" s="42">
        <v>44991</v>
      </c>
    </row>
    <row r="24" spans="1:2" ht="15" customHeight="1" x14ac:dyDescent="0.3">
      <c r="A24" s="40" t="s">
        <v>4</v>
      </c>
      <c r="B24" s="42">
        <v>45022</v>
      </c>
    </row>
    <row r="25" spans="1:2" ht="15" customHeight="1" x14ac:dyDescent="0.3">
      <c r="A25" s="40" t="s">
        <v>5</v>
      </c>
      <c r="B25" s="42">
        <v>45029</v>
      </c>
    </row>
    <row r="26" spans="1:2" ht="15" customHeight="1" x14ac:dyDescent="0.3">
      <c r="A26" s="40" t="s">
        <v>5</v>
      </c>
      <c r="B26" s="42">
        <v>45030</v>
      </c>
    </row>
    <row r="27" spans="1:2" ht="15" customHeight="1" x14ac:dyDescent="0.3">
      <c r="A27" s="40" t="s">
        <v>22</v>
      </c>
      <c r="B27" s="42">
        <v>45047</v>
      </c>
    </row>
    <row r="28" spans="1:2" ht="15" customHeight="1" x14ac:dyDescent="0.3">
      <c r="A28" s="40" t="s">
        <v>23</v>
      </c>
      <c r="B28" s="42">
        <v>45050</v>
      </c>
    </row>
    <row r="29" spans="1:2" ht="15" customHeight="1" x14ac:dyDescent="0.3">
      <c r="A29" s="40" t="s">
        <v>24</v>
      </c>
      <c r="B29" s="42">
        <v>45082</v>
      </c>
    </row>
    <row r="30" spans="1:2" ht="15" customHeight="1" x14ac:dyDescent="0.3">
      <c r="A30" s="40" t="s">
        <v>11</v>
      </c>
      <c r="B30" s="42">
        <v>45135</v>
      </c>
    </row>
    <row r="31" spans="1:2" ht="15" customHeight="1" x14ac:dyDescent="0.3">
      <c r="A31" s="40" t="s">
        <v>25</v>
      </c>
      <c r="B31" s="42">
        <v>45139</v>
      </c>
    </row>
    <row r="32" spans="1:2" ht="15" customHeight="1" x14ac:dyDescent="0.3">
      <c r="A32" s="40" t="s">
        <v>26</v>
      </c>
      <c r="B32" s="42">
        <v>45152</v>
      </c>
    </row>
    <row r="33" spans="1:2" ht="15" customHeight="1" x14ac:dyDescent="0.3">
      <c r="A33" s="40" t="s">
        <v>15</v>
      </c>
      <c r="B33" s="41">
        <v>45212</v>
      </c>
    </row>
    <row r="34" spans="1:2" ht="15" customHeight="1" x14ac:dyDescent="0.3">
      <c r="A34" s="40" t="s">
        <v>27</v>
      </c>
      <c r="B34" s="42">
        <v>45222</v>
      </c>
    </row>
    <row r="35" spans="1:2" ht="15" customHeight="1" x14ac:dyDescent="0.3">
      <c r="A35" s="40" t="s">
        <v>18</v>
      </c>
      <c r="B35" s="42">
        <v>45265</v>
      </c>
    </row>
    <row r="36" spans="1:2" ht="15" customHeight="1" x14ac:dyDescent="0.3">
      <c r="A36" s="40" t="s">
        <v>19</v>
      </c>
      <c r="B36" s="42">
        <v>45271</v>
      </c>
    </row>
    <row r="37" spans="1:2" ht="15" customHeight="1" x14ac:dyDescent="0.3">
      <c r="A37" s="40" t="s">
        <v>20</v>
      </c>
      <c r="B37" s="42">
        <v>45289</v>
      </c>
    </row>
    <row r="38" spans="1:2" ht="15" customHeight="1" x14ac:dyDescent="0.3">
      <c r="A38" s="40" t="s">
        <v>20</v>
      </c>
      <c r="B38" s="42">
        <v>45292</v>
      </c>
    </row>
    <row r="39" spans="1:2" ht="15" customHeight="1" x14ac:dyDescent="0.3">
      <c r="A39" s="40" t="s">
        <v>21</v>
      </c>
      <c r="B39" s="42">
        <v>45348</v>
      </c>
    </row>
    <row r="40" spans="1:2" ht="15" customHeight="1" x14ac:dyDescent="0.3">
      <c r="A40" s="40" t="s">
        <v>4</v>
      </c>
      <c r="B40" s="42">
        <v>45390</v>
      </c>
    </row>
    <row r="41" spans="1:2" ht="15" customHeight="1" x14ac:dyDescent="0.3">
      <c r="A41" s="40" t="s">
        <v>5</v>
      </c>
      <c r="B41" s="42">
        <v>45394</v>
      </c>
    </row>
    <row r="42" spans="1:2" ht="15" customHeight="1" x14ac:dyDescent="0.3">
      <c r="A42" s="40" t="s">
        <v>5</v>
      </c>
      <c r="B42" s="42">
        <v>45397</v>
      </c>
    </row>
    <row r="43" spans="1:2" ht="15" customHeight="1" x14ac:dyDescent="0.3">
      <c r="A43" s="40" t="s">
        <v>22</v>
      </c>
      <c r="B43" s="42">
        <v>45413</v>
      </c>
    </row>
    <row r="44" spans="1:2" ht="15" customHeight="1" x14ac:dyDescent="0.3">
      <c r="A44" s="40" t="s">
        <v>23</v>
      </c>
      <c r="B44" s="42">
        <v>45418</v>
      </c>
    </row>
    <row r="45" spans="1:2" ht="15" customHeight="1" x14ac:dyDescent="0.3">
      <c r="A45" s="40" t="s">
        <v>24</v>
      </c>
      <c r="B45" s="42">
        <v>45434</v>
      </c>
    </row>
    <row r="46" spans="1:2" ht="15" customHeight="1" x14ac:dyDescent="0.3">
      <c r="A46" s="40" t="s">
        <v>9</v>
      </c>
      <c r="B46" s="42">
        <v>45446</v>
      </c>
    </row>
    <row r="47" spans="1:2" ht="15" customHeight="1" x14ac:dyDescent="0.3">
      <c r="A47" s="40" t="s">
        <v>25</v>
      </c>
      <c r="B47" s="42">
        <v>45495</v>
      </c>
    </row>
    <row r="48" spans="1:2" ht="15" customHeight="1" x14ac:dyDescent="0.3">
      <c r="A48" s="40" t="s">
        <v>11</v>
      </c>
      <c r="B48" s="42">
        <v>45502</v>
      </c>
    </row>
    <row r="49" spans="1:2" ht="15" customHeight="1" x14ac:dyDescent="0.3">
      <c r="A49" s="40" t="s">
        <v>26</v>
      </c>
      <c r="B49" s="42">
        <v>45516</v>
      </c>
    </row>
    <row r="50" spans="1:2" ht="15" customHeight="1" x14ac:dyDescent="0.3">
      <c r="A50" s="40" t="s">
        <v>15</v>
      </c>
      <c r="B50" s="42">
        <v>45579</v>
      </c>
    </row>
    <row r="51" spans="1:2" ht="15" customHeight="1" x14ac:dyDescent="0.3">
      <c r="A51" s="40" t="s">
        <v>27</v>
      </c>
      <c r="B51" s="42">
        <v>45588</v>
      </c>
    </row>
    <row r="52" spans="1:2" ht="15" customHeight="1" x14ac:dyDescent="0.3">
      <c r="A52" s="40" t="s">
        <v>28</v>
      </c>
      <c r="B52" s="42">
        <v>45590</v>
      </c>
    </row>
    <row r="53" spans="1:2" ht="15" customHeight="1" x14ac:dyDescent="0.3">
      <c r="A53" s="40" t="s">
        <v>18</v>
      </c>
      <c r="B53" s="42">
        <v>45631</v>
      </c>
    </row>
    <row r="54" spans="1:2" ht="15" customHeight="1" x14ac:dyDescent="0.3">
      <c r="A54" s="40" t="s">
        <v>19</v>
      </c>
      <c r="B54" s="42">
        <v>45636</v>
      </c>
    </row>
    <row r="55" spans="1:2" ht="15" customHeight="1" x14ac:dyDescent="0.3">
      <c r="A55" s="40" t="s">
        <v>20</v>
      </c>
      <c r="B55" s="42">
        <v>45657</v>
      </c>
    </row>
    <row r="56" spans="1:2" ht="15" customHeight="1" x14ac:dyDescent="0.3">
      <c r="A56" s="40" t="s">
        <v>29</v>
      </c>
      <c r="B56" s="42">
        <v>45658</v>
      </c>
    </row>
    <row r="57" spans="1:2" ht="15" customHeight="1" x14ac:dyDescent="0.3">
      <c r="A57" s="40" t="s">
        <v>21</v>
      </c>
      <c r="B57" s="42">
        <v>45700</v>
      </c>
    </row>
    <row r="58" spans="1:2" ht="15" customHeight="1" x14ac:dyDescent="0.3">
      <c r="A58" s="40" t="s">
        <v>30</v>
      </c>
      <c r="B58" s="42">
        <v>45754</v>
      </c>
    </row>
    <row r="59" spans="1:2" ht="15" customHeight="1" x14ac:dyDescent="0.3">
      <c r="A59" s="40" t="s">
        <v>5</v>
      </c>
      <c r="B59" s="42">
        <v>45761</v>
      </c>
    </row>
    <row r="60" spans="1:2" ht="15" customHeight="1" x14ac:dyDescent="0.3">
      <c r="A60" s="40" t="s">
        <v>5</v>
      </c>
      <c r="B60" s="42">
        <v>45762</v>
      </c>
    </row>
    <row r="61" spans="1:2" ht="15" customHeight="1" x14ac:dyDescent="0.3">
      <c r="A61" s="40" t="s">
        <v>22</v>
      </c>
      <c r="B61" s="42">
        <v>45778</v>
      </c>
    </row>
    <row r="62" spans="1:2" ht="15" customHeight="1" x14ac:dyDescent="0.3">
      <c r="A62" s="40" t="s">
        <v>31</v>
      </c>
      <c r="B62" s="42">
        <v>45782</v>
      </c>
    </row>
    <row r="63" spans="1:2" ht="15" customHeight="1" x14ac:dyDescent="0.3">
      <c r="A63" s="40" t="s">
        <v>32</v>
      </c>
      <c r="B63" s="42">
        <v>45789</v>
      </c>
    </row>
    <row r="64" spans="1:2" ht="15" customHeight="1" x14ac:dyDescent="0.3">
      <c r="A64" s="40" t="s">
        <v>33</v>
      </c>
      <c r="B64" s="42">
        <v>45810</v>
      </c>
    </row>
    <row r="65" spans="1:2" ht="15" customHeight="1" x14ac:dyDescent="0.3">
      <c r="A65" s="40" t="s">
        <v>9</v>
      </c>
      <c r="B65" s="42">
        <v>45811</v>
      </c>
    </row>
    <row r="66" spans="1:2" ht="15" customHeight="1" x14ac:dyDescent="0.3">
      <c r="A66" s="40" t="s">
        <v>25</v>
      </c>
      <c r="B66" s="42">
        <v>45848</v>
      </c>
    </row>
    <row r="67" spans="1:2" ht="15" customHeight="1" x14ac:dyDescent="0.3">
      <c r="A67" s="40" t="s">
        <v>11</v>
      </c>
      <c r="B67" s="42">
        <v>45866</v>
      </c>
    </row>
    <row r="68" spans="1:2" ht="15" customHeight="1" x14ac:dyDescent="0.3">
      <c r="A68" s="40" t="s">
        <v>33</v>
      </c>
      <c r="B68" s="42">
        <v>45880</v>
      </c>
    </row>
    <row r="69" spans="1:2" ht="15" customHeight="1" x14ac:dyDescent="0.3">
      <c r="A69" s="40" t="s">
        <v>26</v>
      </c>
      <c r="B69" s="42">
        <v>45881</v>
      </c>
    </row>
    <row r="70" spans="1:2" ht="15" customHeight="1" x14ac:dyDescent="0.3">
      <c r="A70" s="40" t="s">
        <v>15</v>
      </c>
      <c r="B70" s="42">
        <v>45943</v>
      </c>
    </row>
    <row r="71" spans="1:2" ht="15" customHeight="1" x14ac:dyDescent="0.3">
      <c r="A71" s="40" t="s">
        <v>27</v>
      </c>
      <c r="B71" s="42">
        <v>45953</v>
      </c>
    </row>
    <row r="72" spans="1:2" ht="15" customHeight="1" x14ac:dyDescent="0.3">
      <c r="A72" s="40" t="s">
        <v>18</v>
      </c>
      <c r="B72" s="42">
        <v>45996</v>
      </c>
    </row>
    <row r="73" spans="1:2" ht="15" customHeight="1" x14ac:dyDescent="0.3">
      <c r="A73" s="40" t="s">
        <v>34</v>
      </c>
      <c r="B73" s="42">
        <v>46001</v>
      </c>
    </row>
    <row r="74" spans="1:2" ht="15" customHeight="1" x14ac:dyDescent="0.3">
      <c r="A74" s="40" t="s">
        <v>35</v>
      </c>
      <c r="B74" s="42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1:AF72"/>
  <sheetViews>
    <sheetView showGridLines="0" tabSelected="1" zoomScaleNormal="100" workbookViewId="0">
      <selection activeCell="E32" sqref="E32"/>
    </sheetView>
  </sheetViews>
  <sheetFormatPr defaultColWidth="8" defaultRowHeight="13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customWidth="1" outlineLevel="1"/>
    <col min="6" max="6" width="10.58203125" style="1" customWidth="1"/>
    <col min="7" max="8" width="7.58203125" style="1" customWidth="1"/>
    <col min="9" max="10" width="10.58203125" style="1" customWidth="1"/>
    <col min="11" max="13" width="7.58203125" style="1" customWidth="1"/>
    <col min="14" max="19" width="7.58203125" style="1" customWidth="1" outlineLevel="1"/>
    <col min="20" max="21" width="7.58203125" style="1" customWidth="1"/>
    <col min="22" max="31" width="7.58203125" style="1" customWidth="1" outlineLevel="1"/>
    <col min="32" max="32" width="3.58203125" style="1" customWidth="1"/>
    <col min="33" max="16384" width="8" style="1"/>
  </cols>
  <sheetData>
    <row r="1" spans="2:32" x14ac:dyDescent="0.3">
      <c r="B1" s="1" t="s">
        <v>92</v>
      </c>
    </row>
    <row r="2" spans="2:32" ht="15" customHeight="1" x14ac:dyDescent="0.3">
      <c r="B2" s="23" t="s">
        <v>52</v>
      </c>
    </row>
    <row r="3" spans="2:32" ht="15" customHeight="1" x14ac:dyDescent="0.3">
      <c r="B3" s="25" t="s">
        <v>53</v>
      </c>
      <c r="C3" s="26"/>
    </row>
    <row r="4" spans="2:32" ht="15" customHeight="1" x14ac:dyDescent="0.3">
      <c r="B4" s="29" t="s">
        <v>54</v>
      </c>
      <c r="C4" s="30"/>
    </row>
    <row r="5" spans="2:32" ht="15" customHeight="1" x14ac:dyDescent="0.3">
      <c r="B5" s="24" t="s">
        <v>55</v>
      </c>
      <c r="C5" s="27">
        <f ca="1">TODAY()</f>
        <v>45825</v>
      </c>
      <c r="AD5" s="35"/>
    </row>
    <row r="6" spans="2:32" ht="15" customHeight="1" x14ac:dyDescent="0.3">
      <c r="B6" s="24" t="s">
        <v>39</v>
      </c>
      <c r="C6" s="27">
        <f>MIN(I12:J71)</f>
        <v>0</v>
      </c>
    </row>
    <row r="7" spans="2:32" ht="15" customHeight="1" x14ac:dyDescent="0.3">
      <c r="B7" s="24" t="s">
        <v>51</v>
      </c>
      <c r="C7" s="27">
        <f>MAX(I12:J71)</f>
        <v>0</v>
      </c>
    </row>
    <row r="8" spans="2:32" ht="15" customHeight="1" x14ac:dyDescent="0.3">
      <c r="B8" s="28" t="s">
        <v>42</v>
      </c>
      <c r="C8" s="34" t="str">
        <f>TEXT(C7-C6,"#,##0") &amp; " days"</f>
        <v>0 days</v>
      </c>
    </row>
    <row r="9" spans="2:32" ht="15" customHeight="1" x14ac:dyDescent="0.3"/>
    <row r="10" spans="2:32" ht="15" customHeight="1" x14ac:dyDescent="0.3">
      <c r="B10" s="96" t="s">
        <v>45</v>
      </c>
      <c r="C10" s="98" t="s">
        <v>37</v>
      </c>
      <c r="D10" s="98" t="s">
        <v>48</v>
      </c>
      <c r="E10" s="98" t="s">
        <v>57</v>
      </c>
      <c r="F10" s="98" t="s">
        <v>36</v>
      </c>
      <c r="G10" s="98" t="s">
        <v>42</v>
      </c>
      <c r="H10" s="98" t="s">
        <v>56</v>
      </c>
      <c r="I10" s="103" t="s">
        <v>39</v>
      </c>
      <c r="J10" s="103" t="s">
        <v>51</v>
      </c>
      <c r="K10" s="105" t="s">
        <v>58</v>
      </c>
      <c r="L10" s="103" t="s">
        <v>40</v>
      </c>
      <c r="M10" s="98" t="s">
        <v>41</v>
      </c>
      <c r="N10" s="106" t="s">
        <v>38</v>
      </c>
      <c r="O10" s="107"/>
      <c r="P10" s="107"/>
      <c r="Q10" s="107"/>
      <c r="R10" s="107"/>
      <c r="S10" s="108"/>
      <c r="T10" s="98" t="s">
        <v>70</v>
      </c>
      <c r="U10" s="100" t="s">
        <v>71</v>
      </c>
      <c r="V10" s="101" t="s">
        <v>93</v>
      </c>
      <c r="W10" s="102"/>
      <c r="X10" s="102"/>
      <c r="Y10" s="102"/>
      <c r="Z10" s="102"/>
      <c r="AA10" s="102"/>
      <c r="AB10" s="102"/>
      <c r="AC10" s="102"/>
      <c r="AD10" s="102"/>
      <c r="AE10" s="102"/>
      <c r="AF10" s="38"/>
    </row>
    <row r="11" spans="2:32" ht="15" customHeight="1" x14ac:dyDescent="0.3">
      <c r="B11" s="97"/>
      <c r="C11" s="99"/>
      <c r="D11" s="99"/>
      <c r="E11" s="99"/>
      <c r="F11" s="99"/>
      <c r="G11" s="99"/>
      <c r="H11" s="99"/>
      <c r="I11" s="104"/>
      <c r="J11" s="104"/>
      <c r="K11" s="104"/>
      <c r="L11" s="104"/>
      <c r="M11" s="99"/>
      <c r="N11" s="31" t="s">
        <v>43</v>
      </c>
      <c r="O11" s="31" t="s">
        <v>44</v>
      </c>
      <c r="P11" s="32" t="s">
        <v>47</v>
      </c>
      <c r="Q11" s="32" t="s">
        <v>46</v>
      </c>
      <c r="R11" s="32" t="s">
        <v>49</v>
      </c>
      <c r="S11" s="32" t="s">
        <v>50</v>
      </c>
      <c r="T11" s="99" t="s">
        <v>72</v>
      </c>
      <c r="U11" s="99" t="s">
        <v>72</v>
      </c>
      <c r="V11" s="37" t="s">
        <v>61</v>
      </c>
      <c r="W11" s="36" t="s">
        <v>62</v>
      </c>
      <c r="X11" s="37" t="s">
        <v>63</v>
      </c>
      <c r="Y11" s="36" t="s">
        <v>64</v>
      </c>
      <c r="Z11" s="37" t="s">
        <v>65</v>
      </c>
      <c r="AA11" s="36" t="s">
        <v>66</v>
      </c>
      <c r="AB11" s="37" t="s">
        <v>67</v>
      </c>
      <c r="AC11" s="36" t="s">
        <v>68</v>
      </c>
      <c r="AD11" s="37" t="s">
        <v>69</v>
      </c>
      <c r="AE11" s="36" t="s">
        <v>94</v>
      </c>
      <c r="AF11" s="38"/>
    </row>
    <row r="12" spans="2:32" ht="12" customHeight="1" x14ac:dyDescent="0.3">
      <c r="B12" s="2">
        <v>1</v>
      </c>
      <c r="C12" s="20"/>
      <c r="D12" s="3"/>
      <c r="E12" s="20"/>
      <c r="F12" s="4"/>
      <c r="G12" s="47"/>
      <c r="H12" s="5"/>
      <c r="I12" s="6">
        <f t="shared" ref="I12:I43" si="0">IFERROR(WORKDAY(F12-1,1,holidays),0)</f>
        <v>0</v>
      </c>
      <c r="J12" s="6" cm="1">
        <f t="array" ref="J12">FinishDate(I12,G12,holidays)</f>
        <v>0</v>
      </c>
      <c r="K12" s="45">
        <f>J12-I12</f>
        <v>0</v>
      </c>
      <c r="L12" s="16" cm="1">
        <f t="array" aca="1" ref="L12" ca="1">AutoProgress(I12,J12,holidays,$C$5)</f>
        <v>0</v>
      </c>
      <c r="M12" s="17">
        <f t="shared" ref="M12:M57" ca="1" si="1">L12</f>
        <v>0</v>
      </c>
      <c r="N12" s="7">
        <f ca="1">IF(M12&lt;L12,K12,0)</f>
        <v>0</v>
      </c>
      <c r="O12" s="7">
        <f ca="1">IF(M12=1,K12,0)</f>
        <v>0</v>
      </c>
      <c r="P12" s="7">
        <f ca="1">IF(AND(M12&gt;=L12,M12&gt;0,M12&lt;1),K12,0)</f>
        <v>0</v>
      </c>
      <c r="Q12" s="7">
        <f ca="1">K12-SUM(N12:P12)</f>
        <v>0</v>
      </c>
      <c r="R12" s="61" t="str">
        <f t="shared" ref="R12:R57" si="2">IF(H12=B12,D12,D12 &amp; TEXT(J12," ([$-en-US]dd-mmm)"))</f>
        <v xml:space="preserve"> (00-Jan)</v>
      </c>
      <c r="S12" s="8" t="str" cm="1">
        <f t="array" aca="1" ref="S12" ca="1">GetProgressLabel(L12,M12)</f>
        <v>0%</v>
      </c>
      <c r="T12" s="63" t="b">
        <v>1</v>
      </c>
      <c r="U12" s="63" t="s">
        <v>74</v>
      </c>
      <c r="V12" s="57"/>
      <c r="W12" s="57"/>
      <c r="X12" s="57"/>
      <c r="Y12" s="57"/>
      <c r="Z12" s="57"/>
      <c r="AA12" s="57"/>
      <c r="AB12" s="57"/>
      <c r="AC12" s="57"/>
      <c r="AD12" s="57"/>
      <c r="AE12" s="58"/>
      <c r="AF12" s="38"/>
    </row>
    <row r="13" spans="2:32" ht="12" customHeight="1" x14ac:dyDescent="0.3">
      <c r="B13" s="2">
        <f>B12+1</f>
        <v>2</v>
      </c>
      <c r="C13" s="20"/>
      <c r="D13" s="20"/>
      <c r="E13" s="20"/>
      <c r="F13" s="4"/>
      <c r="G13" s="47"/>
      <c r="H13" s="5"/>
      <c r="I13" s="6">
        <f t="shared" si="0"/>
        <v>0</v>
      </c>
      <c r="J13" s="6" cm="1">
        <f t="array" ref="J13">FinishDate(I13,G13,holidays)</f>
        <v>0</v>
      </c>
      <c r="K13" s="45">
        <f t="shared" ref="K13:K41" si="3">J13-I13</f>
        <v>0</v>
      </c>
      <c r="L13" s="16" cm="1">
        <f t="array" aca="1" ref="L13" ca="1">AutoProgress(I13,J13,holidays,$C$5)</f>
        <v>0</v>
      </c>
      <c r="M13" s="17">
        <f t="shared" ref="M13:M41" ca="1" si="4">L13</f>
        <v>0</v>
      </c>
      <c r="N13" s="7">
        <f t="shared" ref="N13:N41" ca="1" si="5">IF(M13&lt;L13,K13,0)</f>
        <v>0</v>
      </c>
      <c r="O13" s="7">
        <f t="shared" ref="O13:O41" ca="1" si="6">IF(M13=1,K13,0)</f>
        <v>0</v>
      </c>
      <c r="P13" s="7">
        <f t="shared" ref="P13:P41" ca="1" si="7">IF(AND(M13&gt;=L13,M13&gt;0,M13&lt;1),K13,0)</f>
        <v>0</v>
      </c>
      <c r="Q13" s="7">
        <f t="shared" ref="Q13:Q41" ca="1" si="8">K13-SUM(N13:P13)</f>
        <v>0</v>
      </c>
      <c r="R13" s="61" t="str">
        <f t="shared" ref="R13:R41" si="9">IF(H13=B13,D13,D13 &amp; TEXT(J13," ([$-en-US]dd-mmm)"))</f>
        <v xml:space="preserve"> (00-Jan)</v>
      </c>
      <c r="S13" s="8" t="str" cm="1">
        <f t="array" aca="1" ref="S13" ca="1">GetProgressLabel(L13,M13)</f>
        <v>0%</v>
      </c>
      <c r="T13" s="63" t="b">
        <v>1</v>
      </c>
      <c r="U13" s="63" t="s">
        <v>74</v>
      </c>
      <c r="V13" s="57"/>
      <c r="W13" s="57"/>
      <c r="X13" s="57"/>
      <c r="Y13" s="57"/>
      <c r="Z13" s="57"/>
      <c r="AA13" s="57"/>
      <c r="AB13" s="57"/>
      <c r="AC13" s="57"/>
      <c r="AD13" s="57"/>
      <c r="AE13" s="58"/>
      <c r="AF13" s="38"/>
    </row>
    <row r="14" spans="2:32" ht="12" customHeight="1" x14ac:dyDescent="0.3">
      <c r="B14" s="2">
        <f t="shared" ref="B14:B58" si="10">B13+1</f>
        <v>3</v>
      </c>
      <c r="C14" s="20"/>
      <c r="D14" s="3"/>
      <c r="E14" s="20"/>
      <c r="F14" s="4"/>
      <c r="G14" s="47"/>
      <c r="H14" s="5"/>
      <c r="I14" s="6">
        <f t="shared" si="0"/>
        <v>0</v>
      </c>
      <c r="J14" s="6" cm="1">
        <f t="array" ref="J14">FinishDate(I14,G14,holidays)</f>
        <v>0</v>
      </c>
      <c r="K14" s="45">
        <f t="shared" si="3"/>
        <v>0</v>
      </c>
      <c r="L14" s="16" cm="1">
        <f t="array" aca="1" ref="L14" ca="1">AutoProgress(I14,J14,holidays,$C$5)</f>
        <v>0</v>
      </c>
      <c r="M14" s="17">
        <f t="shared" ca="1" si="4"/>
        <v>0</v>
      </c>
      <c r="N14" s="7">
        <f t="shared" ca="1" si="5"/>
        <v>0</v>
      </c>
      <c r="O14" s="7">
        <f t="shared" ca="1" si="6"/>
        <v>0</v>
      </c>
      <c r="P14" s="7">
        <f t="shared" ca="1" si="7"/>
        <v>0</v>
      </c>
      <c r="Q14" s="7">
        <f t="shared" ca="1" si="8"/>
        <v>0</v>
      </c>
      <c r="R14" s="61" t="str">
        <f t="shared" si="9"/>
        <v xml:space="preserve"> (00-Jan)</v>
      </c>
      <c r="S14" s="8" t="str" cm="1">
        <f t="array" aca="1" ref="S14" ca="1">GetProgressLabel(L14,M14)</f>
        <v>0%</v>
      </c>
      <c r="T14" s="63" t="b">
        <v>1</v>
      </c>
      <c r="U14" s="63" t="s">
        <v>74</v>
      </c>
      <c r="V14" s="57"/>
      <c r="W14" s="57"/>
      <c r="X14" s="57"/>
      <c r="Y14" s="57"/>
      <c r="Z14" s="57"/>
      <c r="AA14" s="57"/>
      <c r="AB14" s="57"/>
      <c r="AC14" s="57"/>
      <c r="AD14" s="57"/>
      <c r="AE14" s="58"/>
      <c r="AF14" s="38"/>
    </row>
    <row r="15" spans="2:32" ht="12" customHeight="1" x14ac:dyDescent="0.3">
      <c r="B15" s="2">
        <f t="shared" si="10"/>
        <v>4</v>
      </c>
      <c r="C15" s="20"/>
      <c r="D15" s="20"/>
      <c r="E15" s="20"/>
      <c r="F15" s="4"/>
      <c r="G15" s="47"/>
      <c r="H15" s="5"/>
      <c r="I15" s="6">
        <f t="shared" si="0"/>
        <v>0</v>
      </c>
      <c r="J15" s="6" cm="1">
        <f t="array" ref="J15">FinishDate(I15,G15,holidays)</f>
        <v>0</v>
      </c>
      <c r="K15" s="45">
        <f t="shared" si="3"/>
        <v>0</v>
      </c>
      <c r="L15" s="16" cm="1">
        <f t="array" aca="1" ref="L15" ca="1">AutoProgress(I15,J15,holidays,$C$5)</f>
        <v>0</v>
      </c>
      <c r="M15" s="17">
        <f t="shared" ca="1" si="4"/>
        <v>0</v>
      </c>
      <c r="N15" s="7">
        <f t="shared" ca="1" si="5"/>
        <v>0</v>
      </c>
      <c r="O15" s="7">
        <f t="shared" ca="1" si="6"/>
        <v>0</v>
      </c>
      <c r="P15" s="7">
        <f t="shared" ca="1" si="7"/>
        <v>0</v>
      </c>
      <c r="Q15" s="7">
        <f t="shared" ca="1" si="8"/>
        <v>0</v>
      </c>
      <c r="R15" s="61" t="str">
        <f t="shared" si="9"/>
        <v xml:space="preserve"> (00-Jan)</v>
      </c>
      <c r="S15" s="8" t="str" cm="1">
        <f t="array" aca="1" ref="S15" ca="1">GetProgressLabel(L15,M15)</f>
        <v>0%</v>
      </c>
      <c r="T15" s="63" t="b">
        <v>1</v>
      </c>
      <c r="U15" s="63" t="s">
        <v>74</v>
      </c>
      <c r="V15" s="57"/>
      <c r="W15" s="57"/>
      <c r="X15" s="57"/>
      <c r="Y15" s="57"/>
      <c r="Z15" s="57"/>
      <c r="AA15" s="57"/>
      <c r="AB15" s="57"/>
      <c r="AC15" s="57"/>
      <c r="AD15" s="57"/>
      <c r="AE15" s="58"/>
      <c r="AF15" s="38"/>
    </row>
    <row r="16" spans="2:32" ht="12" customHeight="1" x14ac:dyDescent="0.3">
      <c r="B16" s="2">
        <f t="shared" si="10"/>
        <v>5</v>
      </c>
      <c r="C16" s="20"/>
      <c r="D16" s="3"/>
      <c r="E16" s="20"/>
      <c r="F16" s="4"/>
      <c r="G16" s="47"/>
      <c r="H16" s="5"/>
      <c r="I16" s="6">
        <f t="shared" si="0"/>
        <v>0</v>
      </c>
      <c r="J16" s="6" cm="1">
        <f t="array" ref="J16">FinishDate(I16,G16,holidays)</f>
        <v>0</v>
      </c>
      <c r="K16" s="45">
        <f t="shared" si="3"/>
        <v>0</v>
      </c>
      <c r="L16" s="16" cm="1">
        <f t="array" aca="1" ref="L16" ca="1">AutoProgress(I16,J16,holidays,$C$5)</f>
        <v>0</v>
      </c>
      <c r="M16" s="17">
        <f t="shared" ca="1" si="4"/>
        <v>0</v>
      </c>
      <c r="N16" s="7">
        <f t="shared" ca="1" si="5"/>
        <v>0</v>
      </c>
      <c r="O16" s="7">
        <f t="shared" ca="1" si="6"/>
        <v>0</v>
      </c>
      <c r="P16" s="7">
        <f t="shared" ca="1" si="7"/>
        <v>0</v>
      </c>
      <c r="Q16" s="7">
        <f t="shared" ca="1" si="8"/>
        <v>0</v>
      </c>
      <c r="R16" s="61" t="str">
        <f t="shared" si="9"/>
        <v xml:space="preserve"> (00-Jan)</v>
      </c>
      <c r="S16" s="8" t="str" cm="1">
        <f t="array" aca="1" ref="S16" ca="1">GetProgressLabel(L16,M16)</f>
        <v>0%</v>
      </c>
      <c r="T16" s="63" t="b">
        <v>1</v>
      </c>
      <c r="U16" s="63" t="s">
        <v>74</v>
      </c>
      <c r="V16" s="57"/>
      <c r="W16" s="57"/>
      <c r="X16" s="57"/>
      <c r="Y16" s="57"/>
      <c r="Z16" s="57"/>
      <c r="AA16" s="57"/>
      <c r="AB16" s="57"/>
      <c r="AC16" s="57"/>
      <c r="AD16" s="57"/>
      <c r="AE16" s="58"/>
      <c r="AF16" s="38"/>
    </row>
    <row r="17" spans="2:32" ht="12" customHeight="1" x14ac:dyDescent="0.3">
      <c r="B17" s="2">
        <f t="shared" si="10"/>
        <v>6</v>
      </c>
      <c r="C17" s="20"/>
      <c r="D17" s="20"/>
      <c r="E17" s="20"/>
      <c r="F17" s="4"/>
      <c r="G17" s="47"/>
      <c r="H17" s="5"/>
      <c r="I17" s="6">
        <f t="shared" si="0"/>
        <v>0</v>
      </c>
      <c r="J17" s="6" cm="1">
        <f t="array" ref="J17">FinishDate(I17,G17,holidays)</f>
        <v>0</v>
      </c>
      <c r="K17" s="45">
        <f t="shared" si="3"/>
        <v>0</v>
      </c>
      <c r="L17" s="16" cm="1">
        <f t="array" aca="1" ref="L17" ca="1">AutoProgress(I17,J17,holidays,$C$5)</f>
        <v>0</v>
      </c>
      <c r="M17" s="17">
        <f t="shared" ca="1" si="4"/>
        <v>0</v>
      </c>
      <c r="N17" s="7">
        <f t="shared" ca="1" si="5"/>
        <v>0</v>
      </c>
      <c r="O17" s="7">
        <f t="shared" ca="1" si="6"/>
        <v>0</v>
      </c>
      <c r="P17" s="7">
        <f t="shared" ca="1" si="7"/>
        <v>0</v>
      </c>
      <c r="Q17" s="7">
        <f t="shared" ca="1" si="8"/>
        <v>0</v>
      </c>
      <c r="R17" s="61" t="str">
        <f t="shared" si="9"/>
        <v xml:space="preserve"> (00-Jan)</v>
      </c>
      <c r="S17" s="8" t="str" cm="1">
        <f t="array" aca="1" ref="S17" ca="1">GetProgressLabel(L17,M17)</f>
        <v>0%</v>
      </c>
      <c r="T17" s="63" t="b">
        <v>1</v>
      </c>
      <c r="U17" s="63" t="s">
        <v>74</v>
      </c>
      <c r="V17" s="57"/>
      <c r="W17" s="57"/>
      <c r="X17" s="57"/>
      <c r="Y17" s="57"/>
      <c r="Z17" s="57"/>
      <c r="AA17" s="57"/>
      <c r="AB17" s="57"/>
      <c r="AC17" s="57"/>
      <c r="AD17" s="57"/>
      <c r="AE17" s="58"/>
      <c r="AF17" s="38"/>
    </row>
    <row r="18" spans="2:32" ht="12" customHeight="1" x14ac:dyDescent="0.3">
      <c r="B18" s="2">
        <f t="shared" si="10"/>
        <v>7</v>
      </c>
      <c r="C18" s="20"/>
      <c r="D18" s="20"/>
      <c r="E18" s="20"/>
      <c r="F18" s="4"/>
      <c r="G18" s="47"/>
      <c r="H18" s="5"/>
      <c r="I18" s="6">
        <f t="shared" si="0"/>
        <v>0</v>
      </c>
      <c r="J18" s="6" cm="1">
        <f t="array" ref="J18">FinishDate(I18,G18,holidays)</f>
        <v>0</v>
      </c>
      <c r="K18" s="45">
        <f t="shared" si="3"/>
        <v>0</v>
      </c>
      <c r="L18" s="16" cm="1">
        <f t="array" aca="1" ref="L18" ca="1">AutoProgress(I18,J18,holidays,$C$5)</f>
        <v>0</v>
      </c>
      <c r="M18" s="17">
        <f t="shared" ca="1" si="4"/>
        <v>0</v>
      </c>
      <c r="N18" s="7">
        <f t="shared" ca="1" si="5"/>
        <v>0</v>
      </c>
      <c r="O18" s="7">
        <f t="shared" ca="1" si="6"/>
        <v>0</v>
      </c>
      <c r="P18" s="7">
        <f t="shared" ca="1" si="7"/>
        <v>0</v>
      </c>
      <c r="Q18" s="7">
        <f t="shared" ca="1" si="8"/>
        <v>0</v>
      </c>
      <c r="R18" s="61" t="str">
        <f t="shared" si="9"/>
        <v xml:space="preserve"> (00-Jan)</v>
      </c>
      <c r="S18" s="8" t="str" cm="1">
        <f t="array" aca="1" ref="S18" ca="1">GetProgressLabel(L18,M18)</f>
        <v>0%</v>
      </c>
      <c r="T18" s="63" t="b">
        <v>1</v>
      </c>
      <c r="U18" s="63" t="s">
        <v>74</v>
      </c>
      <c r="V18" s="57"/>
      <c r="W18" s="57"/>
      <c r="X18" s="57"/>
      <c r="Y18" s="57"/>
      <c r="Z18" s="57"/>
      <c r="AA18" s="57"/>
      <c r="AB18" s="57"/>
      <c r="AC18" s="57"/>
      <c r="AD18" s="57"/>
      <c r="AE18" s="58"/>
      <c r="AF18" s="38"/>
    </row>
    <row r="19" spans="2:32" ht="12" customHeight="1" x14ac:dyDescent="0.3">
      <c r="B19" s="2">
        <f t="shared" si="10"/>
        <v>8</v>
      </c>
      <c r="C19" s="20"/>
      <c r="D19" s="20"/>
      <c r="E19" s="20"/>
      <c r="F19" s="4"/>
      <c r="G19" s="47"/>
      <c r="H19" s="5"/>
      <c r="I19" s="6">
        <f t="shared" si="0"/>
        <v>0</v>
      </c>
      <c r="J19" s="6" cm="1">
        <f t="array" ref="J19">FinishDate(I19,G19,holidays)</f>
        <v>0</v>
      </c>
      <c r="K19" s="45">
        <f t="shared" si="3"/>
        <v>0</v>
      </c>
      <c r="L19" s="16" cm="1">
        <f t="array" aca="1" ref="L19" ca="1">AutoProgress(I19,J19,holidays,$C$5)</f>
        <v>0</v>
      </c>
      <c r="M19" s="17">
        <f t="shared" ca="1" si="4"/>
        <v>0</v>
      </c>
      <c r="N19" s="7">
        <f t="shared" ca="1" si="5"/>
        <v>0</v>
      </c>
      <c r="O19" s="7">
        <f t="shared" ca="1" si="6"/>
        <v>0</v>
      </c>
      <c r="P19" s="7">
        <f t="shared" ca="1" si="7"/>
        <v>0</v>
      </c>
      <c r="Q19" s="7">
        <f t="shared" ca="1" si="8"/>
        <v>0</v>
      </c>
      <c r="R19" s="61" t="str">
        <f t="shared" si="9"/>
        <v xml:space="preserve"> (00-Jan)</v>
      </c>
      <c r="S19" s="8" t="str" cm="1">
        <f t="array" aca="1" ref="S19" ca="1">GetProgressLabel(L19,M19)</f>
        <v>0%</v>
      </c>
      <c r="T19" s="63" t="b">
        <v>1</v>
      </c>
      <c r="U19" s="63" t="s">
        <v>74</v>
      </c>
      <c r="V19" s="57"/>
      <c r="W19" s="57"/>
      <c r="X19" s="57"/>
      <c r="Y19" s="57"/>
      <c r="Z19" s="57"/>
      <c r="AA19" s="57"/>
      <c r="AB19" s="57"/>
      <c r="AC19" s="57"/>
      <c r="AD19" s="57"/>
      <c r="AE19" s="58"/>
      <c r="AF19" s="38"/>
    </row>
    <row r="20" spans="2:32" ht="12" customHeight="1" x14ac:dyDescent="0.3">
      <c r="B20" s="2">
        <f t="shared" si="10"/>
        <v>9</v>
      </c>
      <c r="C20" s="20"/>
      <c r="D20" s="20"/>
      <c r="E20" s="20"/>
      <c r="F20" s="4"/>
      <c r="G20" s="47"/>
      <c r="H20" s="5"/>
      <c r="I20" s="6">
        <f t="shared" si="0"/>
        <v>0</v>
      </c>
      <c r="J20" s="6" cm="1">
        <f t="array" ref="J20">FinishDate(I20,G20,holidays)</f>
        <v>0</v>
      </c>
      <c r="K20" s="45">
        <f t="shared" si="3"/>
        <v>0</v>
      </c>
      <c r="L20" s="16" cm="1">
        <f t="array" aca="1" ref="L20" ca="1">AutoProgress(I20,J20,holidays,$C$5)</f>
        <v>0</v>
      </c>
      <c r="M20" s="17">
        <f t="shared" ca="1" si="4"/>
        <v>0</v>
      </c>
      <c r="N20" s="7">
        <f t="shared" ca="1" si="5"/>
        <v>0</v>
      </c>
      <c r="O20" s="7">
        <f t="shared" ca="1" si="6"/>
        <v>0</v>
      </c>
      <c r="P20" s="7">
        <f t="shared" ca="1" si="7"/>
        <v>0</v>
      </c>
      <c r="Q20" s="7">
        <f t="shared" ca="1" si="8"/>
        <v>0</v>
      </c>
      <c r="R20" s="61" t="str">
        <f t="shared" si="9"/>
        <v xml:space="preserve"> (00-Jan)</v>
      </c>
      <c r="S20" s="8" t="str" cm="1">
        <f t="array" aca="1" ref="S20" ca="1">GetProgressLabel(L20,M20)</f>
        <v>0%</v>
      </c>
      <c r="T20" s="63" t="b">
        <v>1</v>
      </c>
      <c r="U20" s="63" t="s">
        <v>74</v>
      </c>
      <c r="V20" s="57"/>
      <c r="W20" s="57"/>
      <c r="X20" s="57"/>
      <c r="Y20" s="57"/>
      <c r="Z20" s="57"/>
      <c r="AA20" s="57"/>
      <c r="AB20" s="57"/>
      <c r="AC20" s="57"/>
      <c r="AD20" s="57"/>
      <c r="AE20" s="58"/>
      <c r="AF20" s="38"/>
    </row>
    <row r="21" spans="2:32" ht="12" customHeight="1" x14ac:dyDescent="0.3">
      <c r="B21" s="2">
        <f t="shared" si="10"/>
        <v>10</v>
      </c>
      <c r="C21" s="20"/>
      <c r="D21" s="20"/>
      <c r="E21" s="20"/>
      <c r="F21" s="4"/>
      <c r="G21" s="47"/>
      <c r="H21" s="5"/>
      <c r="I21" s="6">
        <f t="shared" si="0"/>
        <v>0</v>
      </c>
      <c r="J21" s="6" cm="1">
        <f t="array" ref="J21">FinishDate(I21,G21,holidays)</f>
        <v>0</v>
      </c>
      <c r="K21" s="45">
        <f t="shared" si="3"/>
        <v>0</v>
      </c>
      <c r="L21" s="16" cm="1">
        <f t="array" aca="1" ref="L21" ca="1">AutoProgress(I21,J21,holidays,$C$5)</f>
        <v>0</v>
      </c>
      <c r="M21" s="17">
        <f t="shared" ca="1" si="4"/>
        <v>0</v>
      </c>
      <c r="N21" s="7">
        <f t="shared" ca="1" si="5"/>
        <v>0</v>
      </c>
      <c r="O21" s="7">
        <f t="shared" ca="1" si="6"/>
        <v>0</v>
      </c>
      <c r="P21" s="7">
        <f t="shared" ca="1" si="7"/>
        <v>0</v>
      </c>
      <c r="Q21" s="7">
        <f t="shared" ca="1" si="8"/>
        <v>0</v>
      </c>
      <c r="R21" s="61" t="str">
        <f t="shared" si="9"/>
        <v xml:space="preserve"> (00-Jan)</v>
      </c>
      <c r="S21" s="8" t="str" cm="1">
        <f t="array" aca="1" ref="S21" ca="1">GetProgressLabel(L21,M21)</f>
        <v>0%</v>
      </c>
      <c r="T21" s="63" t="b">
        <v>1</v>
      </c>
      <c r="U21" s="63" t="s">
        <v>74</v>
      </c>
      <c r="V21" s="57"/>
      <c r="W21" s="57"/>
      <c r="X21" s="57"/>
      <c r="Y21" s="57"/>
      <c r="Z21" s="57"/>
      <c r="AA21" s="57"/>
      <c r="AB21" s="57"/>
      <c r="AC21" s="57"/>
      <c r="AD21" s="57"/>
      <c r="AE21" s="58"/>
      <c r="AF21" s="38"/>
    </row>
    <row r="22" spans="2:32" ht="12" customHeight="1" x14ac:dyDescent="0.3">
      <c r="B22" s="2">
        <f t="shared" si="10"/>
        <v>11</v>
      </c>
      <c r="C22" s="20"/>
      <c r="D22" s="3"/>
      <c r="E22" s="20"/>
      <c r="F22" s="4"/>
      <c r="G22" s="47"/>
      <c r="H22" s="5"/>
      <c r="I22" s="6">
        <f t="shared" si="0"/>
        <v>0</v>
      </c>
      <c r="J22" s="6" cm="1">
        <f t="array" ref="J22">FinishDate(I22,G22,holidays)</f>
        <v>0</v>
      </c>
      <c r="K22" s="45">
        <f t="shared" si="3"/>
        <v>0</v>
      </c>
      <c r="L22" s="16" cm="1">
        <f t="array" aca="1" ref="L22" ca="1">AutoProgress(I22,J22,holidays,$C$5)</f>
        <v>0</v>
      </c>
      <c r="M22" s="17">
        <f t="shared" ca="1" si="4"/>
        <v>0</v>
      </c>
      <c r="N22" s="7">
        <f t="shared" ca="1" si="5"/>
        <v>0</v>
      </c>
      <c r="O22" s="7">
        <f t="shared" ca="1" si="6"/>
        <v>0</v>
      </c>
      <c r="P22" s="7">
        <f t="shared" ca="1" si="7"/>
        <v>0</v>
      </c>
      <c r="Q22" s="7">
        <f t="shared" ca="1" si="8"/>
        <v>0</v>
      </c>
      <c r="R22" s="61" t="str">
        <f t="shared" si="9"/>
        <v xml:space="preserve"> (00-Jan)</v>
      </c>
      <c r="S22" s="8" t="str" cm="1">
        <f t="array" aca="1" ref="S22" ca="1">GetProgressLabel(L22,M22)</f>
        <v>0%</v>
      </c>
      <c r="T22" s="63" t="b">
        <v>1</v>
      </c>
      <c r="U22" s="63" t="s">
        <v>74</v>
      </c>
      <c r="V22" s="57"/>
      <c r="W22" s="57"/>
      <c r="X22" s="57"/>
      <c r="Y22" s="57"/>
      <c r="Z22" s="57"/>
      <c r="AA22" s="57"/>
      <c r="AB22" s="57"/>
      <c r="AC22" s="57"/>
      <c r="AD22" s="57"/>
      <c r="AE22" s="58"/>
      <c r="AF22" s="38"/>
    </row>
    <row r="23" spans="2:32" ht="12" customHeight="1" x14ac:dyDescent="0.3">
      <c r="B23" s="2">
        <f t="shared" si="10"/>
        <v>12</v>
      </c>
      <c r="C23" s="20"/>
      <c r="D23" s="20"/>
      <c r="E23" s="20"/>
      <c r="F23" s="4"/>
      <c r="G23" s="47"/>
      <c r="H23" s="5"/>
      <c r="I23" s="6">
        <f t="shared" si="0"/>
        <v>0</v>
      </c>
      <c r="J23" s="6" cm="1">
        <f t="array" ref="J23">FinishDate(I23,G23,holidays)</f>
        <v>0</v>
      </c>
      <c r="K23" s="45">
        <f t="shared" si="3"/>
        <v>0</v>
      </c>
      <c r="L23" s="16" cm="1">
        <f t="array" aca="1" ref="L23" ca="1">AutoProgress(I23,J23,holidays,$C$5)</f>
        <v>0</v>
      </c>
      <c r="M23" s="17">
        <f t="shared" ca="1" si="4"/>
        <v>0</v>
      </c>
      <c r="N23" s="7">
        <f t="shared" ca="1" si="5"/>
        <v>0</v>
      </c>
      <c r="O23" s="7">
        <f t="shared" ca="1" si="6"/>
        <v>0</v>
      </c>
      <c r="P23" s="7">
        <f t="shared" ca="1" si="7"/>
        <v>0</v>
      </c>
      <c r="Q23" s="7">
        <f t="shared" ca="1" si="8"/>
        <v>0</v>
      </c>
      <c r="R23" s="61" t="str">
        <f t="shared" si="9"/>
        <v xml:space="preserve"> (00-Jan)</v>
      </c>
      <c r="S23" s="8" t="str" cm="1">
        <f t="array" aca="1" ref="S23" ca="1">GetProgressLabel(L23,M23)</f>
        <v>0%</v>
      </c>
      <c r="T23" s="63" t="b">
        <v>1</v>
      </c>
      <c r="U23" s="63" t="s">
        <v>74</v>
      </c>
      <c r="V23" s="57"/>
      <c r="W23" s="57"/>
      <c r="X23" s="57"/>
      <c r="Y23" s="57"/>
      <c r="Z23" s="57"/>
      <c r="AA23" s="57"/>
      <c r="AB23" s="57"/>
      <c r="AC23" s="57"/>
      <c r="AD23" s="57"/>
      <c r="AE23" s="58"/>
      <c r="AF23" s="38"/>
    </row>
    <row r="24" spans="2:32" ht="12" customHeight="1" x14ac:dyDescent="0.3">
      <c r="B24" s="2">
        <f t="shared" si="10"/>
        <v>13</v>
      </c>
      <c r="C24" s="20"/>
      <c r="D24" s="3"/>
      <c r="E24" s="20"/>
      <c r="F24" s="4"/>
      <c r="G24" s="47"/>
      <c r="H24" s="5"/>
      <c r="I24" s="6">
        <f t="shared" si="0"/>
        <v>0</v>
      </c>
      <c r="J24" s="6" cm="1">
        <f t="array" ref="J24">FinishDate(I24,G24,holidays)</f>
        <v>0</v>
      </c>
      <c r="K24" s="45">
        <f t="shared" si="3"/>
        <v>0</v>
      </c>
      <c r="L24" s="16" cm="1">
        <f t="array" aca="1" ref="L24" ca="1">AutoProgress(I24,J24,holidays,$C$5)</f>
        <v>0</v>
      </c>
      <c r="M24" s="17">
        <f t="shared" ca="1" si="4"/>
        <v>0</v>
      </c>
      <c r="N24" s="7">
        <f t="shared" ca="1" si="5"/>
        <v>0</v>
      </c>
      <c r="O24" s="7">
        <f t="shared" ca="1" si="6"/>
        <v>0</v>
      </c>
      <c r="P24" s="7">
        <f t="shared" ca="1" si="7"/>
        <v>0</v>
      </c>
      <c r="Q24" s="7">
        <f t="shared" ca="1" si="8"/>
        <v>0</v>
      </c>
      <c r="R24" s="61" t="str">
        <f t="shared" si="9"/>
        <v xml:space="preserve"> (00-Jan)</v>
      </c>
      <c r="S24" s="8" t="str" cm="1">
        <f t="array" aca="1" ref="S24" ca="1">GetProgressLabel(L24,M24)</f>
        <v>0%</v>
      </c>
      <c r="T24" s="63" t="b">
        <v>1</v>
      </c>
      <c r="U24" s="63" t="s">
        <v>74</v>
      </c>
      <c r="V24" s="57"/>
      <c r="W24" s="57"/>
      <c r="X24" s="57"/>
      <c r="Y24" s="57"/>
      <c r="Z24" s="57"/>
      <c r="AA24" s="57"/>
      <c r="AB24" s="57"/>
      <c r="AC24" s="57"/>
      <c r="AD24" s="57"/>
      <c r="AE24" s="58"/>
      <c r="AF24" s="38"/>
    </row>
    <row r="25" spans="2:32" ht="12" customHeight="1" x14ac:dyDescent="0.3">
      <c r="B25" s="2">
        <f t="shared" si="10"/>
        <v>14</v>
      </c>
      <c r="C25" s="20"/>
      <c r="D25" s="20"/>
      <c r="E25" s="20"/>
      <c r="F25" s="4"/>
      <c r="G25" s="47"/>
      <c r="H25" s="5"/>
      <c r="I25" s="6">
        <f t="shared" si="0"/>
        <v>0</v>
      </c>
      <c r="J25" s="6" cm="1">
        <f t="array" ref="J25">FinishDate(I25,G25,holidays)</f>
        <v>0</v>
      </c>
      <c r="K25" s="45">
        <f t="shared" si="3"/>
        <v>0</v>
      </c>
      <c r="L25" s="16" cm="1">
        <f t="array" aca="1" ref="L25" ca="1">AutoProgress(I25,J25,holidays,$C$5)</f>
        <v>0</v>
      </c>
      <c r="M25" s="17">
        <f t="shared" ca="1" si="4"/>
        <v>0</v>
      </c>
      <c r="N25" s="7">
        <f t="shared" ca="1" si="5"/>
        <v>0</v>
      </c>
      <c r="O25" s="7">
        <f t="shared" ca="1" si="6"/>
        <v>0</v>
      </c>
      <c r="P25" s="7">
        <f t="shared" ca="1" si="7"/>
        <v>0</v>
      </c>
      <c r="Q25" s="7">
        <f t="shared" ca="1" si="8"/>
        <v>0</v>
      </c>
      <c r="R25" s="61" t="str">
        <f t="shared" si="9"/>
        <v xml:space="preserve"> (00-Jan)</v>
      </c>
      <c r="S25" s="8" t="str" cm="1">
        <f t="array" aca="1" ref="S25" ca="1">GetProgressLabel(L25,M25)</f>
        <v>0%</v>
      </c>
      <c r="T25" s="63" t="b">
        <v>1</v>
      </c>
      <c r="U25" s="63" t="s">
        <v>74</v>
      </c>
      <c r="V25" s="57"/>
      <c r="W25" s="57"/>
      <c r="X25" s="57"/>
      <c r="Y25" s="57"/>
      <c r="Z25" s="57"/>
      <c r="AA25" s="57"/>
      <c r="AB25" s="57"/>
      <c r="AC25" s="57"/>
      <c r="AD25" s="57"/>
      <c r="AE25" s="58"/>
      <c r="AF25" s="38"/>
    </row>
    <row r="26" spans="2:32" ht="12" customHeight="1" x14ac:dyDescent="0.3">
      <c r="B26" s="2">
        <f t="shared" si="10"/>
        <v>15</v>
      </c>
      <c r="C26" s="20"/>
      <c r="D26" s="20"/>
      <c r="E26" s="20"/>
      <c r="F26" s="4"/>
      <c r="G26" s="47"/>
      <c r="H26" s="5"/>
      <c r="I26" s="6">
        <f t="shared" si="0"/>
        <v>0</v>
      </c>
      <c r="J26" s="6" cm="1">
        <f t="array" ref="J26">FinishDate(I26,G26,holidays)</f>
        <v>0</v>
      </c>
      <c r="K26" s="45">
        <f t="shared" si="3"/>
        <v>0</v>
      </c>
      <c r="L26" s="16" cm="1">
        <f t="array" aca="1" ref="L26" ca="1">AutoProgress(I26,J26,holidays,$C$5)</f>
        <v>0</v>
      </c>
      <c r="M26" s="17">
        <f t="shared" ca="1" si="4"/>
        <v>0</v>
      </c>
      <c r="N26" s="7">
        <f t="shared" ca="1" si="5"/>
        <v>0</v>
      </c>
      <c r="O26" s="7">
        <f t="shared" ca="1" si="6"/>
        <v>0</v>
      </c>
      <c r="P26" s="7">
        <f t="shared" ca="1" si="7"/>
        <v>0</v>
      </c>
      <c r="Q26" s="7">
        <f t="shared" ca="1" si="8"/>
        <v>0</v>
      </c>
      <c r="R26" s="61" t="str">
        <f t="shared" si="9"/>
        <v xml:space="preserve"> (00-Jan)</v>
      </c>
      <c r="S26" s="8" t="str" cm="1">
        <f t="array" aca="1" ref="S26" ca="1">GetProgressLabel(L26,M26)</f>
        <v>0%</v>
      </c>
      <c r="T26" s="63" t="b">
        <v>1</v>
      </c>
      <c r="U26" s="63" t="s">
        <v>74</v>
      </c>
      <c r="V26" s="57"/>
      <c r="W26" s="57"/>
      <c r="X26" s="57"/>
      <c r="Y26" s="57"/>
      <c r="Z26" s="57"/>
      <c r="AA26" s="57"/>
      <c r="AB26" s="57"/>
      <c r="AC26" s="57"/>
      <c r="AD26" s="57"/>
      <c r="AE26" s="58"/>
      <c r="AF26" s="38"/>
    </row>
    <row r="27" spans="2:32" ht="12" customHeight="1" x14ac:dyDescent="0.3">
      <c r="B27" s="2">
        <f t="shared" si="10"/>
        <v>16</v>
      </c>
      <c r="C27" s="20"/>
      <c r="D27" s="20"/>
      <c r="E27" s="20"/>
      <c r="F27" s="4"/>
      <c r="G27" s="47"/>
      <c r="H27" s="5"/>
      <c r="I27" s="6">
        <f t="shared" si="0"/>
        <v>0</v>
      </c>
      <c r="J27" s="6" cm="1">
        <f t="array" ref="J27">FinishDate(I27,G27,holidays)</f>
        <v>0</v>
      </c>
      <c r="K27" s="45">
        <f t="shared" si="3"/>
        <v>0</v>
      </c>
      <c r="L27" s="16" cm="1">
        <f t="array" aca="1" ref="L27" ca="1">AutoProgress(I27,J27,holidays,$C$5)</f>
        <v>0</v>
      </c>
      <c r="M27" s="17">
        <f t="shared" ca="1" si="4"/>
        <v>0</v>
      </c>
      <c r="N27" s="7">
        <f t="shared" ca="1" si="5"/>
        <v>0</v>
      </c>
      <c r="O27" s="7">
        <f t="shared" ca="1" si="6"/>
        <v>0</v>
      </c>
      <c r="P27" s="7">
        <f t="shared" ca="1" si="7"/>
        <v>0</v>
      </c>
      <c r="Q27" s="7">
        <f t="shared" ca="1" si="8"/>
        <v>0</v>
      </c>
      <c r="R27" s="61" t="str">
        <f t="shared" si="9"/>
        <v xml:space="preserve"> (00-Jan)</v>
      </c>
      <c r="S27" s="8" t="str" cm="1">
        <f t="array" aca="1" ref="S27" ca="1">GetProgressLabel(L27,M27)</f>
        <v>0%</v>
      </c>
      <c r="T27" s="63" t="b">
        <v>1</v>
      </c>
      <c r="U27" s="63" t="s">
        <v>74</v>
      </c>
      <c r="V27" s="57"/>
      <c r="W27" s="57"/>
      <c r="X27" s="57"/>
      <c r="Y27" s="57"/>
      <c r="Z27" s="57"/>
      <c r="AA27" s="57"/>
      <c r="AB27" s="57"/>
      <c r="AC27" s="57"/>
      <c r="AD27" s="57"/>
      <c r="AE27" s="58"/>
      <c r="AF27" s="38"/>
    </row>
    <row r="28" spans="2:32" ht="12" customHeight="1" x14ac:dyDescent="0.3">
      <c r="B28" s="2">
        <f t="shared" si="10"/>
        <v>17</v>
      </c>
      <c r="C28" s="20"/>
      <c r="D28" s="20"/>
      <c r="E28" s="20"/>
      <c r="F28" s="4"/>
      <c r="G28" s="47"/>
      <c r="H28" s="5"/>
      <c r="I28" s="6">
        <f t="shared" si="0"/>
        <v>0</v>
      </c>
      <c r="J28" s="6" cm="1">
        <f t="array" ref="J28">FinishDate(I28,G28,holidays)</f>
        <v>0</v>
      </c>
      <c r="K28" s="45">
        <f t="shared" si="3"/>
        <v>0</v>
      </c>
      <c r="L28" s="16" cm="1">
        <f t="array" aca="1" ref="L28" ca="1">AutoProgress(I28,J28,holidays,$C$5)</f>
        <v>0</v>
      </c>
      <c r="M28" s="17">
        <f t="shared" ca="1" si="4"/>
        <v>0</v>
      </c>
      <c r="N28" s="7">
        <f t="shared" ca="1" si="5"/>
        <v>0</v>
      </c>
      <c r="O28" s="7">
        <f t="shared" ca="1" si="6"/>
        <v>0</v>
      </c>
      <c r="P28" s="7">
        <f t="shared" ca="1" si="7"/>
        <v>0</v>
      </c>
      <c r="Q28" s="7">
        <f t="shared" ca="1" si="8"/>
        <v>0</v>
      </c>
      <c r="R28" s="61" t="str">
        <f t="shared" si="9"/>
        <v xml:space="preserve"> (00-Jan)</v>
      </c>
      <c r="S28" s="8" t="str" cm="1">
        <f t="array" aca="1" ref="S28" ca="1">GetProgressLabel(L28,M28)</f>
        <v>0%</v>
      </c>
      <c r="T28" s="63" t="b">
        <v>1</v>
      </c>
      <c r="U28" s="63" t="s">
        <v>74</v>
      </c>
      <c r="V28" s="57"/>
      <c r="W28" s="57"/>
      <c r="X28" s="57"/>
      <c r="Y28" s="57"/>
      <c r="Z28" s="57"/>
      <c r="AA28" s="57"/>
      <c r="AB28" s="57"/>
      <c r="AC28" s="57"/>
      <c r="AD28" s="57"/>
      <c r="AE28" s="58"/>
      <c r="AF28" s="38"/>
    </row>
    <row r="29" spans="2:32" ht="12" customHeight="1" x14ac:dyDescent="0.3">
      <c r="B29" s="2">
        <f t="shared" si="10"/>
        <v>18</v>
      </c>
      <c r="C29" s="20"/>
      <c r="D29" s="20"/>
      <c r="E29" s="20"/>
      <c r="F29" s="4"/>
      <c r="G29" s="47"/>
      <c r="H29" s="5"/>
      <c r="I29" s="6">
        <f t="shared" si="0"/>
        <v>0</v>
      </c>
      <c r="J29" s="6" cm="1">
        <f t="array" ref="J29">FinishDate(I29,G29,holidays)</f>
        <v>0</v>
      </c>
      <c r="K29" s="45">
        <f t="shared" si="3"/>
        <v>0</v>
      </c>
      <c r="L29" s="16" cm="1">
        <f t="array" aca="1" ref="L29" ca="1">AutoProgress(I29,J29,holidays,$C$5)</f>
        <v>0</v>
      </c>
      <c r="M29" s="17">
        <f t="shared" ca="1" si="4"/>
        <v>0</v>
      </c>
      <c r="N29" s="7">
        <f t="shared" ca="1" si="5"/>
        <v>0</v>
      </c>
      <c r="O29" s="7">
        <f t="shared" ca="1" si="6"/>
        <v>0</v>
      </c>
      <c r="P29" s="7">
        <f t="shared" ca="1" si="7"/>
        <v>0</v>
      </c>
      <c r="Q29" s="7">
        <f t="shared" ca="1" si="8"/>
        <v>0</v>
      </c>
      <c r="R29" s="61" t="str">
        <f t="shared" si="9"/>
        <v xml:space="preserve"> (00-Jan)</v>
      </c>
      <c r="S29" s="8" t="str" cm="1">
        <f t="array" aca="1" ref="S29" ca="1">GetProgressLabel(L29,M29)</f>
        <v>0%</v>
      </c>
      <c r="T29" s="63" t="b">
        <v>1</v>
      </c>
      <c r="U29" s="63" t="s">
        <v>74</v>
      </c>
      <c r="V29" s="57"/>
      <c r="W29" s="57"/>
      <c r="X29" s="57"/>
      <c r="Y29" s="57"/>
      <c r="Z29" s="57"/>
      <c r="AA29" s="57"/>
      <c r="AB29" s="57"/>
      <c r="AC29" s="57"/>
      <c r="AD29" s="57"/>
      <c r="AE29" s="58"/>
      <c r="AF29" s="38"/>
    </row>
    <row r="30" spans="2:32" ht="12" customHeight="1" x14ac:dyDescent="0.3">
      <c r="B30" s="2">
        <f t="shared" si="10"/>
        <v>19</v>
      </c>
      <c r="C30" s="20"/>
      <c r="D30" s="3"/>
      <c r="E30" s="20"/>
      <c r="F30" s="4"/>
      <c r="G30" s="47"/>
      <c r="H30" s="5"/>
      <c r="I30" s="6">
        <f t="shared" si="0"/>
        <v>0</v>
      </c>
      <c r="J30" s="6" cm="1">
        <f t="array" ref="J30">FinishDate(I30,G30,holidays)</f>
        <v>0</v>
      </c>
      <c r="K30" s="45">
        <f t="shared" si="3"/>
        <v>0</v>
      </c>
      <c r="L30" s="16" cm="1">
        <f t="array" aca="1" ref="L30" ca="1">AutoProgress(I30,J30,holidays,$C$5)</f>
        <v>0</v>
      </c>
      <c r="M30" s="17">
        <f t="shared" ca="1" si="4"/>
        <v>0</v>
      </c>
      <c r="N30" s="7">
        <f t="shared" ca="1" si="5"/>
        <v>0</v>
      </c>
      <c r="O30" s="7">
        <f t="shared" ca="1" si="6"/>
        <v>0</v>
      </c>
      <c r="P30" s="7">
        <f t="shared" ca="1" si="7"/>
        <v>0</v>
      </c>
      <c r="Q30" s="7">
        <f t="shared" ca="1" si="8"/>
        <v>0</v>
      </c>
      <c r="R30" s="61" t="str">
        <f t="shared" si="9"/>
        <v xml:space="preserve"> (00-Jan)</v>
      </c>
      <c r="S30" s="8" t="str" cm="1">
        <f t="array" aca="1" ref="S30" ca="1">GetProgressLabel(L30,M30)</f>
        <v>0%</v>
      </c>
      <c r="T30" s="63" t="b">
        <v>1</v>
      </c>
      <c r="U30" s="63" t="s">
        <v>74</v>
      </c>
      <c r="V30" s="57"/>
      <c r="W30" s="57"/>
      <c r="X30" s="57"/>
      <c r="Y30" s="57"/>
      <c r="Z30" s="57"/>
      <c r="AA30" s="57"/>
      <c r="AB30" s="57"/>
      <c r="AC30" s="57"/>
      <c r="AD30" s="57"/>
      <c r="AE30" s="58"/>
      <c r="AF30" s="38"/>
    </row>
    <row r="31" spans="2:32" ht="12" customHeight="1" x14ac:dyDescent="0.3">
      <c r="B31" s="2">
        <f t="shared" si="10"/>
        <v>20</v>
      </c>
      <c r="C31" s="20"/>
      <c r="D31" s="20"/>
      <c r="E31" s="20"/>
      <c r="F31" s="4"/>
      <c r="G31" s="47"/>
      <c r="H31" s="5"/>
      <c r="I31" s="6">
        <f t="shared" si="0"/>
        <v>0</v>
      </c>
      <c r="J31" s="6" cm="1">
        <f t="array" ref="J31">FinishDate(I31,G31,holidays)</f>
        <v>0</v>
      </c>
      <c r="K31" s="45">
        <f t="shared" si="3"/>
        <v>0</v>
      </c>
      <c r="L31" s="16" cm="1">
        <f t="array" aca="1" ref="L31" ca="1">AutoProgress(I31,J31,holidays,$C$5)</f>
        <v>0</v>
      </c>
      <c r="M31" s="17">
        <f t="shared" ca="1" si="4"/>
        <v>0</v>
      </c>
      <c r="N31" s="7">
        <f t="shared" ca="1" si="5"/>
        <v>0</v>
      </c>
      <c r="O31" s="7">
        <f t="shared" ca="1" si="6"/>
        <v>0</v>
      </c>
      <c r="P31" s="7">
        <f t="shared" ca="1" si="7"/>
        <v>0</v>
      </c>
      <c r="Q31" s="7">
        <f t="shared" ca="1" si="8"/>
        <v>0</v>
      </c>
      <c r="R31" s="61" t="str">
        <f t="shared" si="9"/>
        <v xml:space="preserve"> (00-Jan)</v>
      </c>
      <c r="S31" s="8" t="str" cm="1">
        <f t="array" aca="1" ref="S31" ca="1">GetProgressLabel(L31,M31)</f>
        <v>0%</v>
      </c>
      <c r="T31" s="63" t="b">
        <v>1</v>
      </c>
      <c r="U31" s="63" t="s">
        <v>74</v>
      </c>
      <c r="V31" s="57"/>
      <c r="W31" s="57"/>
      <c r="X31" s="57"/>
      <c r="Y31" s="57"/>
      <c r="Z31" s="57"/>
      <c r="AA31" s="57"/>
      <c r="AB31" s="57"/>
      <c r="AC31" s="57"/>
      <c r="AD31" s="57"/>
      <c r="AE31" s="58"/>
      <c r="AF31" s="38"/>
    </row>
    <row r="32" spans="2:32" ht="12" customHeight="1" x14ac:dyDescent="0.3">
      <c r="B32" s="2">
        <f t="shared" si="10"/>
        <v>21</v>
      </c>
      <c r="C32" s="20"/>
      <c r="D32" s="3"/>
      <c r="E32" s="20"/>
      <c r="F32" s="4"/>
      <c r="G32" s="47"/>
      <c r="H32" s="5"/>
      <c r="I32" s="6">
        <f t="shared" si="0"/>
        <v>0</v>
      </c>
      <c r="J32" s="6" cm="1">
        <f t="array" ref="J32">FinishDate(I32,G32,holidays)</f>
        <v>0</v>
      </c>
      <c r="K32" s="45">
        <f t="shared" si="3"/>
        <v>0</v>
      </c>
      <c r="L32" s="16" cm="1">
        <f t="array" aca="1" ref="L32" ca="1">AutoProgress(I32,J32,holidays,$C$5)</f>
        <v>0</v>
      </c>
      <c r="M32" s="17">
        <f t="shared" ca="1" si="4"/>
        <v>0</v>
      </c>
      <c r="N32" s="7">
        <f t="shared" ca="1" si="5"/>
        <v>0</v>
      </c>
      <c r="O32" s="7">
        <f t="shared" ca="1" si="6"/>
        <v>0</v>
      </c>
      <c r="P32" s="7">
        <f t="shared" ca="1" si="7"/>
        <v>0</v>
      </c>
      <c r="Q32" s="7">
        <f t="shared" ca="1" si="8"/>
        <v>0</v>
      </c>
      <c r="R32" s="61" t="str">
        <f t="shared" si="9"/>
        <v xml:space="preserve"> (00-Jan)</v>
      </c>
      <c r="S32" s="8" t="str" cm="1">
        <f t="array" aca="1" ref="S32" ca="1">GetProgressLabel(L32,M32)</f>
        <v>0%</v>
      </c>
      <c r="T32" s="63" t="b">
        <v>1</v>
      </c>
      <c r="U32" s="63" t="s">
        <v>74</v>
      </c>
      <c r="V32" s="57"/>
      <c r="W32" s="57"/>
      <c r="X32" s="57"/>
      <c r="Y32" s="57"/>
      <c r="Z32" s="57"/>
      <c r="AA32" s="57"/>
      <c r="AB32" s="57"/>
      <c r="AC32" s="57"/>
      <c r="AD32" s="57"/>
      <c r="AE32" s="58"/>
      <c r="AF32" s="38"/>
    </row>
    <row r="33" spans="2:32" ht="12" customHeight="1" x14ac:dyDescent="0.3">
      <c r="B33" s="2">
        <f t="shared" si="10"/>
        <v>22</v>
      </c>
      <c r="C33" s="20"/>
      <c r="D33" s="20"/>
      <c r="E33" s="20"/>
      <c r="F33" s="4"/>
      <c r="G33" s="47"/>
      <c r="H33" s="5"/>
      <c r="I33" s="6">
        <f t="shared" si="0"/>
        <v>0</v>
      </c>
      <c r="J33" s="6" cm="1">
        <f t="array" ref="J33">FinishDate(I33,G33,holidays)</f>
        <v>0</v>
      </c>
      <c r="K33" s="45">
        <f t="shared" si="3"/>
        <v>0</v>
      </c>
      <c r="L33" s="16" cm="1">
        <f t="array" aca="1" ref="L33" ca="1">AutoProgress(I33,J33,holidays,$C$5)</f>
        <v>0</v>
      </c>
      <c r="M33" s="17">
        <f t="shared" ca="1" si="4"/>
        <v>0</v>
      </c>
      <c r="N33" s="7">
        <f t="shared" ca="1" si="5"/>
        <v>0</v>
      </c>
      <c r="O33" s="7">
        <f t="shared" ca="1" si="6"/>
        <v>0</v>
      </c>
      <c r="P33" s="7">
        <f t="shared" ca="1" si="7"/>
        <v>0</v>
      </c>
      <c r="Q33" s="7">
        <f t="shared" ca="1" si="8"/>
        <v>0</v>
      </c>
      <c r="R33" s="61" t="str">
        <f t="shared" si="9"/>
        <v xml:space="preserve"> (00-Jan)</v>
      </c>
      <c r="S33" s="8" t="str" cm="1">
        <f t="array" aca="1" ref="S33" ca="1">GetProgressLabel(L33,M33)</f>
        <v>0%</v>
      </c>
      <c r="T33" s="63" t="b">
        <v>1</v>
      </c>
      <c r="U33" s="63" t="s">
        <v>74</v>
      </c>
      <c r="V33" s="57"/>
      <c r="W33" s="57"/>
      <c r="X33" s="57"/>
      <c r="Y33" s="57"/>
      <c r="Z33" s="57"/>
      <c r="AA33" s="57"/>
      <c r="AB33" s="57"/>
      <c r="AC33" s="57"/>
      <c r="AD33" s="57"/>
      <c r="AE33" s="58"/>
      <c r="AF33" s="38"/>
    </row>
    <row r="34" spans="2:32" ht="12" customHeight="1" x14ac:dyDescent="0.3">
      <c r="B34" s="2">
        <f t="shared" si="10"/>
        <v>23</v>
      </c>
      <c r="C34" s="20"/>
      <c r="D34" s="20"/>
      <c r="E34" s="20"/>
      <c r="F34" s="4"/>
      <c r="G34" s="47"/>
      <c r="H34" s="5"/>
      <c r="I34" s="6">
        <f t="shared" si="0"/>
        <v>0</v>
      </c>
      <c r="J34" s="6" cm="1">
        <f t="array" ref="J34">FinishDate(I34,G34,holidays)</f>
        <v>0</v>
      </c>
      <c r="K34" s="45">
        <f t="shared" si="3"/>
        <v>0</v>
      </c>
      <c r="L34" s="16" cm="1">
        <f t="array" aca="1" ref="L34" ca="1">AutoProgress(I34,J34,holidays,$C$5)</f>
        <v>0</v>
      </c>
      <c r="M34" s="17">
        <f t="shared" ca="1" si="4"/>
        <v>0</v>
      </c>
      <c r="N34" s="7">
        <f t="shared" ca="1" si="5"/>
        <v>0</v>
      </c>
      <c r="O34" s="7">
        <f t="shared" ca="1" si="6"/>
        <v>0</v>
      </c>
      <c r="P34" s="7">
        <f t="shared" ca="1" si="7"/>
        <v>0</v>
      </c>
      <c r="Q34" s="7">
        <f t="shared" ca="1" si="8"/>
        <v>0</v>
      </c>
      <c r="R34" s="61" t="str">
        <f t="shared" si="9"/>
        <v xml:space="preserve"> (00-Jan)</v>
      </c>
      <c r="S34" s="8" t="str" cm="1">
        <f t="array" aca="1" ref="S34" ca="1">GetProgressLabel(L34,M34)</f>
        <v>0%</v>
      </c>
      <c r="T34" s="63" t="b">
        <v>1</v>
      </c>
      <c r="U34" s="63" t="s">
        <v>74</v>
      </c>
      <c r="V34" s="57"/>
      <c r="W34" s="57"/>
      <c r="X34" s="57"/>
      <c r="Y34" s="57"/>
      <c r="Z34" s="57"/>
      <c r="AA34" s="57"/>
      <c r="AB34" s="57"/>
      <c r="AC34" s="57"/>
      <c r="AD34" s="57"/>
      <c r="AE34" s="58"/>
      <c r="AF34" s="38"/>
    </row>
    <row r="35" spans="2:32" ht="12" customHeight="1" x14ac:dyDescent="0.3">
      <c r="B35" s="2">
        <f t="shared" si="10"/>
        <v>24</v>
      </c>
      <c r="C35" s="20"/>
      <c r="D35" s="20"/>
      <c r="E35" s="20"/>
      <c r="F35" s="4"/>
      <c r="G35" s="47"/>
      <c r="H35" s="5"/>
      <c r="I35" s="6">
        <f t="shared" si="0"/>
        <v>0</v>
      </c>
      <c r="J35" s="6" cm="1">
        <f t="array" ref="J35">FinishDate(I35,G35,holidays)</f>
        <v>0</v>
      </c>
      <c r="K35" s="45">
        <f t="shared" si="3"/>
        <v>0</v>
      </c>
      <c r="L35" s="16" cm="1">
        <f t="array" aca="1" ref="L35" ca="1">AutoProgress(I35,J35,holidays,$C$5)</f>
        <v>0</v>
      </c>
      <c r="M35" s="17">
        <f t="shared" ca="1" si="4"/>
        <v>0</v>
      </c>
      <c r="N35" s="7">
        <f t="shared" ca="1" si="5"/>
        <v>0</v>
      </c>
      <c r="O35" s="7">
        <f t="shared" ca="1" si="6"/>
        <v>0</v>
      </c>
      <c r="P35" s="7">
        <f t="shared" ca="1" si="7"/>
        <v>0</v>
      </c>
      <c r="Q35" s="7">
        <f t="shared" ca="1" si="8"/>
        <v>0</v>
      </c>
      <c r="R35" s="61" t="str">
        <f t="shared" si="9"/>
        <v xml:space="preserve"> (00-Jan)</v>
      </c>
      <c r="S35" s="8" t="str" cm="1">
        <f t="array" aca="1" ref="S35" ca="1">GetProgressLabel(L35,M35)</f>
        <v>0%</v>
      </c>
      <c r="T35" s="63" t="b">
        <v>1</v>
      </c>
      <c r="U35" s="63" t="s">
        <v>74</v>
      </c>
      <c r="V35" s="57"/>
      <c r="W35" s="57"/>
      <c r="X35" s="57"/>
      <c r="Y35" s="57"/>
      <c r="Z35" s="57"/>
      <c r="AA35" s="57"/>
      <c r="AB35" s="57"/>
      <c r="AC35" s="57"/>
      <c r="AD35" s="57"/>
      <c r="AE35" s="58"/>
      <c r="AF35" s="38"/>
    </row>
    <row r="36" spans="2:32" ht="12" customHeight="1" x14ac:dyDescent="0.3">
      <c r="B36" s="2">
        <f t="shared" si="10"/>
        <v>25</v>
      </c>
      <c r="C36" s="20"/>
      <c r="D36" s="20"/>
      <c r="E36" s="20"/>
      <c r="F36" s="4"/>
      <c r="G36" s="47"/>
      <c r="H36" s="5"/>
      <c r="I36" s="6">
        <f t="shared" si="0"/>
        <v>0</v>
      </c>
      <c r="J36" s="6" cm="1">
        <f t="array" ref="J36">FinishDate(I36,G36,holidays)</f>
        <v>0</v>
      </c>
      <c r="K36" s="45">
        <f t="shared" si="3"/>
        <v>0</v>
      </c>
      <c r="L36" s="16" cm="1">
        <f t="array" aca="1" ref="L36" ca="1">AutoProgress(I36,J36,holidays,$C$5)</f>
        <v>0</v>
      </c>
      <c r="M36" s="17">
        <f t="shared" ca="1" si="4"/>
        <v>0</v>
      </c>
      <c r="N36" s="7">
        <f t="shared" ca="1" si="5"/>
        <v>0</v>
      </c>
      <c r="O36" s="7">
        <f t="shared" ca="1" si="6"/>
        <v>0</v>
      </c>
      <c r="P36" s="7">
        <f t="shared" ca="1" si="7"/>
        <v>0</v>
      </c>
      <c r="Q36" s="7">
        <f t="shared" ca="1" si="8"/>
        <v>0</v>
      </c>
      <c r="R36" s="61" t="str">
        <f t="shared" si="9"/>
        <v xml:space="preserve"> (00-Jan)</v>
      </c>
      <c r="S36" s="8" t="str" cm="1">
        <f t="array" aca="1" ref="S36" ca="1">GetProgressLabel(L36,M36)</f>
        <v>0%</v>
      </c>
      <c r="T36" s="63" t="b">
        <v>1</v>
      </c>
      <c r="U36" s="63" t="s">
        <v>74</v>
      </c>
      <c r="V36" s="57"/>
      <c r="W36" s="57"/>
      <c r="X36" s="57"/>
      <c r="Y36" s="57"/>
      <c r="Z36" s="57"/>
      <c r="AA36" s="57"/>
      <c r="AB36" s="57"/>
      <c r="AC36" s="57"/>
      <c r="AD36" s="57"/>
      <c r="AE36" s="58"/>
      <c r="AF36" s="38"/>
    </row>
    <row r="37" spans="2:32" ht="12" customHeight="1" x14ac:dyDescent="0.3">
      <c r="B37" s="2">
        <f t="shared" si="10"/>
        <v>26</v>
      </c>
      <c r="C37" s="20"/>
      <c r="D37" s="20"/>
      <c r="E37" s="20"/>
      <c r="F37" s="4"/>
      <c r="G37" s="47"/>
      <c r="H37" s="5"/>
      <c r="I37" s="6">
        <f t="shared" si="0"/>
        <v>0</v>
      </c>
      <c r="J37" s="6" cm="1">
        <f t="array" ref="J37">FinishDate(I37,G37,holidays)</f>
        <v>0</v>
      </c>
      <c r="K37" s="45">
        <f t="shared" si="3"/>
        <v>0</v>
      </c>
      <c r="L37" s="16" cm="1">
        <f t="array" aca="1" ref="L37" ca="1">AutoProgress(I37,J37,holidays,$C$5)</f>
        <v>0</v>
      </c>
      <c r="M37" s="17">
        <f t="shared" ca="1" si="4"/>
        <v>0</v>
      </c>
      <c r="N37" s="7">
        <f t="shared" ca="1" si="5"/>
        <v>0</v>
      </c>
      <c r="O37" s="7">
        <f t="shared" ca="1" si="6"/>
        <v>0</v>
      </c>
      <c r="P37" s="7">
        <f t="shared" ca="1" si="7"/>
        <v>0</v>
      </c>
      <c r="Q37" s="7">
        <f t="shared" ca="1" si="8"/>
        <v>0</v>
      </c>
      <c r="R37" s="61" t="str">
        <f t="shared" si="9"/>
        <v xml:space="preserve"> (00-Jan)</v>
      </c>
      <c r="S37" s="8" t="str" cm="1">
        <f t="array" aca="1" ref="S37" ca="1">GetProgressLabel(L37,M37)</f>
        <v>0%</v>
      </c>
      <c r="T37" s="63" t="b">
        <v>1</v>
      </c>
      <c r="U37" s="63" t="s">
        <v>74</v>
      </c>
      <c r="V37" s="57"/>
      <c r="W37" s="57"/>
      <c r="X37" s="57"/>
      <c r="Y37" s="57"/>
      <c r="Z37" s="57"/>
      <c r="AA37" s="57"/>
      <c r="AB37" s="57"/>
      <c r="AC37" s="57"/>
      <c r="AD37" s="57"/>
      <c r="AE37" s="58"/>
      <c r="AF37" s="38"/>
    </row>
    <row r="38" spans="2:32" ht="12" customHeight="1" x14ac:dyDescent="0.3">
      <c r="B38" s="2">
        <f t="shared" si="10"/>
        <v>27</v>
      </c>
      <c r="C38" s="20"/>
      <c r="D38" s="3"/>
      <c r="E38" s="20"/>
      <c r="F38" s="4"/>
      <c r="G38" s="47"/>
      <c r="H38" s="5"/>
      <c r="I38" s="6">
        <f t="shared" si="0"/>
        <v>0</v>
      </c>
      <c r="J38" s="6" cm="1">
        <f t="array" ref="J38">FinishDate(I38,G38,holidays)</f>
        <v>0</v>
      </c>
      <c r="K38" s="45">
        <f t="shared" si="3"/>
        <v>0</v>
      </c>
      <c r="L38" s="16" cm="1">
        <f t="array" aca="1" ref="L38" ca="1">AutoProgress(I38,J38,holidays,$C$5)</f>
        <v>0</v>
      </c>
      <c r="M38" s="17">
        <f t="shared" ca="1" si="4"/>
        <v>0</v>
      </c>
      <c r="N38" s="7">
        <f t="shared" ca="1" si="5"/>
        <v>0</v>
      </c>
      <c r="O38" s="7">
        <f t="shared" ca="1" si="6"/>
        <v>0</v>
      </c>
      <c r="P38" s="7">
        <f t="shared" ca="1" si="7"/>
        <v>0</v>
      </c>
      <c r="Q38" s="7">
        <f t="shared" ca="1" si="8"/>
        <v>0</v>
      </c>
      <c r="R38" s="61" t="str">
        <f t="shared" si="9"/>
        <v xml:space="preserve"> (00-Jan)</v>
      </c>
      <c r="S38" s="8" t="str" cm="1">
        <f t="array" aca="1" ref="S38" ca="1">GetProgressLabel(L38,M38)</f>
        <v>0%</v>
      </c>
      <c r="T38" s="63" t="b">
        <v>1</v>
      </c>
      <c r="U38" s="63" t="s">
        <v>74</v>
      </c>
      <c r="V38" s="57"/>
      <c r="W38" s="57"/>
      <c r="X38" s="57"/>
      <c r="Y38" s="57"/>
      <c r="Z38" s="57"/>
      <c r="AA38" s="57"/>
      <c r="AB38" s="57"/>
      <c r="AC38" s="57"/>
      <c r="AD38" s="57"/>
      <c r="AE38" s="58"/>
      <c r="AF38" s="38"/>
    </row>
    <row r="39" spans="2:32" ht="12" customHeight="1" x14ac:dyDescent="0.3">
      <c r="B39" s="2">
        <f t="shared" si="10"/>
        <v>28</v>
      </c>
      <c r="C39" s="20"/>
      <c r="D39" s="20"/>
      <c r="E39" s="20"/>
      <c r="F39" s="4"/>
      <c r="G39" s="47"/>
      <c r="H39" s="5"/>
      <c r="I39" s="6">
        <f t="shared" si="0"/>
        <v>0</v>
      </c>
      <c r="J39" s="6" cm="1">
        <f t="array" ref="J39">FinishDate(I39,G39,holidays)</f>
        <v>0</v>
      </c>
      <c r="K39" s="45">
        <f t="shared" si="3"/>
        <v>0</v>
      </c>
      <c r="L39" s="16" cm="1">
        <f t="array" aca="1" ref="L39" ca="1">AutoProgress(I39,J39,holidays,$C$5)</f>
        <v>0</v>
      </c>
      <c r="M39" s="17">
        <f t="shared" ca="1" si="4"/>
        <v>0</v>
      </c>
      <c r="N39" s="7">
        <f t="shared" ca="1" si="5"/>
        <v>0</v>
      </c>
      <c r="O39" s="7">
        <f t="shared" ca="1" si="6"/>
        <v>0</v>
      </c>
      <c r="P39" s="7">
        <f t="shared" ca="1" si="7"/>
        <v>0</v>
      </c>
      <c r="Q39" s="7">
        <f t="shared" ca="1" si="8"/>
        <v>0</v>
      </c>
      <c r="R39" s="61" t="str">
        <f t="shared" si="9"/>
        <v xml:space="preserve"> (00-Jan)</v>
      </c>
      <c r="S39" s="8" t="str" cm="1">
        <f t="array" aca="1" ref="S39" ca="1">GetProgressLabel(L39,M39)</f>
        <v>0%</v>
      </c>
      <c r="T39" s="63" t="b">
        <v>1</v>
      </c>
      <c r="U39" s="63" t="s">
        <v>74</v>
      </c>
      <c r="V39" s="57"/>
      <c r="W39" s="57"/>
      <c r="X39" s="57"/>
      <c r="Y39" s="57"/>
      <c r="Z39" s="57"/>
      <c r="AA39" s="57"/>
      <c r="AB39" s="57"/>
      <c r="AC39" s="57"/>
      <c r="AD39" s="57"/>
      <c r="AE39" s="58"/>
      <c r="AF39" s="38"/>
    </row>
    <row r="40" spans="2:32" ht="12" customHeight="1" x14ac:dyDescent="0.3">
      <c r="B40" s="2">
        <f t="shared" si="10"/>
        <v>29</v>
      </c>
      <c r="C40" s="20"/>
      <c r="D40" s="3"/>
      <c r="E40" s="20"/>
      <c r="F40" s="4"/>
      <c r="G40" s="47"/>
      <c r="H40" s="5"/>
      <c r="I40" s="6">
        <f t="shared" si="0"/>
        <v>0</v>
      </c>
      <c r="J40" s="6" cm="1">
        <f t="array" ref="J40">FinishDate(I40,G40,holidays)</f>
        <v>0</v>
      </c>
      <c r="K40" s="45">
        <f t="shared" si="3"/>
        <v>0</v>
      </c>
      <c r="L40" s="16" cm="1">
        <f t="array" aca="1" ref="L40" ca="1">AutoProgress(I40,J40,holidays,$C$5)</f>
        <v>0</v>
      </c>
      <c r="M40" s="17">
        <f t="shared" ca="1" si="4"/>
        <v>0</v>
      </c>
      <c r="N40" s="7">
        <f t="shared" ca="1" si="5"/>
        <v>0</v>
      </c>
      <c r="O40" s="7">
        <f t="shared" ca="1" si="6"/>
        <v>0</v>
      </c>
      <c r="P40" s="7">
        <f t="shared" ca="1" si="7"/>
        <v>0</v>
      </c>
      <c r="Q40" s="7">
        <f t="shared" ca="1" si="8"/>
        <v>0</v>
      </c>
      <c r="R40" s="61" t="str">
        <f t="shared" si="9"/>
        <v xml:space="preserve"> (00-Jan)</v>
      </c>
      <c r="S40" s="8" t="str" cm="1">
        <f t="array" aca="1" ref="S40" ca="1">GetProgressLabel(L40,M40)</f>
        <v>0%</v>
      </c>
      <c r="T40" s="63" t="b">
        <v>1</v>
      </c>
      <c r="U40" s="63" t="s">
        <v>74</v>
      </c>
      <c r="V40" s="57"/>
      <c r="W40" s="57"/>
      <c r="X40" s="57"/>
      <c r="Y40" s="57"/>
      <c r="Z40" s="57"/>
      <c r="AA40" s="57"/>
      <c r="AB40" s="57"/>
      <c r="AC40" s="57"/>
      <c r="AD40" s="57"/>
      <c r="AE40" s="58"/>
      <c r="AF40" s="38"/>
    </row>
    <row r="41" spans="2:32" ht="12" customHeight="1" x14ac:dyDescent="0.3">
      <c r="B41" s="2">
        <f t="shared" si="10"/>
        <v>30</v>
      </c>
      <c r="C41" s="20"/>
      <c r="D41" s="20"/>
      <c r="E41" s="20"/>
      <c r="F41" s="4"/>
      <c r="G41" s="47"/>
      <c r="H41" s="5"/>
      <c r="I41" s="6">
        <f t="shared" si="0"/>
        <v>0</v>
      </c>
      <c r="J41" s="6" cm="1">
        <f t="array" ref="J41">FinishDate(I41,G41,holidays)</f>
        <v>0</v>
      </c>
      <c r="K41" s="45">
        <f t="shared" si="3"/>
        <v>0</v>
      </c>
      <c r="L41" s="16" cm="1">
        <f t="array" aca="1" ref="L41" ca="1">AutoProgress(I41,J41,holidays,$C$5)</f>
        <v>0</v>
      </c>
      <c r="M41" s="17">
        <f t="shared" ca="1" si="4"/>
        <v>0</v>
      </c>
      <c r="N41" s="7">
        <f t="shared" ca="1" si="5"/>
        <v>0</v>
      </c>
      <c r="O41" s="7">
        <f t="shared" ca="1" si="6"/>
        <v>0</v>
      </c>
      <c r="P41" s="7">
        <f t="shared" ca="1" si="7"/>
        <v>0</v>
      </c>
      <c r="Q41" s="7">
        <f t="shared" ca="1" si="8"/>
        <v>0</v>
      </c>
      <c r="R41" s="61" t="str">
        <f t="shared" si="9"/>
        <v xml:space="preserve"> (00-Jan)</v>
      </c>
      <c r="S41" s="8" t="str" cm="1">
        <f t="array" aca="1" ref="S41" ca="1">GetProgressLabel(L41,M41)</f>
        <v>0%</v>
      </c>
      <c r="T41" s="63" t="b">
        <v>1</v>
      </c>
      <c r="U41" s="63" t="s">
        <v>74</v>
      </c>
      <c r="V41" s="57"/>
      <c r="W41" s="57"/>
      <c r="X41" s="57"/>
      <c r="Y41" s="57"/>
      <c r="Z41" s="57"/>
      <c r="AA41" s="57"/>
      <c r="AB41" s="57"/>
      <c r="AC41" s="57"/>
      <c r="AD41" s="57"/>
      <c r="AE41" s="58"/>
      <c r="AF41" s="38"/>
    </row>
    <row r="42" spans="2:32" ht="12" customHeight="1" x14ac:dyDescent="0.3">
      <c r="B42" s="2">
        <f t="shared" si="10"/>
        <v>31</v>
      </c>
      <c r="C42" s="20"/>
      <c r="D42" s="20"/>
      <c r="E42" s="20"/>
      <c r="F42" s="4"/>
      <c r="G42" s="47"/>
      <c r="H42" s="5"/>
      <c r="I42" s="6">
        <f t="shared" si="0"/>
        <v>0</v>
      </c>
      <c r="J42" s="6" cm="1">
        <f t="array" ref="J42">FinishDate(I42,G42,holidays)</f>
        <v>0</v>
      </c>
      <c r="K42" s="45">
        <f t="shared" ref="K42:K57" si="11">J42-I42</f>
        <v>0</v>
      </c>
      <c r="L42" s="16" cm="1">
        <f t="array" aca="1" ref="L42" ca="1">AutoProgress(I42,J42,holidays,$C$5)</f>
        <v>0</v>
      </c>
      <c r="M42" s="17">
        <f t="shared" ca="1" si="1"/>
        <v>0</v>
      </c>
      <c r="N42" s="7">
        <f t="shared" ref="N42:N57" ca="1" si="12">IF(M42&lt;L42,K42,0)</f>
        <v>0</v>
      </c>
      <c r="O42" s="7">
        <f t="shared" ref="O42:O57" ca="1" si="13">IF(M42=1,K42,0)</f>
        <v>0</v>
      </c>
      <c r="P42" s="7">
        <f t="shared" ref="P42:P57" ca="1" si="14">IF(AND(M42&gt;=L42,M42&gt;0,M42&lt;1),K42,0)</f>
        <v>0</v>
      </c>
      <c r="Q42" s="7">
        <f t="shared" ref="Q42:Q57" ca="1" si="15">K42-SUM(N42:P42)</f>
        <v>0</v>
      </c>
      <c r="R42" s="61" t="str">
        <f t="shared" si="2"/>
        <v xml:space="preserve"> (00-Jan)</v>
      </c>
      <c r="S42" s="8" t="str" cm="1">
        <f t="array" aca="1" ref="S42" ca="1">GetProgressLabel(L42,M42)</f>
        <v>0%</v>
      </c>
      <c r="T42" s="63" t="b">
        <v>1</v>
      </c>
      <c r="U42" s="63" t="s">
        <v>74</v>
      </c>
      <c r="V42" s="57"/>
      <c r="W42" s="57"/>
      <c r="X42" s="57"/>
      <c r="Y42" s="57"/>
      <c r="Z42" s="57"/>
      <c r="AA42" s="57"/>
      <c r="AB42" s="57"/>
      <c r="AC42" s="57"/>
      <c r="AD42" s="57"/>
      <c r="AE42" s="58"/>
      <c r="AF42" s="38"/>
    </row>
    <row r="43" spans="2:32" ht="12" customHeight="1" x14ac:dyDescent="0.3">
      <c r="B43" s="2">
        <f t="shared" si="10"/>
        <v>32</v>
      </c>
      <c r="C43" s="20"/>
      <c r="D43" s="3"/>
      <c r="E43" s="20"/>
      <c r="F43" s="4"/>
      <c r="G43" s="47"/>
      <c r="H43" s="5"/>
      <c r="I43" s="6">
        <f t="shared" si="0"/>
        <v>0</v>
      </c>
      <c r="J43" s="6" cm="1">
        <f t="array" ref="J43">FinishDate(I43,G43,holidays)</f>
        <v>0</v>
      </c>
      <c r="K43" s="45">
        <f t="shared" si="11"/>
        <v>0</v>
      </c>
      <c r="L43" s="16" cm="1">
        <f t="array" aca="1" ref="L43" ca="1">AutoProgress(I43,J43,holidays,$C$5)</f>
        <v>0</v>
      </c>
      <c r="M43" s="17">
        <f t="shared" ca="1" si="1"/>
        <v>0</v>
      </c>
      <c r="N43" s="7">
        <f t="shared" ca="1" si="12"/>
        <v>0</v>
      </c>
      <c r="O43" s="7">
        <f t="shared" ca="1" si="13"/>
        <v>0</v>
      </c>
      <c r="P43" s="7">
        <f t="shared" ca="1" si="14"/>
        <v>0</v>
      </c>
      <c r="Q43" s="7">
        <f t="shared" ca="1" si="15"/>
        <v>0</v>
      </c>
      <c r="R43" s="61" t="str">
        <f t="shared" si="2"/>
        <v xml:space="preserve"> (00-Jan)</v>
      </c>
      <c r="S43" s="8" t="str" cm="1">
        <f t="array" aca="1" ref="S43" ca="1">GetProgressLabel(L43,M43)</f>
        <v>0%</v>
      </c>
      <c r="T43" s="63" t="b">
        <v>1</v>
      </c>
      <c r="U43" s="63" t="s">
        <v>74</v>
      </c>
      <c r="V43" s="57"/>
      <c r="W43" s="57"/>
      <c r="X43" s="57"/>
      <c r="Y43" s="57"/>
      <c r="Z43" s="57"/>
      <c r="AA43" s="57"/>
      <c r="AB43" s="57"/>
      <c r="AC43" s="57"/>
      <c r="AD43" s="57"/>
      <c r="AE43" s="58"/>
      <c r="AF43" s="38"/>
    </row>
    <row r="44" spans="2:32" ht="12" customHeight="1" x14ac:dyDescent="0.3">
      <c r="B44" s="2">
        <f t="shared" si="10"/>
        <v>33</v>
      </c>
      <c r="C44" s="20"/>
      <c r="D44" s="20"/>
      <c r="E44" s="20"/>
      <c r="F44" s="4"/>
      <c r="G44" s="47"/>
      <c r="H44" s="5"/>
      <c r="I44" s="6">
        <f t="shared" ref="I44:I71" si="16">IFERROR(WORKDAY(F44-1,1,holidays),0)</f>
        <v>0</v>
      </c>
      <c r="J44" s="6" cm="1">
        <f t="array" ref="J44">FinishDate(I44,G44,holidays)</f>
        <v>0</v>
      </c>
      <c r="K44" s="45">
        <f t="shared" si="11"/>
        <v>0</v>
      </c>
      <c r="L44" s="16" cm="1">
        <f t="array" aca="1" ref="L44" ca="1">AutoProgress(I44,J44,holidays,$C$5)</f>
        <v>0</v>
      </c>
      <c r="M44" s="17">
        <f t="shared" ca="1" si="1"/>
        <v>0</v>
      </c>
      <c r="N44" s="7">
        <f t="shared" ca="1" si="12"/>
        <v>0</v>
      </c>
      <c r="O44" s="7">
        <f t="shared" ca="1" si="13"/>
        <v>0</v>
      </c>
      <c r="P44" s="7">
        <f t="shared" ca="1" si="14"/>
        <v>0</v>
      </c>
      <c r="Q44" s="7">
        <f t="shared" ca="1" si="15"/>
        <v>0</v>
      </c>
      <c r="R44" s="61" t="str">
        <f t="shared" si="2"/>
        <v xml:space="preserve"> (00-Jan)</v>
      </c>
      <c r="S44" s="8" t="str" cm="1">
        <f t="array" aca="1" ref="S44" ca="1">GetProgressLabel(L44,M44)</f>
        <v>0%</v>
      </c>
      <c r="T44" s="63" t="b">
        <v>1</v>
      </c>
      <c r="U44" s="63" t="s">
        <v>74</v>
      </c>
      <c r="V44" s="57"/>
      <c r="W44" s="57"/>
      <c r="X44" s="57"/>
      <c r="Y44" s="57"/>
      <c r="Z44" s="57"/>
      <c r="AA44" s="57"/>
      <c r="AB44" s="57"/>
      <c r="AC44" s="57"/>
      <c r="AD44" s="57"/>
      <c r="AE44" s="58"/>
      <c r="AF44" s="38"/>
    </row>
    <row r="45" spans="2:32" ht="12" customHeight="1" x14ac:dyDescent="0.3">
      <c r="B45" s="2">
        <f t="shared" si="10"/>
        <v>34</v>
      </c>
      <c r="C45" s="20"/>
      <c r="D45" s="3"/>
      <c r="E45" s="20"/>
      <c r="F45" s="4"/>
      <c r="G45" s="47"/>
      <c r="H45" s="5"/>
      <c r="I45" s="6">
        <f t="shared" si="16"/>
        <v>0</v>
      </c>
      <c r="J45" s="6" cm="1">
        <f t="array" ref="J45">FinishDate(I45,G45,holidays)</f>
        <v>0</v>
      </c>
      <c r="K45" s="45">
        <f t="shared" si="11"/>
        <v>0</v>
      </c>
      <c r="L45" s="16" cm="1">
        <f t="array" aca="1" ref="L45" ca="1">AutoProgress(I45,J45,holidays,$C$5)</f>
        <v>0</v>
      </c>
      <c r="M45" s="17">
        <f t="shared" ca="1" si="1"/>
        <v>0</v>
      </c>
      <c r="N45" s="7">
        <f t="shared" ca="1" si="12"/>
        <v>0</v>
      </c>
      <c r="O45" s="7">
        <f t="shared" ca="1" si="13"/>
        <v>0</v>
      </c>
      <c r="P45" s="7">
        <f t="shared" ca="1" si="14"/>
        <v>0</v>
      </c>
      <c r="Q45" s="7">
        <f t="shared" ca="1" si="15"/>
        <v>0</v>
      </c>
      <c r="R45" s="61" t="str">
        <f t="shared" si="2"/>
        <v xml:space="preserve"> (00-Jan)</v>
      </c>
      <c r="S45" s="8" t="str" cm="1">
        <f t="array" aca="1" ref="S45" ca="1">GetProgressLabel(L45,M45)</f>
        <v>0%</v>
      </c>
      <c r="T45" s="63" t="b">
        <v>1</v>
      </c>
      <c r="U45" s="63" t="s">
        <v>74</v>
      </c>
      <c r="V45" s="57"/>
      <c r="W45" s="57"/>
      <c r="X45" s="57"/>
      <c r="Y45" s="57"/>
      <c r="Z45" s="57"/>
      <c r="AA45" s="57"/>
      <c r="AB45" s="57"/>
      <c r="AC45" s="57"/>
      <c r="AD45" s="57"/>
      <c r="AE45" s="58"/>
      <c r="AF45" s="38"/>
    </row>
    <row r="46" spans="2:32" ht="12" customHeight="1" x14ac:dyDescent="0.3">
      <c r="B46" s="2">
        <f t="shared" si="10"/>
        <v>35</v>
      </c>
      <c r="C46" s="20"/>
      <c r="D46" s="20"/>
      <c r="E46" s="20"/>
      <c r="F46" s="4"/>
      <c r="G46" s="47"/>
      <c r="H46" s="5"/>
      <c r="I46" s="6">
        <f t="shared" si="16"/>
        <v>0</v>
      </c>
      <c r="J46" s="6" cm="1">
        <f t="array" ref="J46">FinishDate(I46,G46,holidays)</f>
        <v>0</v>
      </c>
      <c r="K46" s="45">
        <f t="shared" si="11"/>
        <v>0</v>
      </c>
      <c r="L46" s="16" cm="1">
        <f t="array" aca="1" ref="L46" ca="1">AutoProgress(I46,J46,holidays,$C$5)</f>
        <v>0</v>
      </c>
      <c r="M46" s="17">
        <f t="shared" ca="1" si="1"/>
        <v>0</v>
      </c>
      <c r="N46" s="7">
        <f t="shared" ca="1" si="12"/>
        <v>0</v>
      </c>
      <c r="O46" s="7">
        <f t="shared" ca="1" si="13"/>
        <v>0</v>
      </c>
      <c r="P46" s="7">
        <f t="shared" ca="1" si="14"/>
        <v>0</v>
      </c>
      <c r="Q46" s="7">
        <f t="shared" ca="1" si="15"/>
        <v>0</v>
      </c>
      <c r="R46" s="61" t="str">
        <f t="shared" si="2"/>
        <v xml:space="preserve"> (00-Jan)</v>
      </c>
      <c r="S46" s="8" t="str" cm="1">
        <f t="array" aca="1" ref="S46" ca="1">GetProgressLabel(L46,M46)</f>
        <v>0%</v>
      </c>
      <c r="T46" s="63" t="b">
        <v>1</v>
      </c>
      <c r="U46" s="63" t="s">
        <v>74</v>
      </c>
      <c r="V46" s="57"/>
      <c r="W46" s="57"/>
      <c r="X46" s="57"/>
      <c r="Y46" s="57"/>
      <c r="Z46" s="57"/>
      <c r="AA46" s="57"/>
      <c r="AB46" s="57"/>
      <c r="AC46" s="57"/>
      <c r="AD46" s="57"/>
      <c r="AE46" s="58"/>
      <c r="AF46" s="38"/>
    </row>
    <row r="47" spans="2:32" ht="12" customHeight="1" x14ac:dyDescent="0.3">
      <c r="B47" s="2">
        <f t="shared" si="10"/>
        <v>36</v>
      </c>
      <c r="C47" s="20"/>
      <c r="D47" s="20"/>
      <c r="E47" s="20"/>
      <c r="F47" s="4"/>
      <c r="G47" s="47"/>
      <c r="H47" s="5"/>
      <c r="I47" s="6">
        <f t="shared" si="16"/>
        <v>0</v>
      </c>
      <c r="J47" s="6" cm="1">
        <f t="array" ref="J47">FinishDate(I47,G47,holidays)</f>
        <v>0</v>
      </c>
      <c r="K47" s="45">
        <f t="shared" si="11"/>
        <v>0</v>
      </c>
      <c r="L47" s="16" cm="1">
        <f t="array" aca="1" ref="L47" ca="1">AutoProgress(I47,J47,holidays,$C$5)</f>
        <v>0</v>
      </c>
      <c r="M47" s="17">
        <f t="shared" ca="1" si="1"/>
        <v>0</v>
      </c>
      <c r="N47" s="7">
        <f t="shared" ca="1" si="12"/>
        <v>0</v>
      </c>
      <c r="O47" s="7">
        <f t="shared" ca="1" si="13"/>
        <v>0</v>
      </c>
      <c r="P47" s="7">
        <f t="shared" ca="1" si="14"/>
        <v>0</v>
      </c>
      <c r="Q47" s="7">
        <f t="shared" ca="1" si="15"/>
        <v>0</v>
      </c>
      <c r="R47" s="61" t="str">
        <f t="shared" si="2"/>
        <v xml:space="preserve"> (00-Jan)</v>
      </c>
      <c r="S47" s="8" t="str" cm="1">
        <f t="array" aca="1" ref="S47" ca="1">GetProgressLabel(L47,M47)</f>
        <v>0%</v>
      </c>
      <c r="T47" s="63" t="b">
        <v>1</v>
      </c>
      <c r="U47" s="63" t="s">
        <v>74</v>
      </c>
      <c r="V47" s="57"/>
      <c r="W47" s="57"/>
      <c r="X47" s="57"/>
      <c r="Y47" s="57"/>
      <c r="Z47" s="57"/>
      <c r="AA47" s="57"/>
      <c r="AB47" s="57"/>
      <c r="AC47" s="57"/>
      <c r="AD47" s="57"/>
      <c r="AE47" s="58"/>
      <c r="AF47" s="38"/>
    </row>
    <row r="48" spans="2:32" ht="12" customHeight="1" x14ac:dyDescent="0.3">
      <c r="B48" s="2">
        <f t="shared" si="10"/>
        <v>37</v>
      </c>
      <c r="C48" s="20"/>
      <c r="D48" s="20"/>
      <c r="E48" s="20"/>
      <c r="F48" s="4"/>
      <c r="G48" s="47"/>
      <c r="H48" s="5"/>
      <c r="I48" s="6">
        <f t="shared" si="16"/>
        <v>0</v>
      </c>
      <c r="J48" s="6" cm="1">
        <f t="array" ref="J48">FinishDate(I48,G48,holidays)</f>
        <v>0</v>
      </c>
      <c r="K48" s="45">
        <f t="shared" si="11"/>
        <v>0</v>
      </c>
      <c r="L48" s="16" cm="1">
        <f t="array" aca="1" ref="L48" ca="1">AutoProgress(I48,J48,holidays,$C$5)</f>
        <v>0</v>
      </c>
      <c r="M48" s="17">
        <f t="shared" ca="1" si="1"/>
        <v>0</v>
      </c>
      <c r="N48" s="7">
        <f t="shared" ca="1" si="12"/>
        <v>0</v>
      </c>
      <c r="O48" s="7">
        <f t="shared" ca="1" si="13"/>
        <v>0</v>
      </c>
      <c r="P48" s="7">
        <f t="shared" ca="1" si="14"/>
        <v>0</v>
      </c>
      <c r="Q48" s="7">
        <f t="shared" ca="1" si="15"/>
        <v>0</v>
      </c>
      <c r="R48" s="61" t="str">
        <f t="shared" si="2"/>
        <v xml:space="preserve"> (00-Jan)</v>
      </c>
      <c r="S48" s="8" t="str" cm="1">
        <f t="array" aca="1" ref="S48" ca="1">GetProgressLabel(L48,M48)</f>
        <v>0%</v>
      </c>
      <c r="T48" s="63" t="b">
        <v>1</v>
      </c>
      <c r="U48" s="63" t="s">
        <v>74</v>
      </c>
      <c r="V48" s="57"/>
      <c r="W48" s="57"/>
      <c r="X48" s="57"/>
      <c r="Y48" s="57"/>
      <c r="Z48" s="57"/>
      <c r="AA48" s="57"/>
      <c r="AB48" s="57"/>
      <c r="AC48" s="57"/>
      <c r="AD48" s="57"/>
      <c r="AE48" s="58"/>
      <c r="AF48" s="38"/>
    </row>
    <row r="49" spans="2:32" ht="12" customHeight="1" x14ac:dyDescent="0.3">
      <c r="B49" s="2">
        <f t="shared" si="10"/>
        <v>38</v>
      </c>
      <c r="C49" s="20"/>
      <c r="D49" s="20"/>
      <c r="E49" s="20"/>
      <c r="F49" s="4"/>
      <c r="G49" s="47"/>
      <c r="H49" s="5"/>
      <c r="I49" s="6">
        <f t="shared" si="16"/>
        <v>0</v>
      </c>
      <c r="J49" s="6" cm="1">
        <f t="array" ref="J49">FinishDate(I49,G49,holidays)</f>
        <v>0</v>
      </c>
      <c r="K49" s="45">
        <f t="shared" si="11"/>
        <v>0</v>
      </c>
      <c r="L49" s="16" cm="1">
        <f t="array" aca="1" ref="L49" ca="1">AutoProgress(I49,J49,holidays,$C$5)</f>
        <v>0</v>
      </c>
      <c r="M49" s="17">
        <f t="shared" ca="1" si="1"/>
        <v>0</v>
      </c>
      <c r="N49" s="7">
        <f t="shared" ca="1" si="12"/>
        <v>0</v>
      </c>
      <c r="O49" s="7">
        <f t="shared" ca="1" si="13"/>
        <v>0</v>
      </c>
      <c r="P49" s="7">
        <f t="shared" ca="1" si="14"/>
        <v>0</v>
      </c>
      <c r="Q49" s="7">
        <f t="shared" ca="1" si="15"/>
        <v>0</v>
      </c>
      <c r="R49" s="61" t="str">
        <f t="shared" si="2"/>
        <v xml:space="preserve"> (00-Jan)</v>
      </c>
      <c r="S49" s="8" t="str" cm="1">
        <f t="array" aca="1" ref="S49" ca="1">GetProgressLabel(L49,M49)</f>
        <v>0%</v>
      </c>
      <c r="T49" s="63" t="b">
        <v>1</v>
      </c>
      <c r="U49" s="63" t="s">
        <v>74</v>
      </c>
      <c r="V49" s="57"/>
      <c r="W49" s="57"/>
      <c r="X49" s="57"/>
      <c r="Y49" s="57"/>
      <c r="Z49" s="57"/>
      <c r="AA49" s="57"/>
      <c r="AB49" s="57"/>
      <c r="AC49" s="57"/>
      <c r="AD49" s="57"/>
      <c r="AE49" s="58"/>
      <c r="AF49" s="38"/>
    </row>
    <row r="50" spans="2:32" ht="12" customHeight="1" x14ac:dyDescent="0.3">
      <c r="B50" s="2">
        <f t="shared" si="10"/>
        <v>39</v>
      </c>
      <c r="C50" s="20"/>
      <c r="D50" s="20"/>
      <c r="E50" s="20"/>
      <c r="F50" s="4"/>
      <c r="G50" s="47"/>
      <c r="H50" s="5"/>
      <c r="I50" s="6">
        <f t="shared" si="16"/>
        <v>0</v>
      </c>
      <c r="J50" s="6" cm="1">
        <f t="array" ref="J50">FinishDate(I50,G50,holidays)</f>
        <v>0</v>
      </c>
      <c r="K50" s="45">
        <f t="shared" si="11"/>
        <v>0</v>
      </c>
      <c r="L50" s="16" cm="1">
        <f t="array" aca="1" ref="L50" ca="1">AutoProgress(I50,J50,holidays,$C$5)</f>
        <v>0</v>
      </c>
      <c r="M50" s="17">
        <f t="shared" ca="1" si="1"/>
        <v>0</v>
      </c>
      <c r="N50" s="7">
        <f t="shared" ca="1" si="12"/>
        <v>0</v>
      </c>
      <c r="O50" s="7">
        <f t="shared" ca="1" si="13"/>
        <v>0</v>
      </c>
      <c r="P50" s="7">
        <f t="shared" ca="1" si="14"/>
        <v>0</v>
      </c>
      <c r="Q50" s="7">
        <f t="shared" ca="1" si="15"/>
        <v>0</v>
      </c>
      <c r="R50" s="61" t="str">
        <f t="shared" si="2"/>
        <v xml:space="preserve"> (00-Jan)</v>
      </c>
      <c r="S50" s="8" t="str" cm="1">
        <f t="array" aca="1" ref="S50" ca="1">GetProgressLabel(L50,M50)</f>
        <v>0%</v>
      </c>
      <c r="T50" s="63" t="b">
        <v>1</v>
      </c>
      <c r="U50" s="63" t="s">
        <v>74</v>
      </c>
      <c r="V50" s="57"/>
      <c r="W50" s="57"/>
      <c r="X50" s="57"/>
      <c r="Y50" s="57"/>
      <c r="Z50" s="57"/>
      <c r="AA50" s="57"/>
      <c r="AB50" s="57"/>
      <c r="AC50" s="57"/>
      <c r="AD50" s="57"/>
      <c r="AE50" s="58"/>
      <c r="AF50" s="38"/>
    </row>
    <row r="51" spans="2:32" ht="12" customHeight="1" x14ac:dyDescent="0.3">
      <c r="B51" s="2">
        <f t="shared" si="10"/>
        <v>40</v>
      </c>
      <c r="C51" s="20"/>
      <c r="D51" s="3"/>
      <c r="E51" s="20"/>
      <c r="F51" s="4"/>
      <c r="G51" s="47"/>
      <c r="H51" s="5"/>
      <c r="I51" s="6">
        <f t="shared" si="16"/>
        <v>0</v>
      </c>
      <c r="J51" s="6" cm="1">
        <f t="array" ref="J51">FinishDate(I51,G51,holidays)</f>
        <v>0</v>
      </c>
      <c r="K51" s="45">
        <f t="shared" si="11"/>
        <v>0</v>
      </c>
      <c r="L51" s="16" cm="1">
        <f t="array" aca="1" ref="L51" ca="1">AutoProgress(I51,J51,holidays,$C$5)</f>
        <v>0</v>
      </c>
      <c r="M51" s="17">
        <f t="shared" ca="1" si="1"/>
        <v>0</v>
      </c>
      <c r="N51" s="7">
        <f t="shared" ca="1" si="12"/>
        <v>0</v>
      </c>
      <c r="O51" s="7">
        <f t="shared" ca="1" si="13"/>
        <v>0</v>
      </c>
      <c r="P51" s="7">
        <f t="shared" ca="1" si="14"/>
        <v>0</v>
      </c>
      <c r="Q51" s="7">
        <f t="shared" ca="1" si="15"/>
        <v>0</v>
      </c>
      <c r="R51" s="61" t="str">
        <f t="shared" si="2"/>
        <v xml:space="preserve"> (00-Jan)</v>
      </c>
      <c r="S51" s="8" t="str" cm="1">
        <f t="array" aca="1" ref="S51" ca="1">GetProgressLabel(L51,M51)</f>
        <v>0%</v>
      </c>
      <c r="T51" s="63" t="b">
        <v>1</v>
      </c>
      <c r="U51" s="63" t="s">
        <v>74</v>
      </c>
      <c r="V51" s="57"/>
      <c r="W51" s="57"/>
      <c r="X51" s="57"/>
      <c r="Y51" s="57"/>
      <c r="Z51" s="57"/>
      <c r="AA51" s="57"/>
      <c r="AB51" s="57"/>
      <c r="AC51" s="57"/>
      <c r="AD51" s="57"/>
      <c r="AE51" s="58"/>
      <c r="AF51" s="38"/>
    </row>
    <row r="52" spans="2:32" ht="12" customHeight="1" x14ac:dyDescent="0.3">
      <c r="B52" s="2">
        <f t="shared" si="10"/>
        <v>41</v>
      </c>
      <c r="C52" s="20"/>
      <c r="D52" s="20"/>
      <c r="E52" s="20"/>
      <c r="F52" s="4"/>
      <c r="G52" s="47"/>
      <c r="H52" s="5"/>
      <c r="I52" s="6">
        <f t="shared" si="16"/>
        <v>0</v>
      </c>
      <c r="J52" s="6" cm="1">
        <f t="array" ref="J52">FinishDate(I52,G52,holidays)</f>
        <v>0</v>
      </c>
      <c r="K52" s="45">
        <f t="shared" si="11"/>
        <v>0</v>
      </c>
      <c r="L52" s="16" cm="1">
        <f t="array" aca="1" ref="L52" ca="1">AutoProgress(I52,J52,holidays,$C$5)</f>
        <v>0</v>
      </c>
      <c r="M52" s="17">
        <f t="shared" ca="1" si="1"/>
        <v>0</v>
      </c>
      <c r="N52" s="7">
        <f t="shared" ca="1" si="12"/>
        <v>0</v>
      </c>
      <c r="O52" s="7">
        <f t="shared" ca="1" si="13"/>
        <v>0</v>
      </c>
      <c r="P52" s="7">
        <f t="shared" ca="1" si="14"/>
        <v>0</v>
      </c>
      <c r="Q52" s="7">
        <f t="shared" ca="1" si="15"/>
        <v>0</v>
      </c>
      <c r="R52" s="61" t="str">
        <f t="shared" si="2"/>
        <v xml:space="preserve"> (00-Jan)</v>
      </c>
      <c r="S52" s="8" t="str" cm="1">
        <f t="array" aca="1" ref="S52" ca="1">GetProgressLabel(L52,M52)</f>
        <v>0%</v>
      </c>
      <c r="T52" s="63" t="b">
        <v>1</v>
      </c>
      <c r="U52" s="63" t="s">
        <v>74</v>
      </c>
      <c r="V52" s="57"/>
      <c r="W52" s="57"/>
      <c r="X52" s="57"/>
      <c r="Y52" s="57"/>
      <c r="Z52" s="57"/>
      <c r="AA52" s="57"/>
      <c r="AB52" s="57"/>
      <c r="AC52" s="57"/>
      <c r="AD52" s="57"/>
      <c r="AE52" s="58"/>
      <c r="AF52" s="38"/>
    </row>
    <row r="53" spans="2:32" ht="12" customHeight="1" x14ac:dyDescent="0.3">
      <c r="B53" s="2">
        <f t="shared" si="10"/>
        <v>42</v>
      </c>
      <c r="C53" s="20"/>
      <c r="D53" s="3"/>
      <c r="E53" s="20"/>
      <c r="F53" s="4"/>
      <c r="G53" s="47"/>
      <c r="H53" s="5"/>
      <c r="I53" s="6">
        <f t="shared" si="16"/>
        <v>0</v>
      </c>
      <c r="J53" s="6" cm="1">
        <f t="array" ref="J53">FinishDate(I53,G53,holidays)</f>
        <v>0</v>
      </c>
      <c r="K53" s="45">
        <f t="shared" si="11"/>
        <v>0</v>
      </c>
      <c r="L53" s="16" cm="1">
        <f t="array" aca="1" ref="L53" ca="1">AutoProgress(I53,J53,holidays,$C$5)</f>
        <v>0</v>
      </c>
      <c r="M53" s="17">
        <f t="shared" ca="1" si="1"/>
        <v>0</v>
      </c>
      <c r="N53" s="7">
        <f t="shared" ca="1" si="12"/>
        <v>0</v>
      </c>
      <c r="O53" s="7">
        <f t="shared" ca="1" si="13"/>
        <v>0</v>
      </c>
      <c r="P53" s="7">
        <f t="shared" ca="1" si="14"/>
        <v>0</v>
      </c>
      <c r="Q53" s="7">
        <f t="shared" ca="1" si="15"/>
        <v>0</v>
      </c>
      <c r="R53" s="61" t="str">
        <f t="shared" si="2"/>
        <v xml:space="preserve"> (00-Jan)</v>
      </c>
      <c r="S53" s="8" t="str" cm="1">
        <f t="array" aca="1" ref="S53" ca="1">GetProgressLabel(L53,M53)</f>
        <v>0%</v>
      </c>
      <c r="T53" s="63" t="b">
        <v>1</v>
      </c>
      <c r="U53" s="63" t="s">
        <v>74</v>
      </c>
      <c r="V53" s="57"/>
      <c r="W53" s="57"/>
      <c r="X53" s="57"/>
      <c r="Y53" s="57"/>
      <c r="Z53" s="57"/>
      <c r="AA53" s="57"/>
      <c r="AB53" s="57"/>
      <c r="AC53" s="57"/>
      <c r="AD53" s="57"/>
      <c r="AE53" s="58"/>
      <c r="AF53" s="38"/>
    </row>
    <row r="54" spans="2:32" ht="12" customHeight="1" x14ac:dyDescent="0.3">
      <c r="B54" s="2">
        <f t="shared" si="10"/>
        <v>43</v>
      </c>
      <c r="C54" s="20"/>
      <c r="D54" s="20"/>
      <c r="E54" s="20"/>
      <c r="F54" s="4"/>
      <c r="G54" s="47"/>
      <c r="H54" s="5"/>
      <c r="I54" s="6">
        <f t="shared" si="16"/>
        <v>0</v>
      </c>
      <c r="J54" s="6" cm="1">
        <f t="array" ref="J54">FinishDate(I54,G54,holidays)</f>
        <v>0</v>
      </c>
      <c r="K54" s="45">
        <f t="shared" si="11"/>
        <v>0</v>
      </c>
      <c r="L54" s="16" cm="1">
        <f t="array" aca="1" ref="L54" ca="1">AutoProgress(I54,J54,holidays,$C$5)</f>
        <v>0</v>
      </c>
      <c r="M54" s="17">
        <f t="shared" ca="1" si="1"/>
        <v>0</v>
      </c>
      <c r="N54" s="7">
        <f t="shared" ca="1" si="12"/>
        <v>0</v>
      </c>
      <c r="O54" s="7">
        <f t="shared" ca="1" si="13"/>
        <v>0</v>
      </c>
      <c r="P54" s="7">
        <f t="shared" ca="1" si="14"/>
        <v>0</v>
      </c>
      <c r="Q54" s="7">
        <f t="shared" ca="1" si="15"/>
        <v>0</v>
      </c>
      <c r="R54" s="61" t="str">
        <f t="shared" si="2"/>
        <v xml:space="preserve"> (00-Jan)</v>
      </c>
      <c r="S54" s="8" t="str" cm="1">
        <f t="array" aca="1" ref="S54" ca="1">GetProgressLabel(L54,M54)</f>
        <v>0%</v>
      </c>
      <c r="T54" s="63" t="b">
        <v>1</v>
      </c>
      <c r="U54" s="63" t="s">
        <v>74</v>
      </c>
      <c r="V54" s="57"/>
      <c r="W54" s="57"/>
      <c r="X54" s="57"/>
      <c r="Y54" s="57"/>
      <c r="Z54" s="57"/>
      <c r="AA54" s="57"/>
      <c r="AB54" s="57"/>
      <c r="AC54" s="57"/>
      <c r="AD54" s="57"/>
      <c r="AE54" s="58"/>
      <c r="AF54" s="38"/>
    </row>
    <row r="55" spans="2:32" ht="12" customHeight="1" x14ac:dyDescent="0.3">
      <c r="B55" s="2">
        <f t="shared" si="10"/>
        <v>44</v>
      </c>
      <c r="C55" s="20"/>
      <c r="D55" s="20"/>
      <c r="E55" s="20"/>
      <c r="F55" s="4"/>
      <c r="G55" s="47"/>
      <c r="H55" s="5"/>
      <c r="I55" s="6">
        <f t="shared" si="16"/>
        <v>0</v>
      </c>
      <c r="J55" s="6" cm="1">
        <f t="array" ref="J55">FinishDate(I55,G55,holidays)</f>
        <v>0</v>
      </c>
      <c r="K55" s="45">
        <f t="shared" si="11"/>
        <v>0</v>
      </c>
      <c r="L55" s="16" cm="1">
        <f t="array" aca="1" ref="L55" ca="1">AutoProgress(I55,J55,holidays,$C$5)</f>
        <v>0</v>
      </c>
      <c r="M55" s="17">
        <f t="shared" ca="1" si="1"/>
        <v>0</v>
      </c>
      <c r="N55" s="7">
        <f t="shared" ca="1" si="12"/>
        <v>0</v>
      </c>
      <c r="O55" s="7">
        <f t="shared" ca="1" si="13"/>
        <v>0</v>
      </c>
      <c r="P55" s="7">
        <f t="shared" ca="1" si="14"/>
        <v>0</v>
      </c>
      <c r="Q55" s="7">
        <f t="shared" ca="1" si="15"/>
        <v>0</v>
      </c>
      <c r="R55" s="61" t="str">
        <f t="shared" si="2"/>
        <v xml:space="preserve"> (00-Jan)</v>
      </c>
      <c r="S55" s="8" t="str" cm="1">
        <f t="array" aca="1" ref="S55" ca="1">GetProgressLabel(L55,M55)</f>
        <v>0%</v>
      </c>
      <c r="T55" s="63" t="b">
        <v>1</v>
      </c>
      <c r="U55" s="63" t="s">
        <v>74</v>
      </c>
      <c r="V55" s="57"/>
      <c r="W55" s="57"/>
      <c r="X55" s="57"/>
      <c r="Y55" s="57"/>
      <c r="Z55" s="57"/>
      <c r="AA55" s="57"/>
      <c r="AB55" s="57"/>
      <c r="AC55" s="57"/>
      <c r="AD55" s="57"/>
      <c r="AE55" s="58"/>
      <c r="AF55" s="38"/>
    </row>
    <row r="56" spans="2:32" ht="12" customHeight="1" x14ac:dyDescent="0.3">
      <c r="B56" s="2">
        <f t="shared" si="10"/>
        <v>45</v>
      </c>
      <c r="C56" s="20"/>
      <c r="D56" s="20"/>
      <c r="E56" s="20"/>
      <c r="F56" s="4"/>
      <c r="G56" s="47"/>
      <c r="H56" s="5"/>
      <c r="I56" s="6">
        <f t="shared" si="16"/>
        <v>0</v>
      </c>
      <c r="J56" s="6" cm="1">
        <f t="array" ref="J56">FinishDate(I56,G56,holidays)</f>
        <v>0</v>
      </c>
      <c r="K56" s="45">
        <f t="shared" si="11"/>
        <v>0</v>
      </c>
      <c r="L56" s="16" cm="1">
        <f t="array" aca="1" ref="L56" ca="1">AutoProgress(I56,J56,holidays,$C$5)</f>
        <v>0</v>
      </c>
      <c r="M56" s="17">
        <f t="shared" ca="1" si="1"/>
        <v>0</v>
      </c>
      <c r="N56" s="7">
        <f t="shared" ca="1" si="12"/>
        <v>0</v>
      </c>
      <c r="O56" s="7">
        <f t="shared" ca="1" si="13"/>
        <v>0</v>
      </c>
      <c r="P56" s="7">
        <f t="shared" ca="1" si="14"/>
        <v>0</v>
      </c>
      <c r="Q56" s="7">
        <f t="shared" ca="1" si="15"/>
        <v>0</v>
      </c>
      <c r="R56" s="61" t="str">
        <f t="shared" si="2"/>
        <v xml:space="preserve"> (00-Jan)</v>
      </c>
      <c r="S56" s="8" t="str" cm="1">
        <f t="array" aca="1" ref="S56" ca="1">GetProgressLabel(L56,M56)</f>
        <v>0%</v>
      </c>
      <c r="T56" s="63" t="b">
        <v>1</v>
      </c>
      <c r="U56" s="63" t="s">
        <v>74</v>
      </c>
      <c r="V56" s="57"/>
      <c r="W56" s="57"/>
      <c r="X56" s="57"/>
      <c r="Y56" s="57"/>
      <c r="Z56" s="57"/>
      <c r="AA56" s="57"/>
      <c r="AB56" s="57"/>
      <c r="AC56" s="57"/>
      <c r="AD56" s="57"/>
      <c r="AE56" s="58"/>
      <c r="AF56" s="38"/>
    </row>
    <row r="57" spans="2:32" ht="12" customHeight="1" x14ac:dyDescent="0.3">
      <c r="B57" s="2">
        <f t="shared" si="10"/>
        <v>46</v>
      </c>
      <c r="C57" s="20"/>
      <c r="D57" s="20"/>
      <c r="E57" s="20"/>
      <c r="F57" s="4"/>
      <c r="G57" s="47"/>
      <c r="H57" s="5"/>
      <c r="I57" s="6">
        <f t="shared" si="16"/>
        <v>0</v>
      </c>
      <c r="J57" s="6" cm="1">
        <f t="array" ref="J57">FinishDate(I57,G57,holidays)</f>
        <v>0</v>
      </c>
      <c r="K57" s="45">
        <f t="shared" si="11"/>
        <v>0</v>
      </c>
      <c r="L57" s="16" cm="1">
        <f t="array" aca="1" ref="L57" ca="1">AutoProgress(I57,J57,holidays,$C$5)</f>
        <v>0</v>
      </c>
      <c r="M57" s="17">
        <f t="shared" ca="1" si="1"/>
        <v>0</v>
      </c>
      <c r="N57" s="7">
        <f t="shared" ca="1" si="12"/>
        <v>0</v>
      </c>
      <c r="O57" s="7">
        <f t="shared" ca="1" si="13"/>
        <v>0</v>
      </c>
      <c r="P57" s="7">
        <f t="shared" ca="1" si="14"/>
        <v>0</v>
      </c>
      <c r="Q57" s="7">
        <f t="shared" ca="1" si="15"/>
        <v>0</v>
      </c>
      <c r="R57" s="61" t="str">
        <f t="shared" si="2"/>
        <v xml:space="preserve"> (00-Jan)</v>
      </c>
      <c r="S57" s="8" t="str" cm="1">
        <f t="array" aca="1" ref="S57" ca="1">GetProgressLabel(L57,M57)</f>
        <v>0%</v>
      </c>
      <c r="T57" s="63" t="b">
        <v>1</v>
      </c>
      <c r="U57" s="63" t="s">
        <v>74</v>
      </c>
      <c r="V57" s="57"/>
      <c r="W57" s="57"/>
      <c r="X57" s="57"/>
      <c r="Y57" s="57"/>
      <c r="Z57" s="57"/>
      <c r="AA57" s="57"/>
      <c r="AB57" s="57"/>
      <c r="AC57" s="57"/>
      <c r="AD57" s="57"/>
      <c r="AE57" s="58"/>
      <c r="AF57" s="38"/>
    </row>
    <row r="58" spans="2:32" ht="12" customHeight="1" x14ac:dyDescent="0.3">
      <c r="B58" s="2">
        <f t="shared" si="10"/>
        <v>47</v>
      </c>
      <c r="C58" s="20"/>
      <c r="D58" s="3"/>
      <c r="E58" s="20"/>
      <c r="F58" s="4"/>
      <c r="G58" s="47"/>
      <c r="H58" s="5"/>
      <c r="I58" s="6">
        <f t="shared" si="16"/>
        <v>0</v>
      </c>
      <c r="J58" s="6" cm="1">
        <f t="array" ref="J58">FinishDate(I58,G58,holidays)</f>
        <v>0</v>
      </c>
      <c r="K58" s="45">
        <f t="shared" ref="K58:K71" si="17">J58-I58</f>
        <v>0</v>
      </c>
      <c r="L58" s="16" cm="1">
        <f t="array" aca="1" ref="L58" ca="1">AutoProgress(I58,J58,holidays,$C$5)</f>
        <v>0</v>
      </c>
      <c r="M58" s="17">
        <f t="shared" ref="M58:M71" ca="1" si="18">L58</f>
        <v>0</v>
      </c>
      <c r="N58" s="7">
        <f t="shared" ref="N58:N71" ca="1" si="19">IF(M58&lt;L58,K58,0)</f>
        <v>0</v>
      </c>
      <c r="O58" s="7">
        <f t="shared" ref="O58:O71" ca="1" si="20">IF(M58=1,K58,0)</f>
        <v>0</v>
      </c>
      <c r="P58" s="7">
        <f t="shared" ref="P58:P71" ca="1" si="21">IF(AND(M58&gt;=L58,M58&gt;0,M58&lt;1),K58,0)</f>
        <v>0</v>
      </c>
      <c r="Q58" s="7">
        <f t="shared" ref="Q58:Q71" ca="1" si="22">K58-SUM(N58:P58)</f>
        <v>0</v>
      </c>
      <c r="R58" s="61" t="str">
        <f t="shared" ref="R58:R71" si="23">IF(H58=B58,D58,D58 &amp; TEXT(J58," ([$-en-US]dd-mmm)"))</f>
        <v xml:space="preserve"> (00-Jan)</v>
      </c>
      <c r="S58" s="8" t="str" cm="1">
        <f t="array" aca="1" ref="S58" ca="1">GetProgressLabel(L58,M58)</f>
        <v>0%</v>
      </c>
      <c r="T58" s="63" t="b">
        <v>1</v>
      </c>
      <c r="U58" s="63" t="s">
        <v>74</v>
      </c>
      <c r="V58" s="57"/>
      <c r="W58" s="57"/>
      <c r="X58" s="57"/>
      <c r="Y58" s="57"/>
      <c r="Z58" s="57"/>
      <c r="AA58" s="57"/>
      <c r="AB58" s="57"/>
      <c r="AC58" s="57"/>
      <c r="AD58" s="57"/>
      <c r="AE58" s="58"/>
      <c r="AF58" s="38"/>
    </row>
    <row r="59" spans="2:32" ht="12" customHeight="1" x14ac:dyDescent="0.3">
      <c r="B59" s="2">
        <f t="shared" ref="B59:B60" si="24">B58+1</f>
        <v>48</v>
      </c>
      <c r="C59" s="20"/>
      <c r="D59" s="20"/>
      <c r="E59" s="20"/>
      <c r="F59" s="4"/>
      <c r="G59" s="47"/>
      <c r="H59" s="5"/>
      <c r="I59" s="6">
        <f t="shared" si="16"/>
        <v>0</v>
      </c>
      <c r="J59" s="6" cm="1">
        <f t="array" ref="J59">FinishDate(I59,G59,holidays)</f>
        <v>0</v>
      </c>
      <c r="K59" s="45">
        <f t="shared" si="17"/>
        <v>0</v>
      </c>
      <c r="L59" s="16" cm="1">
        <f t="array" aca="1" ref="L59" ca="1">AutoProgress(I59,J59,holidays,$C$5)</f>
        <v>0</v>
      </c>
      <c r="M59" s="17">
        <f t="shared" ca="1" si="18"/>
        <v>0</v>
      </c>
      <c r="N59" s="7">
        <f t="shared" ca="1" si="19"/>
        <v>0</v>
      </c>
      <c r="O59" s="7">
        <f t="shared" ca="1" si="20"/>
        <v>0</v>
      </c>
      <c r="P59" s="7">
        <f t="shared" ca="1" si="21"/>
        <v>0</v>
      </c>
      <c r="Q59" s="7">
        <f t="shared" ca="1" si="22"/>
        <v>0</v>
      </c>
      <c r="R59" s="61" t="str">
        <f t="shared" si="23"/>
        <v xml:space="preserve"> (00-Jan)</v>
      </c>
      <c r="S59" s="8" t="str" cm="1">
        <f t="array" aca="1" ref="S59" ca="1">GetProgressLabel(L59,M59)</f>
        <v>0%</v>
      </c>
      <c r="T59" s="63" t="b">
        <v>1</v>
      </c>
      <c r="U59" s="63" t="s">
        <v>74</v>
      </c>
      <c r="V59" s="57"/>
      <c r="W59" s="57"/>
      <c r="X59" s="57"/>
      <c r="Y59" s="57"/>
      <c r="Z59" s="57"/>
      <c r="AA59" s="57"/>
      <c r="AB59" s="57"/>
      <c r="AC59" s="57"/>
      <c r="AD59" s="57"/>
      <c r="AE59" s="58"/>
      <c r="AF59" s="38"/>
    </row>
    <row r="60" spans="2:32" ht="12" customHeight="1" x14ac:dyDescent="0.3">
      <c r="B60" s="2">
        <f t="shared" si="24"/>
        <v>49</v>
      </c>
      <c r="C60" s="20"/>
      <c r="D60" s="20"/>
      <c r="E60" s="20"/>
      <c r="F60" s="4"/>
      <c r="G60" s="47"/>
      <c r="H60" s="5"/>
      <c r="I60" s="6">
        <f t="shared" si="16"/>
        <v>0</v>
      </c>
      <c r="J60" s="6" cm="1">
        <f t="array" ref="J60">FinishDate(I60,G60,holidays)</f>
        <v>0</v>
      </c>
      <c r="K60" s="45">
        <f t="shared" si="17"/>
        <v>0</v>
      </c>
      <c r="L60" s="16" cm="1">
        <f t="array" aca="1" ref="L60" ca="1">AutoProgress(I60,J60,holidays,$C$5)</f>
        <v>0</v>
      </c>
      <c r="M60" s="17">
        <f t="shared" ca="1" si="18"/>
        <v>0</v>
      </c>
      <c r="N60" s="7">
        <f t="shared" ca="1" si="19"/>
        <v>0</v>
      </c>
      <c r="O60" s="7">
        <f t="shared" ca="1" si="20"/>
        <v>0</v>
      </c>
      <c r="P60" s="7">
        <f t="shared" ca="1" si="21"/>
        <v>0</v>
      </c>
      <c r="Q60" s="7">
        <f t="shared" ca="1" si="22"/>
        <v>0</v>
      </c>
      <c r="R60" s="61" t="str">
        <f t="shared" si="23"/>
        <v xml:space="preserve"> (00-Jan)</v>
      </c>
      <c r="S60" s="8" t="str" cm="1">
        <f t="array" aca="1" ref="S60" ca="1">GetProgressLabel(L60,M60)</f>
        <v>0%</v>
      </c>
      <c r="T60" s="63" t="b">
        <v>1</v>
      </c>
      <c r="U60" s="63" t="s">
        <v>74</v>
      </c>
      <c r="V60" s="57"/>
      <c r="W60" s="57"/>
      <c r="X60" s="57"/>
      <c r="Y60" s="57"/>
      <c r="Z60" s="57"/>
      <c r="AA60" s="57"/>
      <c r="AB60" s="57"/>
      <c r="AC60" s="57"/>
      <c r="AD60" s="57"/>
      <c r="AE60" s="58"/>
      <c r="AF60" s="38"/>
    </row>
    <row r="61" spans="2:32" ht="12" customHeight="1" x14ac:dyDescent="0.3">
      <c r="B61" s="2">
        <f t="shared" ref="B61:B70" si="25">B60+1</f>
        <v>50</v>
      </c>
      <c r="C61" s="20"/>
      <c r="D61" s="20"/>
      <c r="E61" s="20"/>
      <c r="F61" s="4"/>
      <c r="G61" s="47"/>
      <c r="H61" s="5"/>
      <c r="I61" s="6">
        <f t="shared" si="16"/>
        <v>0</v>
      </c>
      <c r="J61" s="6" cm="1">
        <f t="array" ref="J61">FinishDate(I61,G61,holidays)</f>
        <v>0</v>
      </c>
      <c r="K61" s="45">
        <f t="shared" si="17"/>
        <v>0</v>
      </c>
      <c r="L61" s="16" cm="1">
        <f t="array" aca="1" ref="L61" ca="1">AutoProgress(I61,J61,holidays,$C$5)</f>
        <v>0</v>
      </c>
      <c r="M61" s="17">
        <f t="shared" ca="1" si="18"/>
        <v>0</v>
      </c>
      <c r="N61" s="7">
        <f t="shared" ca="1" si="19"/>
        <v>0</v>
      </c>
      <c r="O61" s="7">
        <f t="shared" ca="1" si="20"/>
        <v>0</v>
      </c>
      <c r="P61" s="7">
        <f t="shared" ca="1" si="21"/>
        <v>0</v>
      </c>
      <c r="Q61" s="7">
        <f t="shared" ca="1" si="22"/>
        <v>0</v>
      </c>
      <c r="R61" s="61" t="str">
        <f t="shared" si="23"/>
        <v xml:space="preserve"> (00-Jan)</v>
      </c>
      <c r="S61" s="8" t="str" cm="1">
        <f t="array" aca="1" ref="S61" ca="1">GetProgressLabel(L61,M61)</f>
        <v>0%</v>
      </c>
      <c r="T61" s="63" t="b">
        <v>1</v>
      </c>
      <c r="U61" s="63" t="s">
        <v>74</v>
      </c>
      <c r="V61" s="57"/>
      <c r="W61" s="57"/>
      <c r="X61" s="57"/>
      <c r="Y61" s="57"/>
      <c r="Z61" s="57"/>
      <c r="AA61" s="57"/>
      <c r="AB61" s="57"/>
      <c r="AC61" s="57"/>
      <c r="AD61" s="57"/>
      <c r="AE61" s="58"/>
      <c r="AF61" s="38"/>
    </row>
    <row r="62" spans="2:32" ht="12" customHeight="1" x14ac:dyDescent="0.3">
      <c r="B62" s="2">
        <f t="shared" si="25"/>
        <v>51</v>
      </c>
      <c r="C62" s="20"/>
      <c r="D62" s="20"/>
      <c r="E62" s="20"/>
      <c r="F62" s="4"/>
      <c r="G62" s="47"/>
      <c r="H62" s="5"/>
      <c r="I62" s="6">
        <f t="shared" si="16"/>
        <v>0</v>
      </c>
      <c r="J62" s="6" cm="1">
        <f t="array" ref="J62">FinishDate(I62,G62,holidays)</f>
        <v>0</v>
      </c>
      <c r="K62" s="45">
        <f t="shared" si="17"/>
        <v>0</v>
      </c>
      <c r="L62" s="16" cm="1">
        <f t="array" aca="1" ref="L62" ca="1">AutoProgress(I62,J62,holidays,$C$5)</f>
        <v>0</v>
      </c>
      <c r="M62" s="17">
        <f t="shared" ca="1" si="18"/>
        <v>0</v>
      </c>
      <c r="N62" s="7">
        <f t="shared" ca="1" si="19"/>
        <v>0</v>
      </c>
      <c r="O62" s="7">
        <f t="shared" ca="1" si="20"/>
        <v>0</v>
      </c>
      <c r="P62" s="7">
        <f t="shared" ca="1" si="21"/>
        <v>0</v>
      </c>
      <c r="Q62" s="7">
        <f t="shared" ca="1" si="22"/>
        <v>0</v>
      </c>
      <c r="R62" s="61" t="str">
        <f t="shared" si="23"/>
        <v xml:space="preserve"> (00-Jan)</v>
      </c>
      <c r="S62" s="8" t="str" cm="1">
        <f t="array" aca="1" ref="S62" ca="1">GetProgressLabel(L62,M62)</f>
        <v>0%</v>
      </c>
      <c r="T62" s="63" t="b">
        <v>1</v>
      </c>
      <c r="U62" s="63" t="s">
        <v>74</v>
      </c>
      <c r="V62" s="57"/>
      <c r="W62" s="57"/>
      <c r="X62" s="57"/>
      <c r="Y62" s="57"/>
      <c r="Z62" s="57"/>
      <c r="AA62" s="57"/>
      <c r="AB62" s="57"/>
      <c r="AC62" s="57"/>
      <c r="AD62" s="57"/>
      <c r="AE62" s="58"/>
      <c r="AF62" s="38"/>
    </row>
    <row r="63" spans="2:32" ht="12" customHeight="1" x14ac:dyDescent="0.3">
      <c r="B63" s="2">
        <f t="shared" si="25"/>
        <v>52</v>
      </c>
      <c r="C63" s="20"/>
      <c r="D63" s="20"/>
      <c r="E63" s="20"/>
      <c r="F63" s="4"/>
      <c r="G63" s="47"/>
      <c r="H63" s="5"/>
      <c r="I63" s="6">
        <f t="shared" si="16"/>
        <v>0</v>
      </c>
      <c r="J63" s="6" cm="1">
        <f t="array" ref="J63">FinishDate(I63,G63,holidays)</f>
        <v>0</v>
      </c>
      <c r="K63" s="45">
        <f t="shared" si="17"/>
        <v>0</v>
      </c>
      <c r="L63" s="16" cm="1">
        <f t="array" aca="1" ref="L63" ca="1">AutoProgress(I63,J63,holidays,$C$5)</f>
        <v>0</v>
      </c>
      <c r="M63" s="17">
        <f t="shared" ca="1" si="18"/>
        <v>0</v>
      </c>
      <c r="N63" s="7">
        <f t="shared" ca="1" si="19"/>
        <v>0</v>
      </c>
      <c r="O63" s="7">
        <f t="shared" ca="1" si="20"/>
        <v>0</v>
      </c>
      <c r="P63" s="7">
        <f t="shared" ca="1" si="21"/>
        <v>0</v>
      </c>
      <c r="Q63" s="7">
        <f t="shared" ca="1" si="22"/>
        <v>0</v>
      </c>
      <c r="R63" s="61" t="str">
        <f t="shared" si="23"/>
        <v xml:space="preserve"> (00-Jan)</v>
      </c>
      <c r="S63" s="8" t="str" cm="1">
        <f t="array" aca="1" ref="S63" ca="1">GetProgressLabel(L63,M63)</f>
        <v>0%</v>
      </c>
      <c r="T63" s="63" t="b">
        <v>1</v>
      </c>
      <c r="U63" s="63" t="s">
        <v>74</v>
      </c>
      <c r="V63" s="57"/>
      <c r="W63" s="57"/>
      <c r="X63" s="57"/>
      <c r="Y63" s="57"/>
      <c r="Z63" s="57"/>
      <c r="AA63" s="57"/>
      <c r="AB63" s="57"/>
      <c r="AC63" s="57"/>
      <c r="AD63" s="57"/>
      <c r="AE63" s="58"/>
      <c r="AF63" s="38"/>
    </row>
    <row r="64" spans="2:32" ht="12" customHeight="1" x14ac:dyDescent="0.3">
      <c r="B64" s="2">
        <f t="shared" si="25"/>
        <v>53</v>
      </c>
      <c r="C64" s="20"/>
      <c r="D64" s="3"/>
      <c r="E64" s="20"/>
      <c r="F64" s="4"/>
      <c r="G64" s="47"/>
      <c r="H64" s="5"/>
      <c r="I64" s="6">
        <f t="shared" si="16"/>
        <v>0</v>
      </c>
      <c r="J64" s="6" cm="1">
        <f t="array" ref="J64">FinishDate(I64,G64,holidays)</f>
        <v>0</v>
      </c>
      <c r="K64" s="45">
        <f t="shared" si="17"/>
        <v>0</v>
      </c>
      <c r="L64" s="16" cm="1">
        <f t="array" aca="1" ref="L64" ca="1">AutoProgress(I64,J64,holidays,$C$5)</f>
        <v>0</v>
      </c>
      <c r="M64" s="17">
        <f t="shared" ca="1" si="18"/>
        <v>0</v>
      </c>
      <c r="N64" s="7">
        <f t="shared" ca="1" si="19"/>
        <v>0</v>
      </c>
      <c r="O64" s="7">
        <f t="shared" ca="1" si="20"/>
        <v>0</v>
      </c>
      <c r="P64" s="7">
        <f t="shared" ca="1" si="21"/>
        <v>0</v>
      </c>
      <c r="Q64" s="7">
        <f t="shared" ca="1" si="22"/>
        <v>0</v>
      </c>
      <c r="R64" s="61" t="str">
        <f t="shared" si="23"/>
        <v xml:space="preserve"> (00-Jan)</v>
      </c>
      <c r="S64" s="8" t="str" cm="1">
        <f t="array" aca="1" ref="S64" ca="1">GetProgressLabel(L64,M64)</f>
        <v>0%</v>
      </c>
      <c r="T64" s="63" t="b">
        <v>1</v>
      </c>
      <c r="U64" s="63" t="s">
        <v>74</v>
      </c>
      <c r="V64" s="57"/>
      <c r="W64" s="57"/>
      <c r="X64" s="57"/>
      <c r="Y64" s="57"/>
      <c r="Z64" s="57"/>
      <c r="AA64" s="57"/>
      <c r="AB64" s="57"/>
      <c r="AC64" s="57"/>
      <c r="AD64" s="57"/>
      <c r="AE64" s="58"/>
      <c r="AF64" s="38"/>
    </row>
    <row r="65" spans="2:32" ht="12" customHeight="1" x14ac:dyDescent="0.3">
      <c r="B65" s="2">
        <f t="shared" si="25"/>
        <v>54</v>
      </c>
      <c r="C65" s="20"/>
      <c r="D65" s="20"/>
      <c r="E65" s="20"/>
      <c r="F65" s="4"/>
      <c r="G65" s="47"/>
      <c r="H65" s="5"/>
      <c r="I65" s="6">
        <f t="shared" si="16"/>
        <v>0</v>
      </c>
      <c r="J65" s="6" cm="1">
        <f t="array" ref="J65">FinishDate(I65,G65,holidays)</f>
        <v>0</v>
      </c>
      <c r="K65" s="45">
        <f t="shared" si="17"/>
        <v>0</v>
      </c>
      <c r="L65" s="16" cm="1">
        <f t="array" aca="1" ref="L65" ca="1">AutoProgress(I65,J65,holidays,$C$5)</f>
        <v>0</v>
      </c>
      <c r="M65" s="17">
        <f t="shared" ca="1" si="18"/>
        <v>0</v>
      </c>
      <c r="N65" s="7">
        <f t="shared" ca="1" si="19"/>
        <v>0</v>
      </c>
      <c r="O65" s="7">
        <f t="shared" ca="1" si="20"/>
        <v>0</v>
      </c>
      <c r="P65" s="7">
        <f t="shared" ca="1" si="21"/>
        <v>0</v>
      </c>
      <c r="Q65" s="7">
        <f t="shared" ca="1" si="22"/>
        <v>0</v>
      </c>
      <c r="R65" s="61" t="str">
        <f t="shared" si="23"/>
        <v xml:space="preserve"> (00-Jan)</v>
      </c>
      <c r="S65" s="8" t="str" cm="1">
        <f t="array" aca="1" ref="S65" ca="1">GetProgressLabel(L65,M65)</f>
        <v>0%</v>
      </c>
      <c r="T65" s="63" t="b">
        <v>1</v>
      </c>
      <c r="U65" s="63" t="s">
        <v>74</v>
      </c>
      <c r="V65" s="57"/>
      <c r="W65" s="57"/>
      <c r="X65" s="57"/>
      <c r="Y65" s="57"/>
      <c r="Z65" s="57"/>
      <c r="AA65" s="57"/>
      <c r="AB65" s="57"/>
      <c r="AC65" s="57"/>
      <c r="AD65" s="57"/>
      <c r="AE65" s="58"/>
      <c r="AF65" s="38"/>
    </row>
    <row r="66" spans="2:32" ht="12" customHeight="1" x14ac:dyDescent="0.3">
      <c r="B66" s="2">
        <f t="shared" si="25"/>
        <v>55</v>
      </c>
      <c r="C66" s="20"/>
      <c r="D66" s="3"/>
      <c r="E66" s="20"/>
      <c r="F66" s="4"/>
      <c r="G66" s="47"/>
      <c r="H66" s="5"/>
      <c r="I66" s="6">
        <f t="shared" si="16"/>
        <v>0</v>
      </c>
      <c r="J66" s="6" cm="1">
        <f t="array" ref="J66">FinishDate(I66,G66,holidays)</f>
        <v>0</v>
      </c>
      <c r="K66" s="45">
        <f t="shared" si="17"/>
        <v>0</v>
      </c>
      <c r="L66" s="16" cm="1">
        <f t="array" aca="1" ref="L66" ca="1">AutoProgress(I66,J66,holidays,$C$5)</f>
        <v>0</v>
      </c>
      <c r="M66" s="17">
        <f t="shared" ca="1" si="18"/>
        <v>0</v>
      </c>
      <c r="N66" s="7">
        <f t="shared" ca="1" si="19"/>
        <v>0</v>
      </c>
      <c r="O66" s="7">
        <f t="shared" ca="1" si="20"/>
        <v>0</v>
      </c>
      <c r="P66" s="7">
        <f t="shared" ca="1" si="21"/>
        <v>0</v>
      </c>
      <c r="Q66" s="7">
        <f t="shared" ca="1" si="22"/>
        <v>0</v>
      </c>
      <c r="R66" s="61" t="str">
        <f t="shared" si="23"/>
        <v xml:space="preserve"> (00-Jan)</v>
      </c>
      <c r="S66" s="8" t="str" cm="1">
        <f t="array" aca="1" ref="S66" ca="1">GetProgressLabel(L66,M66)</f>
        <v>0%</v>
      </c>
      <c r="T66" s="63" t="b">
        <v>1</v>
      </c>
      <c r="U66" s="63" t="s">
        <v>74</v>
      </c>
      <c r="V66" s="57"/>
      <c r="W66" s="57"/>
      <c r="X66" s="57"/>
      <c r="Y66" s="57"/>
      <c r="Z66" s="57"/>
      <c r="AA66" s="57"/>
      <c r="AB66" s="57"/>
      <c r="AC66" s="57"/>
      <c r="AD66" s="57"/>
      <c r="AE66" s="58"/>
      <c r="AF66" s="38"/>
    </row>
    <row r="67" spans="2:32" ht="12" customHeight="1" x14ac:dyDescent="0.3">
      <c r="B67" s="2">
        <f t="shared" si="25"/>
        <v>56</v>
      </c>
      <c r="C67" s="20"/>
      <c r="D67" s="20"/>
      <c r="E67" s="20"/>
      <c r="F67" s="4"/>
      <c r="G67" s="47"/>
      <c r="H67" s="5"/>
      <c r="I67" s="6">
        <f t="shared" si="16"/>
        <v>0</v>
      </c>
      <c r="J67" s="6" cm="1">
        <f t="array" ref="J67">FinishDate(I67,G67,holidays)</f>
        <v>0</v>
      </c>
      <c r="K67" s="45">
        <f t="shared" si="17"/>
        <v>0</v>
      </c>
      <c r="L67" s="16" cm="1">
        <f t="array" aca="1" ref="L67" ca="1">AutoProgress(I67,J67,holidays,$C$5)</f>
        <v>0</v>
      </c>
      <c r="M67" s="17">
        <f t="shared" ca="1" si="18"/>
        <v>0</v>
      </c>
      <c r="N67" s="7">
        <f t="shared" ca="1" si="19"/>
        <v>0</v>
      </c>
      <c r="O67" s="7">
        <f t="shared" ca="1" si="20"/>
        <v>0</v>
      </c>
      <c r="P67" s="7">
        <f t="shared" ca="1" si="21"/>
        <v>0</v>
      </c>
      <c r="Q67" s="7">
        <f t="shared" ca="1" si="22"/>
        <v>0</v>
      </c>
      <c r="R67" s="61" t="str">
        <f t="shared" si="23"/>
        <v xml:space="preserve"> (00-Jan)</v>
      </c>
      <c r="S67" s="8" t="str" cm="1">
        <f t="array" aca="1" ref="S67" ca="1">GetProgressLabel(L67,M67)</f>
        <v>0%</v>
      </c>
      <c r="T67" s="63" t="b">
        <v>1</v>
      </c>
      <c r="U67" s="63" t="s">
        <v>74</v>
      </c>
      <c r="V67" s="57"/>
      <c r="W67" s="57"/>
      <c r="X67" s="57"/>
      <c r="Y67" s="57"/>
      <c r="Z67" s="57"/>
      <c r="AA67" s="57"/>
      <c r="AB67" s="57"/>
      <c r="AC67" s="57"/>
      <c r="AD67" s="57"/>
      <c r="AE67" s="58"/>
      <c r="AF67" s="38"/>
    </row>
    <row r="68" spans="2:32" ht="12" customHeight="1" x14ac:dyDescent="0.3">
      <c r="B68" s="2">
        <f t="shared" si="25"/>
        <v>57</v>
      </c>
      <c r="C68" s="20"/>
      <c r="D68" s="20"/>
      <c r="E68" s="20"/>
      <c r="F68" s="4"/>
      <c r="G68" s="47"/>
      <c r="H68" s="5"/>
      <c r="I68" s="6">
        <f t="shared" si="16"/>
        <v>0</v>
      </c>
      <c r="J68" s="6" cm="1">
        <f t="array" ref="J68">FinishDate(I68,G68,holidays)</f>
        <v>0</v>
      </c>
      <c r="K68" s="45">
        <f t="shared" si="17"/>
        <v>0</v>
      </c>
      <c r="L68" s="16" cm="1">
        <f t="array" aca="1" ref="L68" ca="1">AutoProgress(I68,J68,holidays,$C$5)</f>
        <v>0</v>
      </c>
      <c r="M68" s="17">
        <f t="shared" ca="1" si="18"/>
        <v>0</v>
      </c>
      <c r="N68" s="7">
        <f t="shared" ca="1" si="19"/>
        <v>0</v>
      </c>
      <c r="O68" s="7">
        <f t="shared" ca="1" si="20"/>
        <v>0</v>
      </c>
      <c r="P68" s="7">
        <f t="shared" ca="1" si="21"/>
        <v>0</v>
      </c>
      <c r="Q68" s="7">
        <f t="shared" ca="1" si="22"/>
        <v>0</v>
      </c>
      <c r="R68" s="61" t="str">
        <f t="shared" si="23"/>
        <v xml:space="preserve"> (00-Jan)</v>
      </c>
      <c r="S68" s="8" t="str" cm="1">
        <f t="array" aca="1" ref="S68" ca="1">GetProgressLabel(L68,M68)</f>
        <v>0%</v>
      </c>
      <c r="T68" s="63" t="b">
        <v>1</v>
      </c>
      <c r="U68" s="63" t="s">
        <v>74</v>
      </c>
      <c r="V68" s="57"/>
      <c r="W68" s="57"/>
      <c r="X68" s="57"/>
      <c r="Y68" s="57"/>
      <c r="Z68" s="57"/>
      <c r="AA68" s="57"/>
      <c r="AB68" s="57"/>
      <c r="AC68" s="57"/>
      <c r="AD68" s="57"/>
      <c r="AE68" s="58"/>
      <c r="AF68" s="38"/>
    </row>
    <row r="69" spans="2:32" ht="12" customHeight="1" x14ac:dyDescent="0.3">
      <c r="B69" s="2">
        <f t="shared" si="25"/>
        <v>58</v>
      </c>
      <c r="C69" s="20"/>
      <c r="D69" s="20"/>
      <c r="E69" s="20"/>
      <c r="F69" s="4"/>
      <c r="G69" s="47"/>
      <c r="H69" s="5"/>
      <c r="I69" s="6">
        <f t="shared" si="16"/>
        <v>0</v>
      </c>
      <c r="J69" s="6" cm="1">
        <f t="array" ref="J69">FinishDate(I69,G69,holidays)</f>
        <v>0</v>
      </c>
      <c r="K69" s="45">
        <f t="shared" si="17"/>
        <v>0</v>
      </c>
      <c r="L69" s="16" cm="1">
        <f t="array" aca="1" ref="L69" ca="1">AutoProgress(I69,J69,holidays,$C$5)</f>
        <v>0</v>
      </c>
      <c r="M69" s="17">
        <f t="shared" ca="1" si="18"/>
        <v>0</v>
      </c>
      <c r="N69" s="7">
        <f t="shared" ca="1" si="19"/>
        <v>0</v>
      </c>
      <c r="O69" s="7">
        <f t="shared" ca="1" si="20"/>
        <v>0</v>
      </c>
      <c r="P69" s="7">
        <f t="shared" ca="1" si="21"/>
        <v>0</v>
      </c>
      <c r="Q69" s="7">
        <f t="shared" ca="1" si="22"/>
        <v>0</v>
      </c>
      <c r="R69" s="61" t="str">
        <f t="shared" si="23"/>
        <v xml:space="preserve"> (00-Jan)</v>
      </c>
      <c r="S69" s="8" t="str" cm="1">
        <f t="array" aca="1" ref="S69" ca="1">GetProgressLabel(L69,M69)</f>
        <v>0%</v>
      </c>
      <c r="T69" s="63" t="b">
        <v>1</v>
      </c>
      <c r="U69" s="63" t="s">
        <v>74</v>
      </c>
      <c r="V69" s="57"/>
      <c r="W69" s="57"/>
      <c r="X69" s="57"/>
      <c r="Y69" s="57"/>
      <c r="Z69" s="57"/>
      <c r="AA69" s="57"/>
      <c r="AB69" s="57"/>
      <c r="AC69" s="57"/>
      <c r="AD69" s="57"/>
      <c r="AE69" s="58"/>
      <c r="AF69" s="38"/>
    </row>
    <row r="70" spans="2:32" ht="12" customHeight="1" x14ac:dyDescent="0.3">
      <c r="B70" s="2">
        <f t="shared" si="25"/>
        <v>59</v>
      </c>
      <c r="C70" s="20"/>
      <c r="D70" s="20"/>
      <c r="E70" s="20"/>
      <c r="F70" s="4"/>
      <c r="G70" s="47"/>
      <c r="H70" s="5"/>
      <c r="I70" s="6">
        <f t="shared" si="16"/>
        <v>0</v>
      </c>
      <c r="J70" s="6" cm="1">
        <f t="array" ref="J70">FinishDate(I70,G70,holidays)</f>
        <v>0</v>
      </c>
      <c r="K70" s="45">
        <f t="shared" si="17"/>
        <v>0</v>
      </c>
      <c r="L70" s="16" cm="1">
        <f t="array" aca="1" ref="L70" ca="1">AutoProgress(I70,J70,holidays,$C$5)</f>
        <v>0</v>
      </c>
      <c r="M70" s="17">
        <f t="shared" ca="1" si="18"/>
        <v>0</v>
      </c>
      <c r="N70" s="7">
        <f t="shared" ca="1" si="19"/>
        <v>0</v>
      </c>
      <c r="O70" s="7">
        <f t="shared" ca="1" si="20"/>
        <v>0</v>
      </c>
      <c r="P70" s="7">
        <f t="shared" ca="1" si="21"/>
        <v>0</v>
      </c>
      <c r="Q70" s="7">
        <f t="shared" ca="1" si="22"/>
        <v>0</v>
      </c>
      <c r="R70" s="61" t="str">
        <f t="shared" si="23"/>
        <v xml:space="preserve"> (00-Jan)</v>
      </c>
      <c r="S70" s="8" t="str" cm="1">
        <f t="array" aca="1" ref="S70" ca="1">GetProgressLabel(L70,M70)</f>
        <v>0%</v>
      </c>
      <c r="T70" s="63" t="b">
        <v>1</v>
      </c>
      <c r="U70" s="63" t="s">
        <v>74</v>
      </c>
      <c r="V70" s="57"/>
      <c r="W70" s="57"/>
      <c r="X70" s="57"/>
      <c r="Y70" s="57"/>
      <c r="Z70" s="57"/>
      <c r="AA70" s="57"/>
      <c r="AB70" s="57"/>
      <c r="AC70" s="57"/>
      <c r="AD70" s="57"/>
      <c r="AE70" s="58"/>
      <c r="AF70" s="38"/>
    </row>
    <row r="71" spans="2:32" ht="12" customHeight="1" x14ac:dyDescent="0.3">
      <c r="B71" s="10">
        <f t="shared" ref="B71" si="26">B70+1</f>
        <v>60</v>
      </c>
      <c r="C71" s="22"/>
      <c r="D71" s="22"/>
      <c r="E71" s="22"/>
      <c r="F71" s="11"/>
      <c r="G71" s="48"/>
      <c r="H71" s="12"/>
      <c r="I71" s="13">
        <f t="shared" si="16"/>
        <v>0</v>
      </c>
      <c r="J71" s="13" cm="1">
        <f t="array" ref="J71">FinishDate(I71,G71,holidays)</f>
        <v>0</v>
      </c>
      <c r="K71" s="46">
        <f t="shared" si="17"/>
        <v>0</v>
      </c>
      <c r="L71" s="18" cm="1">
        <f t="array" aca="1" ref="L71" ca="1">AutoProgress(I71,J71,holidays,$C$5)</f>
        <v>0</v>
      </c>
      <c r="M71" s="19">
        <f t="shared" ca="1" si="18"/>
        <v>0</v>
      </c>
      <c r="N71" s="14">
        <f t="shared" ca="1" si="19"/>
        <v>0</v>
      </c>
      <c r="O71" s="14">
        <f t="shared" ca="1" si="20"/>
        <v>0</v>
      </c>
      <c r="P71" s="14">
        <f t="shared" ca="1" si="21"/>
        <v>0</v>
      </c>
      <c r="Q71" s="14">
        <f t="shared" ca="1" si="22"/>
        <v>0</v>
      </c>
      <c r="R71" s="62" t="str">
        <f t="shared" si="23"/>
        <v xml:space="preserve"> (00-Jan)</v>
      </c>
      <c r="S71" s="15" t="str" cm="1">
        <f t="array" aca="1" ref="S71" ca="1">GetProgressLabel(L71,M71)</f>
        <v>0%</v>
      </c>
      <c r="T71" s="64" t="b">
        <v>1</v>
      </c>
      <c r="U71" s="64" t="s">
        <v>74</v>
      </c>
      <c r="V71" s="59"/>
      <c r="W71" s="59"/>
      <c r="X71" s="59"/>
      <c r="Y71" s="59"/>
      <c r="Z71" s="59"/>
      <c r="AA71" s="59"/>
      <c r="AB71" s="59"/>
      <c r="AC71" s="59"/>
      <c r="AD71" s="59"/>
      <c r="AE71" s="60"/>
      <c r="AF71" s="38"/>
    </row>
    <row r="72" spans="2:32" x14ac:dyDescent="0.3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</row>
  </sheetData>
  <dataConsolidate/>
  <mergeCells count="16">
    <mergeCell ref="T10:T11"/>
    <mergeCell ref="U10:U11"/>
    <mergeCell ref="V10:AE10"/>
    <mergeCell ref="E10:E11"/>
    <mergeCell ref="G10:G11"/>
    <mergeCell ref="I10:I11"/>
    <mergeCell ref="J10:J11"/>
    <mergeCell ref="K10:K11"/>
    <mergeCell ref="L10:L11"/>
    <mergeCell ref="M10:M11"/>
    <mergeCell ref="N10:S10"/>
    <mergeCell ref="B10:B11"/>
    <mergeCell ref="C10:C11"/>
    <mergeCell ref="D10:D11"/>
    <mergeCell ref="H10:H11"/>
    <mergeCell ref="F10:F11"/>
  </mergeCells>
  <phoneticPr fontId="12" type="noConversion"/>
  <conditionalFormatting sqref="V12:AE71 M12:M71 B12:H71">
    <cfRule type="containsBlanks" dxfId="0" priority="18">
      <formula>LEN(TRIM(B12))=0</formula>
    </cfRule>
  </conditionalFormatting>
  <dataValidations disablePrompts="1" count="7">
    <dataValidation allowBlank="1" showErrorMessage="1" sqref="C5:C8 I12:L71 V12:AF71 N12:S71" xr:uid="{99736726-8813-4FF6-AD55-FAE6A42F85DE}"/>
    <dataValidation type="date" allowBlank="1" showErrorMessage="1" sqref="J12:K71 V12:AF71 N12:S71" xr:uid="{898DF574-9917-464F-9CFB-485A1F7D818E}">
      <formula1>45292</formula1>
      <formula2>54789</formula2>
    </dataValidation>
    <dataValidation type="date" allowBlank="1" showErrorMessage="1" sqref="F12:F71" xr:uid="{F640859D-4FE4-4908-83DB-B1B1C734AB98}">
      <formula1>36526</formula1>
      <formula2>219148</formula2>
    </dataValidation>
    <dataValidation type="whole" allowBlank="1" showErrorMessage="1" sqref="G12:H71" xr:uid="{F1C0E0EE-07BD-4BFA-97C2-757ABC618F4F}">
      <formula1>0</formula1>
      <formula2>1000</formula2>
    </dataValidation>
    <dataValidation type="decimal" allowBlank="1" showErrorMessage="1" sqref="M12:M71" xr:uid="{8414890C-126E-456E-A45F-739C71F1FD88}">
      <formula1>0</formula1>
      <formula2>1</formula2>
    </dataValidation>
    <dataValidation type="list" allowBlank="1" showErrorMessage="1" sqref="U12:U71" xr:uid="{94ABA76F-C987-40B7-A5EA-A3F3F4C04FD5}">
      <formula1>"A,B,C,D,E"</formula1>
    </dataValidation>
    <dataValidation type="list" allowBlank="1" showErrorMessage="1" sqref="T12:T71" xr:uid="{B6B31AE6-32AE-4DAF-8FD5-0ED9A6D662B8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5" r:id="rId4" name="Button 15">
              <controlPr defaultSize="0" print="0" autoFill="0" autoPict="0" macro="[0]!CreateNewChart">
                <anchor moveWithCells="1" sizeWithCells="1">
                  <from>
                    <xdr:col>3</xdr:col>
                    <xdr:colOff>95250</xdr:colOff>
                    <xdr:row>1</xdr:row>
                    <xdr:rowOff>165100</xdr:rowOff>
                  </from>
                  <to>
                    <xdr:col>3</xdr:col>
                    <xdr:colOff>1536700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5" name="Button 16">
              <controlPr defaultSize="0" print="0" autoFill="0" autoPict="0" macro="[0]!UpdateSummaryChart">
                <anchor moveWithCells="1" sizeWithCells="1">
                  <from>
                    <xdr:col>3</xdr:col>
                    <xdr:colOff>95250</xdr:colOff>
                    <xdr:row>3</xdr:row>
                    <xdr:rowOff>190500</xdr:rowOff>
                  </from>
                  <to>
                    <xdr:col>3</xdr:col>
                    <xdr:colOff>1536700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6" name="Button 21">
              <controlPr defaultSize="0" print="0" autoFill="0" autoPict="0" macro="[0]!UpdateNames">
                <anchor moveWithCells="1" sizeWithCells="1">
                  <from>
                    <xdr:col>3</xdr:col>
                    <xdr:colOff>95250</xdr:colOff>
                    <xdr:row>6</xdr:row>
                    <xdr:rowOff>19050</xdr:rowOff>
                  </from>
                  <to>
                    <xdr:col>3</xdr:col>
                    <xdr:colOff>1536700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EC7F-BD4D-404A-9EDC-D627BEFEA72D}">
  <sheetPr codeName="Sheet8"/>
  <dimension ref="B2:X32"/>
  <sheetViews>
    <sheetView showGridLines="0" zoomScaleNormal="100" workbookViewId="0">
      <selection activeCell="N34" sqref="N34"/>
    </sheetView>
  </sheetViews>
  <sheetFormatPr defaultColWidth="8" defaultRowHeight="13" x14ac:dyDescent="0.3"/>
  <cols>
    <col min="1" max="1" width="3.5" style="1" customWidth="1"/>
    <col min="2" max="2" width="6.5" style="1" customWidth="1"/>
    <col min="3" max="3" width="30.5" style="1" customWidth="1"/>
    <col min="4" max="6" width="10.5" style="1" customWidth="1"/>
    <col min="7" max="24" width="7.5" style="1" customWidth="1"/>
    <col min="25" max="16384" width="8" style="1"/>
  </cols>
  <sheetData>
    <row r="2" spans="2:24" ht="15" customHeight="1" x14ac:dyDescent="0.3">
      <c r="B2" s="23" t="s">
        <v>52</v>
      </c>
    </row>
    <row r="3" spans="2:24" ht="15" customHeight="1" x14ac:dyDescent="0.3">
      <c r="B3" s="65" t="s">
        <v>53</v>
      </c>
      <c r="C3" s="26">
        <f t="array" ref="C3:C8">WorkSchedule!C3:C8</f>
        <v>0</v>
      </c>
    </row>
    <row r="4" spans="2:24" ht="15" customHeight="1" x14ac:dyDescent="0.3">
      <c r="B4" s="66" t="s">
        <v>54</v>
      </c>
      <c r="C4" s="30">
        <v>0</v>
      </c>
    </row>
    <row r="5" spans="2:24" ht="15" customHeight="1" x14ac:dyDescent="0.3">
      <c r="B5" s="67" t="s">
        <v>55</v>
      </c>
      <c r="C5" s="27">
        <f ca="1"/>
        <v>45825</v>
      </c>
    </row>
    <row r="6" spans="2:24" ht="15" customHeight="1" x14ac:dyDescent="0.3">
      <c r="B6" s="67" t="s">
        <v>39</v>
      </c>
      <c r="C6" s="27">
        <v>0</v>
      </c>
    </row>
    <row r="7" spans="2:24" ht="15" customHeight="1" x14ac:dyDescent="0.3">
      <c r="B7" s="67" t="s">
        <v>51</v>
      </c>
      <c r="C7" s="27">
        <v>0</v>
      </c>
    </row>
    <row r="8" spans="2:24" ht="15" customHeight="1" x14ac:dyDescent="0.3">
      <c r="B8" s="68" t="s">
        <v>42</v>
      </c>
      <c r="C8" s="34" t="str">
        <v>0 days</v>
      </c>
    </row>
    <row r="9" spans="2:24" ht="15" customHeight="1" x14ac:dyDescent="0.3"/>
    <row r="10" spans="2:24" ht="15" customHeight="1" x14ac:dyDescent="0.3">
      <c r="B10" s="118" t="s">
        <v>75</v>
      </c>
      <c r="C10" s="98" t="s">
        <v>59</v>
      </c>
      <c r="D10" s="98" t="s">
        <v>60</v>
      </c>
      <c r="E10" s="98" t="s">
        <v>76</v>
      </c>
      <c r="F10" s="109" t="s">
        <v>77</v>
      </c>
      <c r="G10" s="69">
        <v>1</v>
      </c>
      <c r="H10" s="69">
        <f>G10+1</f>
        <v>2</v>
      </c>
      <c r="I10" s="69">
        <f t="shared" ref="I10:X10" si="0">H10+1</f>
        <v>3</v>
      </c>
      <c r="J10" s="69">
        <f t="shared" si="0"/>
        <v>4</v>
      </c>
      <c r="K10" s="69">
        <f t="shared" si="0"/>
        <v>5</v>
      </c>
      <c r="L10" s="69">
        <f t="shared" si="0"/>
        <v>6</v>
      </c>
      <c r="M10" s="69">
        <f t="shared" si="0"/>
        <v>7</v>
      </c>
      <c r="N10" s="69">
        <f t="shared" si="0"/>
        <v>8</v>
      </c>
      <c r="O10" s="69">
        <f t="shared" si="0"/>
        <v>9</v>
      </c>
      <c r="P10" s="69">
        <f t="shared" si="0"/>
        <v>10</v>
      </c>
      <c r="Q10" s="69">
        <f t="shared" si="0"/>
        <v>11</v>
      </c>
      <c r="R10" s="69">
        <f t="shared" si="0"/>
        <v>12</v>
      </c>
      <c r="S10" s="69">
        <f t="shared" si="0"/>
        <v>13</v>
      </c>
      <c r="T10" s="69">
        <f t="shared" si="0"/>
        <v>14</v>
      </c>
      <c r="U10" s="69">
        <f t="shared" si="0"/>
        <v>15</v>
      </c>
      <c r="V10" s="69">
        <f t="shared" si="0"/>
        <v>16</v>
      </c>
      <c r="W10" s="69">
        <f t="shared" si="0"/>
        <v>17</v>
      </c>
      <c r="X10" s="70">
        <f t="shared" si="0"/>
        <v>18</v>
      </c>
    </row>
    <row r="11" spans="2:24" ht="15" customHeight="1" x14ac:dyDescent="0.3">
      <c r="B11" s="119"/>
      <c r="C11" s="99"/>
      <c r="D11" s="99"/>
      <c r="E11" s="99"/>
      <c r="F11" s="110"/>
      <c r="G11" s="71">
        <f ca="1">IFERROR(DATE(YEAR($C$6),MONTH($C$6),1),DATE(YEAR(TODAY()),MONTH(TODAY()),1))</f>
        <v>1</v>
      </c>
      <c r="H11" s="71">
        <f ca="1">EOMONTH(G11,0)+1</f>
        <v>32</v>
      </c>
      <c r="I11" s="71">
        <f t="shared" ref="I11:X11" ca="1" si="1">EOMONTH(H11,0)+1</f>
        <v>60</v>
      </c>
      <c r="J11" s="71">
        <f t="shared" ca="1" si="1"/>
        <v>60</v>
      </c>
      <c r="K11" s="71">
        <f t="shared" ca="1" si="1"/>
        <v>60</v>
      </c>
      <c r="L11" s="71">
        <f t="shared" ca="1" si="1"/>
        <v>60</v>
      </c>
      <c r="M11" s="71">
        <f t="shared" ca="1" si="1"/>
        <v>60</v>
      </c>
      <c r="N11" s="71">
        <f t="shared" ca="1" si="1"/>
        <v>60</v>
      </c>
      <c r="O11" s="71">
        <f t="shared" ca="1" si="1"/>
        <v>60</v>
      </c>
      <c r="P11" s="71">
        <f t="shared" ca="1" si="1"/>
        <v>60</v>
      </c>
      <c r="Q11" s="71">
        <f t="shared" ca="1" si="1"/>
        <v>60</v>
      </c>
      <c r="R11" s="71">
        <f t="shared" ca="1" si="1"/>
        <v>60</v>
      </c>
      <c r="S11" s="71">
        <f t="shared" ca="1" si="1"/>
        <v>60</v>
      </c>
      <c r="T11" s="71">
        <f t="shared" ca="1" si="1"/>
        <v>60</v>
      </c>
      <c r="U11" s="71">
        <f t="shared" ca="1" si="1"/>
        <v>60</v>
      </c>
      <c r="V11" s="71">
        <f t="shared" ca="1" si="1"/>
        <v>60</v>
      </c>
      <c r="W11" s="71">
        <f t="shared" ca="1" si="1"/>
        <v>60</v>
      </c>
      <c r="X11" s="72">
        <f t="shared" ca="1" si="1"/>
        <v>60</v>
      </c>
    </row>
    <row r="12" spans="2:24" ht="14" customHeight="1" x14ac:dyDescent="0.3">
      <c r="B12" s="49">
        <v>1</v>
      </c>
      <c r="C12" s="50"/>
      <c r="D12" s="73"/>
      <c r="E12" s="74"/>
      <c r="F12" s="51">
        <f t="shared" ref="F12:F21" si="2">SUM(G12:X12)</f>
        <v>0</v>
      </c>
      <c r="G12" s="53">
        <f t="shared" ref="G12:P21" si="3">IFERROR(SUMPRODUCT(_xlfn.CHOOSECOLS(contribution,$B12),_xlfn.CHOOSECOLS(workingdays,G$10)),0)</f>
        <v>0</v>
      </c>
      <c r="H12" s="53">
        <f t="shared" si="3"/>
        <v>0</v>
      </c>
      <c r="I12" s="53">
        <f t="shared" si="3"/>
        <v>0</v>
      </c>
      <c r="J12" s="53">
        <f t="shared" si="3"/>
        <v>0</v>
      </c>
      <c r="K12" s="53">
        <f t="shared" si="3"/>
        <v>0</v>
      </c>
      <c r="L12" s="53">
        <f t="shared" si="3"/>
        <v>0</v>
      </c>
      <c r="M12" s="53">
        <f t="shared" si="3"/>
        <v>0</v>
      </c>
      <c r="N12" s="53">
        <f t="shared" si="3"/>
        <v>0</v>
      </c>
      <c r="O12" s="53">
        <f t="shared" si="3"/>
        <v>0</v>
      </c>
      <c r="P12" s="53">
        <f t="shared" si="3"/>
        <v>0</v>
      </c>
      <c r="Q12" s="53">
        <f t="shared" ref="Q12:X21" si="4">IFERROR(SUMPRODUCT(_xlfn.CHOOSECOLS(contribution,$B12),_xlfn.CHOOSECOLS(workingdays,Q$10)),0)</f>
        <v>0</v>
      </c>
      <c r="R12" s="53">
        <f t="shared" si="4"/>
        <v>0</v>
      </c>
      <c r="S12" s="53">
        <f t="shared" si="4"/>
        <v>0</v>
      </c>
      <c r="T12" s="53">
        <f t="shared" si="4"/>
        <v>0</v>
      </c>
      <c r="U12" s="53">
        <f t="shared" si="4"/>
        <v>0</v>
      </c>
      <c r="V12" s="53">
        <f t="shared" si="4"/>
        <v>0</v>
      </c>
      <c r="W12" s="53">
        <f t="shared" si="4"/>
        <v>0</v>
      </c>
      <c r="X12" s="54">
        <f t="shared" si="4"/>
        <v>0</v>
      </c>
    </row>
    <row r="13" spans="2:24" ht="13" customHeight="1" x14ac:dyDescent="0.3">
      <c r="B13" s="2">
        <v>2</v>
      </c>
      <c r="C13" s="20"/>
      <c r="D13" s="75"/>
      <c r="E13" s="76"/>
      <c r="F13" s="47">
        <f t="shared" si="2"/>
        <v>0</v>
      </c>
      <c r="G13" s="53">
        <f t="shared" si="3"/>
        <v>0</v>
      </c>
      <c r="H13" s="53">
        <f t="shared" si="3"/>
        <v>0</v>
      </c>
      <c r="I13" s="53">
        <f t="shared" si="3"/>
        <v>0</v>
      </c>
      <c r="J13" s="53">
        <f t="shared" si="3"/>
        <v>0</v>
      </c>
      <c r="K13" s="53">
        <f t="shared" si="3"/>
        <v>0</v>
      </c>
      <c r="L13" s="53">
        <f t="shared" si="3"/>
        <v>0</v>
      </c>
      <c r="M13" s="53">
        <f t="shared" si="3"/>
        <v>0</v>
      </c>
      <c r="N13" s="53">
        <f t="shared" si="3"/>
        <v>0</v>
      </c>
      <c r="O13" s="53">
        <f t="shared" si="3"/>
        <v>0</v>
      </c>
      <c r="P13" s="53">
        <f t="shared" si="3"/>
        <v>0</v>
      </c>
      <c r="Q13" s="53">
        <f t="shared" si="4"/>
        <v>0</v>
      </c>
      <c r="R13" s="53">
        <f t="shared" si="4"/>
        <v>0</v>
      </c>
      <c r="S13" s="53">
        <f t="shared" si="4"/>
        <v>0</v>
      </c>
      <c r="T13" s="53">
        <f t="shared" si="4"/>
        <v>0</v>
      </c>
      <c r="U13" s="53">
        <f t="shared" si="4"/>
        <v>0</v>
      </c>
      <c r="V13" s="53">
        <f t="shared" si="4"/>
        <v>0</v>
      </c>
      <c r="W13" s="53">
        <f t="shared" si="4"/>
        <v>0</v>
      </c>
      <c r="X13" s="54">
        <f t="shared" si="4"/>
        <v>0</v>
      </c>
    </row>
    <row r="14" spans="2:24" ht="13" customHeight="1" x14ac:dyDescent="0.3">
      <c r="B14" s="2">
        <v>3</v>
      </c>
      <c r="C14" s="20"/>
      <c r="D14" s="75"/>
      <c r="E14" s="76"/>
      <c r="F14" s="47">
        <f t="shared" si="2"/>
        <v>0</v>
      </c>
      <c r="G14" s="53">
        <f t="shared" si="3"/>
        <v>0</v>
      </c>
      <c r="H14" s="53">
        <f t="shared" si="3"/>
        <v>0</v>
      </c>
      <c r="I14" s="53">
        <f t="shared" si="3"/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3">
        <f t="shared" si="3"/>
        <v>0</v>
      </c>
      <c r="Q14" s="53">
        <f t="shared" si="4"/>
        <v>0</v>
      </c>
      <c r="R14" s="53">
        <f t="shared" si="4"/>
        <v>0</v>
      </c>
      <c r="S14" s="53">
        <f t="shared" si="4"/>
        <v>0</v>
      </c>
      <c r="T14" s="53">
        <f t="shared" si="4"/>
        <v>0</v>
      </c>
      <c r="U14" s="53">
        <f t="shared" si="4"/>
        <v>0</v>
      </c>
      <c r="V14" s="53">
        <f t="shared" si="4"/>
        <v>0</v>
      </c>
      <c r="W14" s="53">
        <f t="shared" si="4"/>
        <v>0</v>
      </c>
      <c r="X14" s="54">
        <f t="shared" si="4"/>
        <v>0</v>
      </c>
    </row>
    <row r="15" spans="2:24" x14ac:dyDescent="0.3">
      <c r="B15" s="2">
        <f t="shared" ref="B15:B21" si="5">B14+1</f>
        <v>4</v>
      </c>
      <c r="C15" s="20"/>
      <c r="D15" s="75"/>
      <c r="E15" s="76"/>
      <c r="F15" s="47">
        <f t="shared" si="2"/>
        <v>0</v>
      </c>
      <c r="G15" s="53">
        <f t="shared" si="3"/>
        <v>0</v>
      </c>
      <c r="H15" s="53">
        <f t="shared" si="3"/>
        <v>0</v>
      </c>
      <c r="I15" s="53">
        <f t="shared" si="3"/>
        <v>0</v>
      </c>
      <c r="J15" s="53">
        <f t="shared" si="3"/>
        <v>0</v>
      </c>
      <c r="K15" s="53">
        <f t="shared" si="3"/>
        <v>0</v>
      </c>
      <c r="L15" s="53">
        <f t="shared" si="3"/>
        <v>0</v>
      </c>
      <c r="M15" s="53">
        <f t="shared" si="3"/>
        <v>0</v>
      </c>
      <c r="N15" s="53">
        <f t="shared" si="3"/>
        <v>0</v>
      </c>
      <c r="O15" s="53">
        <f t="shared" si="3"/>
        <v>0</v>
      </c>
      <c r="P15" s="53">
        <f t="shared" si="3"/>
        <v>0</v>
      </c>
      <c r="Q15" s="53">
        <f t="shared" si="4"/>
        <v>0</v>
      </c>
      <c r="R15" s="53">
        <f t="shared" si="4"/>
        <v>0</v>
      </c>
      <c r="S15" s="53">
        <f t="shared" si="4"/>
        <v>0</v>
      </c>
      <c r="T15" s="53">
        <f t="shared" si="4"/>
        <v>0</v>
      </c>
      <c r="U15" s="53">
        <f t="shared" si="4"/>
        <v>0</v>
      </c>
      <c r="V15" s="53">
        <f t="shared" si="4"/>
        <v>0</v>
      </c>
      <c r="W15" s="53">
        <f t="shared" si="4"/>
        <v>0</v>
      </c>
      <c r="X15" s="54">
        <f t="shared" si="4"/>
        <v>0</v>
      </c>
    </row>
    <row r="16" spans="2:24" x14ac:dyDescent="0.3">
      <c r="B16" s="2">
        <f t="shared" si="5"/>
        <v>5</v>
      </c>
      <c r="C16" s="20"/>
      <c r="D16" s="75"/>
      <c r="E16" s="76"/>
      <c r="F16" s="47">
        <f t="shared" si="2"/>
        <v>0</v>
      </c>
      <c r="G16" s="53">
        <f t="shared" si="3"/>
        <v>0</v>
      </c>
      <c r="H16" s="53">
        <f t="shared" si="3"/>
        <v>0</v>
      </c>
      <c r="I16" s="53">
        <f t="shared" si="3"/>
        <v>0</v>
      </c>
      <c r="J16" s="53">
        <f t="shared" si="3"/>
        <v>0</v>
      </c>
      <c r="K16" s="53">
        <f t="shared" si="3"/>
        <v>0</v>
      </c>
      <c r="L16" s="53">
        <f t="shared" si="3"/>
        <v>0</v>
      </c>
      <c r="M16" s="53">
        <f t="shared" si="3"/>
        <v>0</v>
      </c>
      <c r="N16" s="53">
        <f t="shared" si="3"/>
        <v>0</v>
      </c>
      <c r="O16" s="53">
        <f t="shared" si="3"/>
        <v>0</v>
      </c>
      <c r="P16" s="53">
        <f t="shared" si="3"/>
        <v>0</v>
      </c>
      <c r="Q16" s="53">
        <f t="shared" si="4"/>
        <v>0</v>
      </c>
      <c r="R16" s="53">
        <f t="shared" si="4"/>
        <v>0</v>
      </c>
      <c r="S16" s="53">
        <f t="shared" si="4"/>
        <v>0</v>
      </c>
      <c r="T16" s="53">
        <f t="shared" si="4"/>
        <v>0</v>
      </c>
      <c r="U16" s="53">
        <f t="shared" si="4"/>
        <v>0</v>
      </c>
      <c r="V16" s="53">
        <f t="shared" si="4"/>
        <v>0</v>
      </c>
      <c r="W16" s="53">
        <f t="shared" si="4"/>
        <v>0</v>
      </c>
      <c r="X16" s="54">
        <f t="shared" si="4"/>
        <v>0</v>
      </c>
    </row>
    <row r="17" spans="2:24" x14ac:dyDescent="0.3">
      <c r="B17" s="2">
        <f t="shared" si="5"/>
        <v>6</v>
      </c>
      <c r="C17" s="20"/>
      <c r="D17" s="75"/>
      <c r="E17" s="76"/>
      <c r="F17" s="47">
        <f t="shared" si="2"/>
        <v>0</v>
      </c>
      <c r="G17" s="53">
        <f t="shared" si="3"/>
        <v>0</v>
      </c>
      <c r="H17" s="53">
        <f t="shared" si="3"/>
        <v>0</v>
      </c>
      <c r="I17" s="53">
        <f t="shared" si="3"/>
        <v>0</v>
      </c>
      <c r="J17" s="53">
        <f t="shared" si="3"/>
        <v>0</v>
      </c>
      <c r="K17" s="53">
        <f t="shared" si="3"/>
        <v>0</v>
      </c>
      <c r="L17" s="53">
        <f t="shared" si="3"/>
        <v>0</v>
      </c>
      <c r="M17" s="53">
        <f t="shared" si="3"/>
        <v>0</v>
      </c>
      <c r="N17" s="53">
        <f t="shared" si="3"/>
        <v>0</v>
      </c>
      <c r="O17" s="53">
        <f t="shared" si="3"/>
        <v>0</v>
      </c>
      <c r="P17" s="53">
        <f t="shared" si="3"/>
        <v>0</v>
      </c>
      <c r="Q17" s="53">
        <f t="shared" si="4"/>
        <v>0</v>
      </c>
      <c r="R17" s="53">
        <f t="shared" si="4"/>
        <v>0</v>
      </c>
      <c r="S17" s="53">
        <f t="shared" si="4"/>
        <v>0</v>
      </c>
      <c r="T17" s="53">
        <f t="shared" si="4"/>
        <v>0</v>
      </c>
      <c r="U17" s="53">
        <f t="shared" si="4"/>
        <v>0</v>
      </c>
      <c r="V17" s="53">
        <f t="shared" si="4"/>
        <v>0</v>
      </c>
      <c r="W17" s="53">
        <f t="shared" si="4"/>
        <v>0</v>
      </c>
      <c r="X17" s="54">
        <f t="shared" si="4"/>
        <v>0</v>
      </c>
    </row>
    <row r="18" spans="2:24" x14ac:dyDescent="0.3">
      <c r="B18" s="2">
        <f t="shared" si="5"/>
        <v>7</v>
      </c>
      <c r="C18" s="20"/>
      <c r="D18" s="75"/>
      <c r="E18" s="76"/>
      <c r="F18" s="47">
        <f t="shared" si="2"/>
        <v>0</v>
      </c>
      <c r="G18" s="53">
        <f t="shared" si="3"/>
        <v>0</v>
      </c>
      <c r="H18" s="53">
        <f t="shared" si="3"/>
        <v>0</v>
      </c>
      <c r="I18" s="53">
        <f t="shared" si="3"/>
        <v>0</v>
      </c>
      <c r="J18" s="53">
        <f t="shared" si="3"/>
        <v>0</v>
      </c>
      <c r="K18" s="53">
        <f t="shared" si="3"/>
        <v>0</v>
      </c>
      <c r="L18" s="53">
        <f t="shared" si="3"/>
        <v>0</v>
      </c>
      <c r="M18" s="53">
        <f t="shared" si="3"/>
        <v>0</v>
      </c>
      <c r="N18" s="53">
        <f t="shared" si="3"/>
        <v>0</v>
      </c>
      <c r="O18" s="53">
        <f t="shared" si="3"/>
        <v>0</v>
      </c>
      <c r="P18" s="53">
        <f t="shared" si="3"/>
        <v>0</v>
      </c>
      <c r="Q18" s="53">
        <f t="shared" si="4"/>
        <v>0</v>
      </c>
      <c r="R18" s="53">
        <f t="shared" si="4"/>
        <v>0</v>
      </c>
      <c r="S18" s="53">
        <f t="shared" si="4"/>
        <v>0</v>
      </c>
      <c r="T18" s="53">
        <f t="shared" si="4"/>
        <v>0</v>
      </c>
      <c r="U18" s="53">
        <f t="shared" si="4"/>
        <v>0</v>
      </c>
      <c r="V18" s="53">
        <f t="shared" si="4"/>
        <v>0</v>
      </c>
      <c r="W18" s="53">
        <f t="shared" si="4"/>
        <v>0</v>
      </c>
      <c r="X18" s="54">
        <f t="shared" si="4"/>
        <v>0</v>
      </c>
    </row>
    <row r="19" spans="2:24" x14ac:dyDescent="0.3">
      <c r="B19" s="2">
        <f t="shared" si="5"/>
        <v>8</v>
      </c>
      <c r="C19" s="20"/>
      <c r="D19" s="75"/>
      <c r="E19" s="76"/>
      <c r="F19" s="47">
        <f t="shared" si="2"/>
        <v>0</v>
      </c>
      <c r="G19" s="53">
        <f t="shared" si="3"/>
        <v>0</v>
      </c>
      <c r="H19" s="53">
        <f t="shared" si="3"/>
        <v>0</v>
      </c>
      <c r="I19" s="53">
        <f t="shared" si="3"/>
        <v>0</v>
      </c>
      <c r="J19" s="53">
        <f t="shared" si="3"/>
        <v>0</v>
      </c>
      <c r="K19" s="53">
        <f t="shared" si="3"/>
        <v>0</v>
      </c>
      <c r="L19" s="53">
        <f t="shared" si="3"/>
        <v>0</v>
      </c>
      <c r="M19" s="53">
        <f t="shared" si="3"/>
        <v>0</v>
      </c>
      <c r="N19" s="53">
        <f t="shared" si="3"/>
        <v>0</v>
      </c>
      <c r="O19" s="53">
        <f t="shared" si="3"/>
        <v>0</v>
      </c>
      <c r="P19" s="53">
        <f t="shared" si="3"/>
        <v>0</v>
      </c>
      <c r="Q19" s="53">
        <f t="shared" si="4"/>
        <v>0</v>
      </c>
      <c r="R19" s="53">
        <f t="shared" si="4"/>
        <v>0</v>
      </c>
      <c r="S19" s="53">
        <f t="shared" si="4"/>
        <v>0</v>
      </c>
      <c r="T19" s="53">
        <f t="shared" si="4"/>
        <v>0</v>
      </c>
      <c r="U19" s="53">
        <f t="shared" si="4"/>
        <v>0</v>
      </c>
      <c r="V19" s="53">
        <f t="shared" si="4"/>
        <v>0</v>
      </c>
      <c r="W19" s="53">
        <f t="shared" si="4"/>
        <v>0</v>
      </c>
      <c r="X19" s="54">
        <f t="shared" si="4"/>
        <v>0</v>
      </c>
    </row>
    <row r="20" spans="2:24" x14ac:dyDescent="0.3">
      <c r="B20" s="2">
        <f t="shared" si="5"/>
        <v>9</v>
      </c>
      <c r="C20" s="20"/>
      <c r="D20" s="75"/>
      <c r="E20" s="76"/>
      <c r="F20" s="47">
        <f t="shared" si="2"/>
        <v>0</v>
      </c>
      <c r="G20" s="53">
        <f t="shared" si="3"/>
        <v>0</v>
      </c>
      <c r="H20" s="53">
        <f t="shared" si="3"/>
        <v>0</v>
      </c>
      <c r="I20" s="53">
        <f t="shared" si="3"/>
        <v>0</v>
      </c>
      <c r="J20" s="53">
        <f t="shared" si="3"/>
        <v>0</v>
      </c>
      <c r="K20" s="53">
        <f t="shared" si="3"/>
        <v>0</v>
      </c>
      <c r="L20" s="53">
        <f t="shared" si="3"/>
        <v>0</v>
      </c>
      <c r="M20" s="53">
        <f t="shared" si="3"/>
        <v>0</v>
      </c>
      <c r="N20" s="53">
        <f t="shared" si="3"/>
        <v>0</v>
      </c>
      <c r="O20" s="53">
        <f t="shared" si="3"/>
        <v>0</v>
      </c>
      <c r="P20" s="53">
        <f t="shared" si="3"/>
        <v>0</v>
      </c>
      <c r="Q20" s="53">
        <f t="shared" si="4"/>
        <v>0</v>
      </c>
      <c r="R20" s="53">
        <f t="shared" si="4"/>
        <v>0</v>
      </c>
      <c r="S20" s="53">
        <f t="shared" si="4"/>
        <v>0</v>
      </c>
      <c r="T20" s="53">
        <f t="shared" si="4"/>
        <v>0</v>
      </c>
      <c r="U20" s="53">
        <f t="shared" si="4"/>
        <v>0</v>
      </c>
      <c r="V20" s="53">
        <f t="shared" si="4"/>
        <v>0</v>
      </c>
      <c r="W20" s="53">
        <f t="shared" si="4"/>
        <v>0</v>
      </c>
      <c r="X20" s="54">
        <f t="shared" si="4"/>
        <v>0</v>
      </c>
    </row>
    <row r="21" spans="2:24" x14ac:dyDescent="0.3">
      <c r="B21" s="10">
        <f t="shared" si="5"/>
        <v>10</v>
      </c>
      <c r="C21" s="22"/>
      <c r="D21" s="77"/>
      <c r="E21" s="78"/>
      <c r="F21" s="48">
        <f t="shared" si="2"/>
        <v>0</v>
      </c>
      <c r="G21" s="55">
        <f t="shared" si="3"/>
        <v>0</v>
      </c>
      <c r="H21" s="55">
        <f t="shared" si="3"/>
        <v>0</v>
      </c>
      <c r="I21" s="55">
        <f t="shared" si="3"/>
        <v>0</v>
      </c>
      <c r="J21" s="55">
        <f t="shared" si="3"/>
        <v>0</v>
      </c>
      <c r="K21" s="55">
        <f t="shared" si="3"/>
        <v>0</v>
      </c>
      <c r="L21" s="55">
        <f t="shared" si="3"/>
        <v>0</v>
      </c>
      <c r="M21" s="55">
        <f t="shared" si="3"/>
        <v>0</v>
      </c>
      <c r="N21" s="55">
        <f t="shared" si="3"/>
        <v>0</v>
      </c>
      <c r="O21" s="55">
        <f t="shared" si="3"/>
        <v>0</v>
      </c>
      <c r="P21" s="55">
        <f t="shared" si="3"/>
        <v>0</v>
      </c>
      <c r="Q21" s="55">
        <f t="shared" si="4"/>
        <v>0</v>
      </c>
      <c r="R21" s="55">
        <f t="shared" si="4"/>
        <v>0</v>
      </c>
      <c r="S21" s="55">
        <f t="shared" si="4"/>
        <v>0</v>
      </c>
      <c r="T21" s="55">
        <f t="shared" si="4"/>
        <v>0</v>
      </c>
      <c r="U21" s="55">
        <f t="shared" si="4"/>
        <v>0</v>
      </c>
      <c r="V21" s="55">
        <f t="shared" si="4"/>
        <v>0</v>
      </c>
      <c r="W21" s="55">
        <f t="shared" si="4"/>
        <v>0</v>
      </c>
      <c r="X21" s="56">
        <f t="shared" si="4"/>
        <v>0</v>
      </c>
    </row>
    <row r="22" spans="2:24" x14ac:dyDescent="0.3">
      <c r="B22" s="111" t="s">
        <v>78</v>
      </c>
      <c r="C22" s="112"/>
      <c r="D22" s="112"/>
      <c r="E22" s="113"/>
      <c r="F22" s="79">
        <f>SUM(F12:F21)</f>
        <v>0</v>
      </c>
      <c r="G22" s="80">
        <f>SUM(G12:G21)</f>
        <v>0</v>
      </c>
      <c r="H22" s="80">
        <f t="shared" ref="H22:X22" si="6">SUM(H12:H21)</f>
        <v>0</v>
      </c>
      <c r="I22" s="80">
        <f t="shared" si="6"/>
        <v>0</v>
      </c>
      <c r="J22" s="80">
        <f t="shared" si="6"/>
        <v>0</v>
      </c>
      <c r="K22" s="80">
        <f t="shared" si="6"/>
        <v>0</v>
      </c>
      <c r="L22" s="80">
        <f t="shared" si="6"/>
        <v>0</v>
      </c>
      <c r="M22" s="80">
        <f t="shared" si="6"/>
        <v>0</v>
      </c>
      <c r="N22" s="80">
        <f t="shared" si="6"/>
        <v>0</v>
      </c>
      <c r="O22" s="80">
        <f t="shared" si="6"/>
        <v>0</v>
      </c>
      <c r="P22" s="80">
        <f t="shared" si="6"/>
        <v>0</v>
      </c>
      <c r="Q22" s="80">
        <f t="shared" si="6"/>
        <v>0</v>
      </c>
      <c r="R22" s="80">
        <f t="shared" si="6"/>
        <v>0</v>
      </c>
      <c r="S22" s="80">
        <f t="shared" si="6"/>
        <v>0</v>
      </c>
      <c r="T22" s="80">
        <f t="shared" si="6"/>
        <v>0</v>
      </c>
      <c r="U22" s="80">
        <f t="shared" si="6"/>
        <v>0</v>
      </c>
      <c r="V22" s="80">
        <f t="shared" si="6"/>
        <v>0</v>
      </c>
      <c r="W22" s="80">
        <f t="shared" si="6"/>
        <v>0</v>
      </c>
      <c r="X22" s="81">
        <f t="shared" si="6"/>
        <v>0</v>
      </c>
    </row>
    <row r="23" spans="2:24" x14ac:dyDescent="0.3">
      <c r="G23" s="82"/>
    </row>
    <row r="24" spans="2:24" x14ac:dyDescent="0.3">
      <c r="B24" s="83" t="s">
        <v>79</v>
      </c>
      <c r="C24" s="83"/>
      <c r="D24" s="83"/>
      <c r="G24" s="82"/>
    </row>
    <row r="25" spans="2:24" ht="15" customHeight="1" x14ac:dyDescent="0.3">
      <c r="B25" s="84" t="s">
        <v>80</v>
      </c>
      <c r="C25" s="52" t="s">
        <v>37</v>
      </c>
      <c r="D25" s="85" t="s">
        <v>81</v>
      </c>
      <c r="E25" s="86"/>
      <c r="F25" s="86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</row>
    <row r="26" spans="2:24" ht="14" customHeight="1" x14ac:dyDescent="0.3">
      <c r="B26" s="49" t="s">
        <v>82</v>
      </c>
      <c r="C26" s="50" t="s">
        <v>83</v>
      </c>
      <c r="D26" s="88" cm="1">
        <f t="array" ref="D26">IFERROR(SUM(_xlfn._xlws.FILTER(manday,effort="A")),0)</f>
        <v>0</v>
      </c>
      <c r="E26" s="89"/>
      <c r="F26" s="89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</row>
    <row r="27" spans="2:24" ht="13" customHeight="1" x14ac:dyDescent="0.3">
      <c r="B27" s="2" t="s">
        <v>74</v>
      </c>
      <c r="C27" s="20" t="s">
        <v>84</v>
      </c>
      <c r="D27" s="91" cm="1">
        <f t="array" ref="D27">IFERROR(SUM(_xlfn._xlws.FILTER(_xlfn.CHOOSECOLS(manday,_xlfn._xlws.FILTER(members,EffortType="Implement")),effort="B")),0)</f>
        <v>0</v>
      </c>
      <c r="E27" s="92"/>
      <c r="F27" s="92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</row>
    <row r="28" spans="2:24" ht="13" customHeight="1" x14ac:dyDescent="0.3">
      <c r="B28" s="2" t="s">
        <v>85</v>
      </c>
      <c r="C28" s="20" t="s">
        <v>86</v>
      </c>
      <c r="D28" s="91" cm="1">
        <f t="array" ref="D28">IFERROR(SUM(_xlfn._xlws.FILTER(_xlfn.CHOOSECOLS(manday,_xlfn._xlws.FILTER(members,EffortType="Manage")),effort&lt;&gt;"A")),0)</f>
        <v>0</v>
      </c>
      <c r="E28" s="92"/>
      <c r="F28" s="92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</row>
    <row r="29" spans="2:24" x14ac:dyDescent="0.3">
      <c r="B29" s="2" t="s">
        <v>73</v>
      </c>
      <c r="C29" s="20" t="s">
        <v>87</v>
      </c>
      <c r="D29" s="91" cm="1">
        <f t="array" ref="D29">IFERROR(SUM(_xlfn._xlws.FILTER(_xlfn.CHOOSECOLS(manday,_xlfn._xlws.FILTER(members,EffortType="Implement")),effort="D")),0)</f>
        <v>0</v>
      </c>
      <c r="E29" s="92"/>
      <c r="F29" s="92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</row>
    <row r="30" spans="2:24" x14ac:dyDescent="0.3">
      <c r="B30" s="9" t="s">
        <v>88</v>
      </c>
      <c r="C30" s="21" t="s">
        <v>89</v>
      </c>
      <c r="D30" s="93" cm="1">
        <f t="array" ref="D30">IFERROR(SUM(_xlfn._xlws.FILTER(_xlfn.CHOOSECOLS(manday,_xlfn._xlws.FILTER(members,EffortType="Implement")),effort="E")),0)</f>
        <v>0</v>
      </c>
      <c r="E30" s="92"/>
      <c r="F30" s="92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</row>
    <row r="31" spans="2:24" ht="14" customHeight="1" x14ac:dyDescent="0.3">
      <c r="B31" s="114" t="s">
        <v>90</v>
      </c>
      <c r="C31" s="115"/>
      <c r="D31" s="94">
        <f>SUM(D26:D30)</f>
        <v>0</v>
      </c>
      <c r="E31" s="92"/>
      <c r="F31" s="92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</row>
    <row r="32" spans="2:24" ht="14" customHeight="1" x14ac:dyDescent="0.3">
      <c r="B32" s="116" t="s">
        <v>91</v>
      </c>
      <c r="C32" s="117"/>
      <c r="D32" s="95">
        <f>SUM(D26:D30)</f>
        <v>0</v>
      </c>
      <c r="E32" s="92"/>
      <c r="F32" s="92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X32" xr:uid="{600ADF87-0462-444D-9233-11054CD2FA0A}"/>
    <dataValidation type="date" allowBlank="1" showErrorMessage="1" sqref="D12 D26" xr:uid="{EFC6ED89-7A33-4823-A70C-4E22BFA6AA35}">
      <formula1>45292</formula1>
      <formula2>54789</formula2>
    </dataValidation>
    <dataValidation type="list" allowBlank="1" showInputMessage="1" showErrorMessage="1" sqref="E12:E21" xr:uid="{0BB9FDB1-771D-4DE6-8785-1140BCBCF6DE}">
      <formula1>"Manage,Implement"</formula1>
    </dataValidation>
    <dataValidation type="whole" allowBlank="1" showErrorMessage="1" sqref="F12:F21" xr:uid="{07560B20-B3F6-488F-AC1E-57304D2141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PublicHolidays</vt:lpstr>
      <vt:lpstr>WorkSchedule</vt:lpstr>
      <vt:lpstr>MandaySchedule</vt:lpstr>
      <vt:lpstr>EffortType</vt:lpstr>
      <vt:lpstr>holidays</vt:lpstr>
      <vt:lpstr>manday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2025-06-17T04:51:07Z</dcterms:modified>
</cp:coreProperties>
</file>