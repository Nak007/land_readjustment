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db477a40efa4ce6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WorkSchedule/SQ2/"/>
    </mc:Choice>
  </mc:AlternateContent>
  <xr:revisionPtr revIDLastSave="2007" documentId="13_ncr:1_{DEA491D8-5FD5-41D0-B5AC-51FD52B2C90D}" xr6:coauthVersionLast="47" xr6:coauthVersionMax="47" xr10:uidLastSave="{92910CAC-840C-42B3-854D-D1EFE9341817}"/>
  <bookViews>
    <workbookView xWindow="-110" yWindow="-110" windowWidth="19420" windowHeight="11500" firstSheet="1" activeTab="3" xr2:uid="{3AAFA5A8-BE87-48E4-8D01-8808AB85EB7F}"/>
  </bookViews>
  <sheets>
    <sheet name="PublicHolidays" sheetId="1" state="hidden" r:id="rId1"/>
    <sheet name="Summary" sheetId="50" r:id="rId2"/>
    <sheet name="WorkSchedule" sheetId="48" r:id="rId3"/>
    <sheet name="MandaySchedule" sheetId="49" r:id="rId4"/>
    <sheet name="ChartProperties" sheetId="32" state="veryHidden" r:id="rId5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contribution">{0,0,0,0,0,0,0,0,0,0;0.08333,0.08333,0,0,0,0,0,0,0,0;0.08333,0.08333,0,0,0,0,0,0,0,0;0.16667,0.16667,0,0,0,0,0,0,0,0;0.2,0.2,0,0,0,0,0,0,0,0;0.07143,0.07143,0,0,0,0,0,0,0,0;0,0,0,0,0,0,0,0,0,0;0.2,0.2,0.1,0.2,0,0,0,0,0,0;0.2,0.2,0.2,0.2,0,0,0,0,0,0;0.13333,0.13333,0.4,0.4,0,0,0,0,0,0;0.1,0.05,0.4,0.4,0,0,0,0,0,0;0.05,0.1,0,0.5,0,0,0,0,0,0;0.05,0.1,0.4,0,0,0,0,0,0,0;0.1,0.1,0.4,0.4,0,0,0,0,0,0;0.1,0.025,0.4,0.4,0,0,0,0,0,0;0.1,0.1,0.4,0.4,0,0,0,0,0,0;0.1,0.1,0.4,0.4,0,0,0,0,0,0;0.06667,0.06667,0.4,0.4,0,0,0,0,0,0;0,0,0,0,0,0,0,0,0,0;0.1,0.1,0.1,0.2,0,0,0,0,0,0;0.1,0.2,0.1,0.2,0,0,0,0,0,0;0.1,0.2,0.4,0.4,0,0,0,0,0,0;0.1,0.05,0.4,0.4,0,0,0,0,0,0;0.1,0.1,0.7,0,0,0,0,0,0,0;0.1,0.1,0,0.5,0,0,0,0,0,0;0,0,0.1,0.1,0,0,0,0,0,0;0.1,0.03333,0.6,0.4,0,0,0,0,0,0;0,0,0.06667,0.1,0,0,0,0,0,0;0.25,0.25,1,0.4,0,0,0,0,0,0;0.25,0.25,0.25,0.3,0,0,0,0,0,0;0.1,0.1,0.2,0.4,0,0,0,0,0,0;0.13333,0.06667,0.4,0.4,0,0,0,0,0,0;0,0,0,0,0,0,0,0,0,0;0.25,0.2,0.125,0.2,0,0,0,0,0,0;0.5,0.2,0.25,0.2,0,0,0,0,0,0}</definedName>
    <definedName name="duration">WorkSchedule!$G$12:$G$46</definedName>
    <definedName name="effort">WorkSchedule!$U$12:$U$46</definedName>
    <definedName name="EffortType" localSheetId="3">MandaySchedule!$E$12:$E$21</definedName>
    <definedName name="holidays">PublicHolidays!$B$2:$B$74</definedName>
    <definedName name="manday">WorkSchedule!$V$12:$AE$46</definedName>
    <definedName name="members" localSheetId="3">MandaySchedule!$B$12:$B$21</definedName>
    <definedName name="workingdays">{18,9,0,0,0,0,0,0;12,0,0,0,0,0,0,0;12,0,0,0,0,0,0,0;12,0,0,0,0,0,0,0;5,5,0,0,0,0,0,0;5,9,0,0,0,0,0,0;13,19,21,19,21,0,0,0;10,0,0,0,0,0,0,0;3,7,0,0,0,0,0,0;0,15,0,0,0,0,0,0;0,4,1,0,0,0,0,0;0,0,20,0,0,0,0,0;0,0,20,0,0,0,0,0;0,0,0,5,0,0,0,0;0,0,0,10,0,0,0,0;0,0,0,4,1,0,0,0;0,0,0,0,5,0,0,0;0,0,0,0,15,0,0,0;0,0,0,14,22,21,20,12;0,0,0,5,0,0,0,0;0,0,0,5,0,0,0,0;0,0,0,5,0,0,0,0;0,0,0,4,1,0,0,0;0,0,0,0,10,0,0,0;0,0,0,0,10,0,0,0;0,0,0,0,10,0,0,0;0,0,0,0,1,14,0,0;0,0,0,0,0,7,8,0;0,0,0,0,0,0,2,0;0,0,0,0,0,0,2,0;0,0,0,0,0,0,5,0;0,0,0,0,0,0,3,12;0,0,0,0,0,0,0,5;0,0,0,0,0,0,0,4;0,0,0,0,0,0,0,1}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49" l="1" a="1"/>
  <c r="D30" i="49" s="1"/>
  <c r="D29" i="49" a="1"/>
  <c r="D29" i="49" s="1"/>
  <c r="D28" i="49" a="1"/>
  <c r="D28" i="49" s="1"/>
  <c r="D26" i="49" a="1"/>
  <c r="D26" i="49" s="1"/>
  <c r="B16" i="49"/>
  <c r="H15" i="49"/>
  <c r="G15" i="49"/>
  <c r="B15" i="49"/>
  <c r="D27" i="49" s="1" a="1"/>
  <c r="D27" i="49" s="1"/>
  <c r="G14" i="49"/>
  <c r="G13" i="49"/>
  <c r="G12" i="49"/>
  <c r="H10" i="49"/>
  <c r="H12" i="49" s="1"/>
  <c r="I19" i="48"/>
  <c r="F15" i="48"/>
  <c r="I15" i="48" s="1"/>
  <c r="I14" i="48"/>
  <c r="F14" i="48"/>
  <c r="I13" i="48"/>
  <c r="B13" i="48"/>
  <c r="B14" i="48" s="1"/>
  <c r="B15" i="48" s="1"/>
  <c r="B16" i="48" s="1"/>
  <c r="B17" i="48" s="1"/>
  <c r="B18" i="48" s="1"/>
  <c r="H12" i="48"/>
  <c r="C5" i="48"/>
  <c r="C3" i="49" s="1" a="1"/>
  <c r="J15" i="48" a="1"/>
  <c r="J19" i="48" a="1"/>
  <c r="J14" i="48" a="1"/>
  <c r="J13" i="48" a="1"/>
  <c r="C3" i="49" l="1"/>
  <c r="C6" i="49"/>
  <c r="C7" i="49"/>
  <c r="C4" i="49"/>
  <c r="C5" i="49"/>
  <c r="C8" i="49"/>
  <c r="H13" i="49"/>
  <c r="I10" i="49"/>
  <c r="G16" i="49"/>
  <c r="H14" i="49"/>
  <c r="H16" i="49"/>
  <c r="I16" i="49"/>
  <c r="B17" i="49"/>
  <c r="J13" i="48"/>
  <c r="J19" i="48"/>
  <c r="J14" i="48"/>
  <c r="J15" i="48"/>
  <c r="H18" i="48"/>
  <c r="B19" i="48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R12" i="48"/>
  <c r="H13" i="48"/>
  <c r="L19" i="48" a="1"/>
  <c r="L13" i="48" a="1"/>
  <c r="L15" i="48" a="1"/>
  <c r="L14" i="48" a="1"/>
  <c r="D31" i="49" l="1"/>
  <c r="H17" i="49"/>
  <c r="B18" i="49"/>
  <c r="I17" i="49"/>
  <c r="G17" i="49"/>
  <c r="J17" i="49"/>
  <c r="D32" i="49"/>
  <c r="I14" i="49"/>
  <c r="J10" i="49"/>
  <c r="I15" i="49"/>
  <c r="I12" i="49"/>
  <c r="I13" i="49"/>
  <c r="L19" i="48"/>
  <c r="L15" i="48"/>
  <c r="M15" i="48" s="1"/>
  <c r="L14" i="48"/>
  <c r="M14" i="48" s="1"/>
  <c r="L13" i="48"/>
  <c r="H30" i="48"/>
  <c r="B31" i="48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R13" i="48"/>
  <c r="H14" i="48"/>
  <c r="F20" i="48"/>
  <c r="K19" i="48"/>
  <c r="H19" i="48"/>
  <c r="R18" i="48"/>
  <c r="K15" i="48"/>
  <c r="F16" i="48"/>
  <c r="K14" i="48"/>
  <c r="K13" i="48"/>
  <c r="S15" i="48" a="1"/>
  <c r="S14" i="48" a="1"/>
  <c r="M13" i="48" l="1"/>
  <c r="N13" i="48" s="1"/>
  <c r="M19" i="48"/>
  <c r="P19" i="48" s="1"/>
  <c r="J18" i="49"/>
  <c r="B19" i="49"/>
  <c r="I18" i="49"/>
  <c r="H18" i="49"/>
  <c r="G18" i="49"/>
  <c r="J14" i="49"/>
  <c r="J12" i="49"/>
  <c r="K10" i="49"/>
  <c r="K18" i="49" s="1"/>
  <c r="J13" i="49"/>
  <c r="J15" i="49"/>
  <c r="J16" i="49"/>
  <c r="S14" i="48"/>
  <c r="S15" i="48"/>
  <c r="B45" i="48"/>
  <c r="B46" i="48" s="1"/>
  <c r="H44" i="48"/>
  <c r="I16" i="48"/>
  <c r="F17" i="48"/>
  <c r="I17" i="48" s="1"/>
  <c r="R30" i="48"/>
  <c r="H31" i="48"/>
  <c r="F21" i="48"/>
  <c r="I21" i="48" s="1"/>
  <c r="I20" i="48"/>
  <c r="R19" i="48"/>
  <c r="H20" i="48"/>
  <c r="R14" i="48"/>
  <c r="H15" i="48"/>
  <c r="P14" i="48"/>
  <c r="O14" i="48"/>
  <c r="N14" i="48"/>
  <c r="P15" i="48"/>
  <c r="O15" i="48"/>
  <c r="N15" i="48"/>
  <c r="J16" i="48" a="1"/>
  <c r="J20" i="48" a="1"/>
  <c r="J17" i="48" a="1"/>
  <c r="J21" i="48" a="1"/>
  <c r="S13" i="48" a="1"/>
  <c r="S19" i="48" a="1"/>
  <c r="O13" i="48" l="1"/>
  <c r="O19" i="48"/>
  <c r="N19" i="48"/>
  <c r="P13" i="48"/>
  <c r="S13" i="48"/>
  <c r="S19" i="48"/>
  <c r="G11" i="49"/>
  <c r="H11" i="49" s="1"/>
  <c r="I11" i="49" s="1"/>
  <c r="J11" i="49" s="1"/>
  <c r="K11" i="49" s="1"/>
  <c r="L11" i="49" s="1"/>
  <c r="M11" i="49" s="1"/>
  <c r="N11" i="49" s="1"/>
  <c r="O11" i="49" s="1"/>
  <c r="P11" i="49" s="1"/>
  <c r="Q11" i="49" s="1"/>
  <c r="R11" i="49" s="1"/>
  <c r="S11" i="49" s="1"/>
  <c r="T11" i="49" s="1"/>
  <c r="U11" i="49" s="1"/>
  <c r="V11" i="49" s="1"/>
  <c r="W11" i="49" s="1"/>
  <c r="X11" i="49" s="1"/>
  <c r="H19" i="49"/>
  <c r="K19" i="49"/>
  <c r="G19" i="49"/>
  <c r="J19" i="49"/>
  <c r="B20" i="49"/>
  <c r="I19" i="49"/>
  <c r="L10" i="49"/>
  <c r="K13" i="49"/>
  <c r="K16" i="49"/>
  <c r="K14" i="49"/>
  <c r="K12" i="49"/>
  <c r="K15" i="49"/>
  <c r="K17" i="49"/>
  <c r="Q15" i="48"/>
  <c r="Q14" i="48"/>
  <c r="J21" i="48"/>
  <c r="J17" i="48"/>
  <c r="J20" i="48"/>
  <c r="R20" i="48" s="1"/>
  <c r="J16" i="48"/>
  <c r="R44" i="48"/>
  <c r="H45" i="48"/>
  <c r="H16" i="48"/>
  <c r="R15" i="48"/>
  <c r="H32" i="48"/>
  <c r="H21" i="48"/>
  <c r="L16" i="48" a="1"/>
  <c r="L17" i="48" a="1"/>
  <c r="L21" i="48" a="1"/>
  <c r="L20" i="48" a="1"/>
  <c r="Q13" i="48" l="1"/>
  <c r="Q19" i="48"/>
  <c r="J20" i="49"/>
  <c r="B21" i="49"/>
  <c r="I20" i="49"/>
  <c r="H20" i="49"/>
  <c r="L20" i="49"/>
  <c r="G20" i="49"/>
  <c r="K20" i="49"/>
  <c r="M10" i="49"/>
  <c r="M20" i="49" s="1"/>
  <c r="L13" i="49"/>
  <c r="L15" i="49"/>
  <c r="L16" i="49"/>
  <c r="L12" i="49"/>
  <c r="L14" i="49"/>
  <c r="L17" i="49"/>
  <c r="L18" i="49"/>
  <c r="L19" i="49"/>
  <c r="L16" i="48"/>
  <c r="L20" i="48"/>
  <c r="L17" i="48"/>
  <c r="M17" i="48" s="1"/>
  <c r="L21" i="48"/>
  <c r="M21" i="48" s="1"/>
  <c r="H17" i="48"/>
  <c r="R17" i="48" s="1"/>
  <c r="R16" i="48"/>
  <c r="R21" i="48"/>
  <c r="H22" i="48"/>
  <c r="K16" i="48"/>
  <c r="H46" i="48"/>
  <c r="K20" i="48"/>
  <c r="H33" i="48"/>
  <c r="K17" i="48"/>
  <c r="K21" i="48"/>
  <c r="F22" i="48"/>
  <c r="I22" i="48" s="1"/>
  <c r="J22" i="48" a="1"/>
  <c r="S21" i="48" a="1"/>
  <c r="L12" i="48" a="1"/>
  <c r="S17" i="48" a="1"/>
  <c r="L12" i="48" l="1"/>
  <c r="M16" i="48"/>
  <c r="N16" i="48" s="1"/>
  <c r="M20" i="48"/>
  <c r="P20" i="48" s="1"/>
  <c r="M21" i="49"/>
  <c r="L21" i="49"/>
  <c r="L22" i="49" s="1"/>
  <c r="H21" i="49"/>
  <c r="H22" i="49" s="1"/>
  <c r="K21" i="49"/>
  <c r="K22" i="49" s="1"/>
  <c r="G21" i="49"/>
  <c r="J21" i="49"/>
  <c r="J22" i="49" s="1"/>
  <c r="I21" i="49"/>
  <c r="I22" i="49" s="1"/>
  <c r="M13" i="49"/>
  <c r="M12" i="49"/>
  <c r="M14" i="49"/>
  <c r="N10" i="49"/>
  <c r="N21" i="49" s="1"/>
  <c r="M16" i="49"/>
  <c r="M15" i="49"/>
  <c r="M17" i="49"/>
  <c r="M18" i="49"/>
  <c r="M19" i="49"/>
  <c r="S21" i="48"/>
  <c r="S17" i="48"/>
  <c r="J22" i="48"/>
  <c r="H34" i="48"/>
  <c r="O21" i="48"/>
  <c r="N21" i="48"/>
  <c r="P21" i="48"/>
  <c r="O17" i="48"/>
  <c r="N17" i="48"/>
  <c r="P17" i="48"/>
  <c r="H23" i="48"/>
  <c r="L22" i="48" a="1"/>
  <c r="M12" i="48" a="1"/>
  <c r="S20" i="48" a="1"/>
  <c r="S16" i="48" a="1"/>
  <c r="P16" i="48" l="1"/>
  <c r="O16" i="48"/>
  <c r="M12" i="48"/>
  <c r="S16" i="48"/>
  <c r="O20" i="48"/>
  <c r="N20" i="48"/>
  <c r="S20" i="48"/>
  <c r="Q17" i="48"/>
  <c r="G22" i="49"/>
  <c r="M22" i="49"/>
  <c r="Q21" i="48"/>
  <c r="N12" i="49"/>
  <c r="O10" i="49"/>
  <c r="N13" i="49"/>
  <c r="N14" i="49"/>
  <c r="N15" i="49"/>
  <c r="N16" i="49"/>
  <c r="N17" i="49"/>
  <c r="N18" i="49"/>
  <c r="N19" i="49"/>
  <c r="N20" i="49"/>
  <c r="L22" i="48"/>
  <c r="H35" i="48"/>
  <c r="K22" i="48"/>
  <c r="F23" i="48"/>
  <c r="H24" i="48"/>
  <c r="R22" i="48"/>
  <c r="Q20" i="48" l="1"/>
  <c r="Q16" i="48"/>
  <c r="M22" i="48"/>
  <c r="N22" i="48" s="1"/>
  <c r="N22" i="49"/>
  <c r="O12" i="49"/>
  <c r="O14" i="49"/>
  <c r="O15" i="49"/>
  <c r="P10" i="49"/>
  <c r="O13" i="49"/>
  <c r="O16" i="49"/>
  <c r="O17" i="49"/>
  <c r="O18" i="49"/>
  <c r="O19" i="49"/>
  <c r="O20" i="49"/>
  <c r="O21" i="49"/>
  <c r="I23" i="48"/>
  <c r="F24" i="48"/>
  <c r="I24" i="48" s="1"/>
  <c r="H25" i="48"/>
  <c r="H36" i="48"/>
  <c r="J23" i="48" a="1"/>
  <c r="J24" i="48" a="1"/>
  <c r="S22" i="48" a="1"/>
  <c r="O22" i="48" l="1"/>
  <c r="P22" i="48"/>
  <c r="S22" i="48"/>
  <c r="P12" i="49"/>
  <c r="P14" i="49"/>
  <c r="P15" i="49"/>
  <c r="P13" i="49"/>
  <c r="Q10" i="49"/>
  <c r="P16" i="49"/>
  <c r="P17" i="49"/>
  <c r="P18" i="49"/>
  <c r="P19" i="49"/>
  <c r="P20" i="49"/>
  <c r="P21" i="49"/>
  <c r="O22" i="49"/>
  <c r="J24" i="48"/>
  <c r="J23" i="48"/>
  <c r="H26" i="48"/>
  <c r="H37" i="48"/>
  <c r="L23" i="48" a="1"/>
  <c r="L24" i="48" a="1"/>
  <c r="Q22" i="48" l="1"/>
  <c r="Q14" i="49"/>
  <c r="R10" i="49"/>
  <c r="Q15" i="49"/>
  <c r="Q12" i="49"/>
  <c r="Q13" i="49"/>
  <c r="Q16" i="49"/>
  <c r="Q17" i="49"/>
  <c r="Q18" i="49"/>
  <c r="Q19" i="49"/>
  <c r="Q20" i="49"/>
  <c r="Q21" i="49"/>
  <c r="P22" i="49"/>
  <c r="L23" i="48"/>
  <c r="L24" i="48"/>
  <c r="M24" i="48" s="1"/>
  <c r="H27" i="48"/>
  <c r="K23" i="48"/>
  <c r="R23" i="48"/>
  <c r="H38" i="48"/>
  <c r="K24" i="48"/>
  <c r="F25" i="48"/>
  <c r="I25" i="48" s="1"/>
  <c r="R24" i="48"/>
  <c r="J25" i="48" a="1"/>
  <c r="S24" i="48" a="1"/>
  <c r="M23" i="48" l="1"/>
  <c r="P23" i="48" s="1"/>
  <c r="Q22" i="49"/>
  <c r="R14" i="49"/>
  <c r="S10" i="49"/>
  <c r="R13" i="49"/>
  <c r="R12" i="49"/>
  <c r="R16" i="49"/>
  <c r="R15" i="49"/>
  <c r="R17" i="49"/>
  <c r="R18" i="49"/>
  <c r="R19" i="49"/>
  <c r="R20" i="49"/>
  <c r="R21" i="49"/>
  <c r="J25" i="48"/>
  <c r="S24" i="48"/>
  <c r="H28" i="48"/>
  <c r="P24" i="48"/>
  <c r="O24" i="48"/>
  <c r="N24" i="48"/>
  <c r="H39" i="48"/>
  <c r="L25" i="48" a="1"/>
  <c r="S23" i="48" a="1"/>
  <c r="N23" i="48" l="1"/>
  <c r="O23" i="48"/>
  <c r="S23" i="48"/>
  <c r="R22" i="49"/>
  <c r="T10" i="49"/>
  <c r="S13" i="49"/>
  <c r="S12" i="49"/>
  <c r="S16" i="49"/>
  <c r="S14" i="49"/>
  <c r="S15" i="49"/>
  <c r="S17" i="49"/>
  <c r="S18" i="49"/>
  <c r="S19" i="49"/>
  <c r="S20" i="49"/>
  <c r="S21" i="49"/>
  <c r="Q24" i="48"/>
  <c r="L25" i="48"/>
  <c r="F26" i="48"/>
  <c r="I26" i="48" s="1"/>
  <c r="F31" i="48"/>
  <c r="K25" i="48"/>
  <c r="R25" i="48"/>
  <c r="H29" i="48"/>
  <c r="H40" i="48"/>
  <c r="J26" i="48" a="1"/>
  <c r="Q23" i="48" l="1"/>
  <c r="M25" i="48"/>
  <c r="P25" i="48" s="1"/>
  <c r="S22" i="49"/>
  <c r="U10" i="49"/>
  <c r="T13" i="49"/>
  <c r="T15" i="49"/>
  <c r="T16" i="49"/>
  <c r="T12" i="49"/>
  <c r="T14" i="49"/>
  <c r="T17" i="49"/>
  <c r="T18" i="49"/>
  <c r="T19" i="49"/>
  <c r="T20" i="49"/>
  <c r="T21" i="49"/>
  <c r="J26" i="48"/>
  <c r="H41" i="48"/>
  <c r="I31" i="48"/>
  <c r="F32" i="48"/>
  <c r="I32" i="48" s="1"/>
  <c r="J31" i="48" a="1"/>
  <c r="J32" i="48" a="1"/>
  <c r="L26" i="48" a="1"/>
  <c r="S25" i="48" a="1"/>
  <c r="O25" i="48" l="1"/>
  <c r="N25" i="48"/>
  <c r="S25" i="48"/>
  <c r="T22" i="49"/>
  <c r="U13" i="49"/>
  <c r="U12" i="49"/>
  <c r="V10" i="49"/>
  <c r="U14" i="49"/>
  <c r="U16" i="49"/>
  <c r="U15" i="49"/>
  <c r="U17" i="49"/>
  <c r="U18" i="49"/>
  <c r="U19" i="49"/>
  <c r="U20" i="49"/>
  <c r="U21" i="49"/>
  <c r="J32" i="48"/>
  <c r="L26" i="48"/>
  <c r="J31" i="48"/>
  <c r="F27" i="48"/>
  <c r="I27" i="48" s="1"/>
  <c r="K26" i="48"/>
  <c r="R26" i="48"/>
  <c r="H42" i="48"/>
  <c r="J27" i="48" a="1"/>
  <c r="L31" i="48" a="1"/>
  <c r="L32" i="48" a="1"/>
  <c r="Q25" i="48" l="1"/>
  <c r="M26" i="48"/>
  <c r="O26" i="48" s="1"/>
  <c r="W10" i="49"/>
  <c r="V12" i="49"/>
  <c r="V13" i="49"/>
  <c r="V14" i="49"/>
  <c r="V15" i="49"/>
  <c r="V16" i="49"/>
  <c r="V17" i="49"/>
  <c r="V18" i="49"/>
  <c r="V19" i="49"/>
  <c r="V20" i="49"/>
  <c r="V21" i="49"/>
  <c r="U22" i="49"/>
  <c r="J27" i="48"/>
  <c r="L31" i="48"/>
  <c r="L32" i="48"/>
  <c r="M32" i="48" s="1"/>
  <c r="H43" i="48"/>
  <c r="K31" i="48"/>
  <c r="R31" i="48"/>
  <c r="F33" i="48"/>
  <c r="I33" i="48" s="1"/>
  <c r="K32" i="48"/>
  <c r="R32" i="48"/>
  <c r="J33" i="48" a="1"/>
  <c r="S32" i="48" a="1"/>
  <c r="L27" i="48" a="1"/>
  <c r="S26" i="48" a="1"/>
  <c r="P26" i="48" l="1"/>
  <c r="N26" i="48"/>
  <c r="M31" i="48"/>
  <c r="N31" i="48" s="1"/>
  <c r="S26" i="48"/>
  <c r="V22" i="49"/>
  <c r="W12" i="49"/>
  <c r="W14" i="49"/>
  <c r="X10" i="49"/>
  <c r="W15" i="49"/>
  <c r="W13" i="49"/>
  <c r="W16" i="49"/>
  <c r="W17" i="49"/>
  <c r="W18" i="49"/>
  <c r="W19" i="49"/>
  <c r="W20" i="49"/>
  <c r="W21" i="49"/>
  <c r="J33" i="48"/>
  <c r="S32" i="48"/>
  <c r="L27" i="48"/>
  <c r="P32" i="48"/>
  <c r="N32" i="48"/>
  <c r="O32" i="48"/>
  <c r="F28" i="48"/>
  <c r="I28" i="48" s="1"/>
  <c r="K27" i="48"/>
  <c r="R27" i="48"/>
  <c r="J28" i="48" a="1"/>
  <c r="S31" i="48" a="1"/>
  <c r="L33" i="48" a="1"/>
  <c r="Q26" i="48" l="1"/>
  <c r="P31" i="48"/>
  <c r="O31" i="48"/>
  <c r="S31" i="48"/>
  <c r="M27" i="48"/>
  <c r="P27" i="48" s="1"/>
  <c r="X12" i="49"/>
  <c r="X14" i="49"/>
  <c r="F14" i="49" s="1"/>
  <c r="X15" i="49"/>
  <c r="F15" i="49" s="1"/>
  <c r="X13" i="49"/>
  <c r="F13" i="49" s="1"/>
  <c r="X16" i="49"/>
  <c r="F16" i="49" s="1"/>
  <c r="X17" i="49"/>
  <c r="F17" i="49" s="1"/>
  <c r="X18" i="49"/>
  <c r="F18" i="49" s="1"/>
  <c r="X19" i="49"/>
  <c r="F19" i="49" s="1"/>
  <c r="X20" i="49"/>
  <c r="F20" i="49" s="1"/>
  <c r="X21" i="49"/>
  <c r="F21" i="49" s="1"/>
  <c r="W22" i="49"/>
  <c r="Q32" i="48"/>
  <c r="L33" i="48"/>
  <c r="J28" i="48"/>
  <c r="F34" i="48"/>
  <c r="I34" i="48" s="1"/>
  <c r="K33" i="48"/>
  <c r="R33" i="48"/>
  <c r="J34" i="48" a="1"/>
  <c r="L28" i="48" a="1"/>
  <c r="S27" i="48" a="1"/>
  <c r="Q31" i="48" l="1"/>
  <c r="M33" i="48"/>
  <c r="P33" i="48" s="1"/>
  <c r="S27" i="48"/>
  <c r="N27" i="48"/>
  <c r="O27" i="48"/>
  <c r="X22" i="49"/>
  <c r="F12" i="49"/>
  <c r="F22" i="49" s="1"/>
  <c r="L28" i="48"/>
  <c r="J34" i="48"/>
  <c r="F29" i="48"/>
  <c r="I29" i="48" s="1"/>
  <c r="K28" i="48"/>
  <c r="R28" i="48"/>
  <c r="J29" i="48" a="1"/>
  <c r="L34" i="48" a="1"/>
  <c r="S33" i="48" a="1"/>
  <c r="Q27" i="48" l="1"/>
  <c r="O33" i="48"/>
  <c r="N33" i="48"/>
  <c r="S33" i="48"/>
  <c r="M28" i="48"/>
  <c r="J29" i="48"/>
  <c r="L34" i="48"/>
  <c r="I18" i="48"/>
  <c r="F35" i="48"/>
  <c r="K34" i="48"/>
  <c r="R34" i="48"/>
  <c r="S28" i="48" a="1"/>
  <c r="L29" i="48" a="1"/>
  <c r="Q33" i="48" l="1"/>
  <c r="M34" i="48"/>
  <c r="P34" i="48" s="1"/>
  <c r="S28" i="48"/>
  <c r="N28" i="48"/>
  <c r="O28" i="48"/>
  <c r="P28" i="48"/>
  <c r="L29" i="48"/>
  <c r="K29" i="48"/>
  <c r="J18" i="48"/>
  <c r="R29" i="48"/>
  <c r="F36" i="48"/>
  <c r="I36" i="48" s="1"/>
  <c r="I35" i="48"/>
  <c r="F18" i="48"/>
  <c r="I12" i="48"/>
  <c r="J35" i="48" a="1"/>
  <c r="J36" i="48" a="1"/>
  <c r="J12" i="48" a="1"/>
  <c r="S34" i="48" a="1"/>
  <c r="L18" i="48" a="1"/>
  <c r="Q28" i="48" l="1"/>
  <c r="N34" i="48"/>
  <c r="O34" i="48"/>
  <c r="S34" i="48"/>
  <c r="L18" i="48"/>
  <c r="M29" i="48"/>
  <c r="N29" i="48" s="1"/>
  <c r="J12" i="48"/>
  <c r="J35" i="48"/>
  <c r="J36" i="48"/>
  <c r="F12" i="48"/>
  <c r="K18" i="48"/>
  <c r="M18" i="48" a="1"/>
  <c r="L35" i="48" a="1"/>
  <c r="S29" i="48" a="1"/>
  <c r="L36" i="48" a="1"/>
  <c r="Q34" i="48" l="1"/>
  <c r="O29" i="48"/>
  <c r="P29" i="48"/>
  <c r="M18" i="48"/>
  <c r="S29" i="48"/>
  <c r="L35" i="48"/>
  <c r="L36" i="48"/>
  <c r="M36" i="48" s="1"/>
  <c r="K12" i="48"/>
  <c r="K35" i="48"/>
  <c r="R35" i="48"/>
  <c r="K36" i="48"/>
  <c r="F37" i="48"/>
  <c r="I37" i="48" s="1"/>
  <c r="R36" i="48"/>
  <c r="J37" i="48" a="1"/>
  <c r="S36" i="48" a="1"/>
  <c r="S12" i="48" a="1"/>
  <c r="S18" i="48" a="1"/>
  <c r="Q29" i="48" l="1"/>
  <c r="M35" i="48"/>
  <c r="O35" i="48" s="1"/>
  <c r="S18" i="48"/>
  <c r="O18" i="48"/>
  <c r="P18" i="48"/>
  <c r="N18" i="48"/>
  <c r="S36" i="48"/>
  <c r="J37" i="48"/>
  <c r="S12" i="48"/>
  <c r="P36" i="48"/>
  <c r="O36" i="48"/>
  <c r="N36" i="48"/>
  <c r="O12" i="48"/>
  <c r="P12" i="48"/>
  <c r="N12" i="48"/>
  <c r="L37" i="48" a="1"/>
  <c r="S35" i="48" a="1"/>
  <c r="P35" i="48" l="1"/>
  <c r="N35" i="48"/>
  <c r="S35" i="48"/>
  <c r="Q18" i="48"/>
  <c r="Q36" i="48"/>
  <c r="Q12" i="48"/>
  <c r="L37" i="48"/>
  <c r="K37" i="48"/>
  <c r="F38" i="48"/>
  <c r="I38" i="48" s="1"/>
  <c r="R37" i="48"/>
  <c r="J38" i="48" a="1"/>
  <c r="Q35" i="48" l="1"/>
  <c r="M37" i="48"/>
  <c r="O37" i="48" s="1"/>
  <c r="J38" i="48"/>
  <c r="L38" i="48" a="1"/>
  <c r="S37" i="48" a="1"/>
  <c r="N37" i="48" l="1"/>
  <c r="P37" i="48"/>
  <c r="S37" i="48"/>
  <c r="L38" i="48"/>
  <c r="K38" i="48"/>
  <c r="F39" i="48"/>
  <c r="I39" i="48" s="1"/>
  <c r="R38" i="48"/>
  <c r="J39" i="48" a="1"/>
  <c r="Q37" i="48" l="1"/>
  <c r="M38" i="48"/>
  <c r="P38" i="48" s="1"/>
  <c r="J39" i="48"/>
  <c r="L39" i="48" a="1"/>
  <c r="S38" i="48" a="1"/>
  <c r="N38" i="48" l="1"/>
  <c r="O38" i="48"/>
  <c r="S38" i="48"/>
  <c r="L39" i="48"/>
  <c r="K39" i="48"/>
  <c r="F40" i="48"/>
  <c r="I40" i="48" s="1"/>
  <c r="R39" i="48"/>
  <c r="J40" i="48" a="1"/>
  <c r="Q38" i="48" l="1"/>
  <c r="M39" i="48"/>
  <c r="O39" i="48" s="1"/>
  <c r="J40" i="48"/>
  <c r="L40" i="48" a="1"/>
  <c r="S39" i="48" a="1"/>
  <c r="N39" i="48" l="1"/>
  <c r="P39" i="48"/>
  <c r="S39" i="48"/>
  <c r="L40" i="48"/>
  <c r="F41" i="48"/>
  <c r="I41" i="48" s="1"/>
  <c r="K40" i="48"/>
  <c r="R40" i="48"/>
  <c r="J41" i="48" a="1"/>
  <c r="Q39" i="48" l="1"/>
  <c r="M40" i="48"/>
  <c r="N40" i="48" s="1"/>
  <c r="J41" i="48"/>
  <c r="L41" i="48" a="1"/>
  <c r="S40" i="48" a="1"/>
  <c r="P40" i="48" l="1"/>
  <c r="O40" i="48"/>
  <c r="S40" i="48"/>
  <c r="L41" i="48"/>
  <c r="F42" i="48"/>
  <c r="I42" i="48" s="1"/>
  <c r="K41" i="48"/>
  <c r="R41" i="48"/>
  <c r="J42" i="48" a="1"/>
  <c r="Q40" i="48" l="1"/>
  <c r="M41" i="48"/>
  <c r="P41" i="48" s="1"/>
  <c r="J42" i="48"/>
  <c r="S41" i="48" a="1"/>
  <c r="L42" i="48" a="1"/>
  <c r="N41" i="48" l="1"/>
  <c r="O41" i="48"/>
  <c r="S41" i="48"/>
  <c r="L42" i="48"/>
  <c r="F43" i="48"/>
  <c r="I43" i="48" s="1"/>
  <c r="K42" i="48"/>
  <c r="R42" i="48"/>
  <c r="J43" i="48" a="1"/>
  <c r="Q41" i="48" l="1"/>
  <c r="M42" i="48"/>
  <c r="O42" i="48" s="1"/>
  <c r="J43" i="48"/>
  <c r="I30" i="48"/>
  <c r="L43" i="48" a="1"/>
  <c r="S42" i="48" a="1"/>
  <c r="P42" i="48" l="1"/>
  <c r="N42" i="48"/>
  <c r="S42" i="48"/>
  <c r="L43" i="48"/>
  <c r="F45" i="48"/>
  <c r="I45" i="48" s="1"/>
  <c r="K43" i="48"/>
  <c r="R43" i="48"/>
  <c r="J30" i="48"/>
  <c r="F30" i="48"/>
  <c r="J45" i="48" a="1"/>
  <c r="L30" i="48" a="1"/>
  <c r="Q42" i="48" l="1"/>
  <c r="L30" i="48"/>
  <c r="M43" i="48"/>
  <c r="N43" i="48" s="1"/>
  <c r="J45" i="48"/>
  <c r="K30" i="48"/>
  <c r="L45" i="48" a="1"/>
  <c r="S43" i="48" a="1"/>
  <c r="M30" i="48" a="1"/>
  <c r="P43" i="48" l="1"/>
  <c r="M30" i="48"/>
  <c r="P30" i="48" s="1"/>
  <c r="S43" i="48"/>
  <c r="O43" i="48"/>
  <c r="L45" i="48"/>
  <c r="K45" i="48"/>
  <c r="F46" i="48"/>
  <c r="I46" i="48" s="1"/>
  <c r="R45" i="48"/>
  <c r="J46" i="48" a="1"/>
  <c r="S30" i="48" a="1"/>
  <c r="O30" i="48" l="1"/>
  <c r="Q43" i="48"/>
  <c r="M45" i="48"/>
  <c r="P45" i="48" s="1"/>
  <c r="S30" i="48"/>
  <c r="N30" i="48"/>
  <c r="J46" i="48"/>
  <c r="I44" i="48"/>
  <c r="L46" i="48" a="1"/>
  <c r="S45" i="48" a="1"/>
  <c r="Q30" i="48" l="1"/>
  <c r="O45" i="48"/>
  <c r="N45" i="48"/>
  <c r="S45" i="48"/>
  <c r="L46" i="48"/>
  <c r="K46" i="48"/>
  <c r="R46" i="48"/>
  <c r="J44" i="48"/>
  <c r="C7" i="48" s="1"/>
  <c r="F44" i="48"/>
  <c r="L44" i="48" a="1"/>
  <c r="C6" i="48" l="1"/>
  <c r="C8" i="48" s="1"/>
  <c r="Q45" i="48"/>
  <c r="L44" i="48"/>
  <c r="M46" i="48"/>
  <c r="P46" i="48" s="1"/>
  <c r="K44" i="48"/>
  <c r="M44" i="48" a="1"/>
  <c r="S46" i="48" a="1"/>
  <c r="N46" i="48" l="1"/>
  <c r="O46" i="48"/>
  <c r="M44" i="48"/>
  <c r="P44" i="48" s="1"/>
  <c r="S46" i="48"/>
  <c r="S44" i="48" a="1"/>
  <c r="Q46" i="48" l="1"/>
  <c r="N44" i="48"/>
  <c r="O44" i="48"/>
  <c r="S44" i="48"/>
  <c r="Q44" i="4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6913D018-8665-4C45-921D-FE94BA824A1A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69274D42-C861-408B-975E-03828F0ACE04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9539AF42-939A-49B9-8863-67B53567B1FC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6B8687C5-398E-43B5-89AC-313AA2509342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1FDAEDBA-A4B0-4EF1-A36D-DB9B7D961D62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C2DE04F4-5375-4844-94A4-170DB54D260B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F1ECEC27-DC6B-4473-855E-DD256B4EA22A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<sst xmlns="http://schemas.openxmlformats.org/spreadsheetml/2006/main" count="849" uniqueCount="321">
  <si>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</si>
  <si>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</si>
  <si>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</si>
  <si>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</si>
  <si>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</si>
  <si>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</si>
  <si>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</si>
  <si>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</si>
  <si>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</si>
  <si>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</si>
  <si>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</si>
  <si>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</si>
  <si>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</si>
  <si>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</si>
  <si>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</si>
  <si>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</si>
  <si>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</si>
  <si>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</si>
  <si>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</si>
  <si>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</si>
  <si>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</si>
  <si>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</si>
  <si>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</si>
  <si>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</si>
  <si>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</si>
  <si>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</si>
  <si>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</si>
  <si>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</si>
  <si>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</si>
  <si>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</si>
  <si>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</si>
  <si>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</si>
  <si>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</si>
  <si>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</si>
  <si>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</si>
  <si>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</si>
  <si>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</si>
  <si>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</si>
  <si>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</si>
  <si>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</si>
  <si>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</si>
  <si>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</si>
  <si>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</si>
  <si>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</si>
  <si>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</si>
  <si>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</si>
  <si>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</si>
  <si>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</si>
  <si>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</si>
  <si>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Label</t>
  </si>
  <si>
    <t>Percent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</si>
  <si>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</si>
  <si>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</si>
  <si>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</si>
  <si>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</si>
  <si>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</si>
  <si>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</si>
  <si>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</si>
  <si>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</si>
  <si>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</t>
  </si>
  <si>
    <t>Role</t>
  </si>
  <si>
    <t>Member5</t>
  </si>
  <si>
    <t>Member6</t>
  </si>
  <si>
    <t>Member7</t>
  </si>
  <si>
    <t>Member8</t>
  </si>
  <si>
    <t>Member9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</si>
  <si>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</si>
  <si>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</si>
  <si>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</si>
  <si>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</si>
  <si>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</si>
  <si>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</si>
  <si>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</si>
  <si>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</si>
  <si>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</si>
  <si>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</si>
  <si>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</si>
  <si>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</si>
  <si>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</si>
  <si>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</si>
  <si>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</si>
  <si>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</si>
  <si>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</si>
  <si>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</si>
  <si>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</si>
  <si>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</si>
  <si>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</si>
  <si>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</si>
  <si>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Work Schedule Version 2.3</t>
  </si>
  <si>
    <t>Man-days</t>
  </si>
  <si>
    <t>Member10</t>
  </si>
  <si>
    <t>Project Setup</t>
  </si>
  <si>
    <t>Project Approval or exit</t>
  </si>
  <si>
    <t>Define Project Charter</t>
  </si>
  <si>
    <t>Project Charter</t>
  </si>
  <si>
    <t>Outline project objectives, scope, stakeholders, and key success metrics.</t>
  </si>
  <si>
    <t>Quick Assessment &amp; Initial Research</t>
  </si>
  <si>
    <t>Set up meeting</t>
  </si>
  <si>
    <t>Initial Analysis – Conduct early-stage analysis to evaluate the problem/opportunity</t>
  </si>
  <si>
    <t>Initial Analysis</t>
  </si>
  <si>
    <t>Initial project feasibility</t>
  </si>
  <si>
    <t>Evaluate Ease of Implementation – Assess technical and operational feasibility.</t>
  </si>
  <si>
    <t>Ease of Implementation</t>
  </si>
  <si>
    <t>a) Assess implementation complexity, required effort, and draft the initial project timeline
b) Complete all necessary documentation for the approval process</t>
  </si>
  <si>
    <t>Project Approval – Present proposal to stakeholders for endorsement and go/no-go decision.</t>
  </si>
  <si>
    <t>Project Approval</t>
  </si>
  <si>
    <t>Minute of meeting</t>
  </si>
  <si>
    <t>Nak</t>
  </si>
  <si>
    <t>Danusorn Sitdhirasdr</t>
  </si>
  <si>
    <t>Squad Lead</t>
  </si>
  <si>
    <t>Manage</t>
  </si>
  <si>
    <t>DataLabels</t>
  </si>
  <si>
    <t>ScatterDataLabel</t>
  </si>
  <si>
    <t>Point.DataLabel.Height=12.3242519685039</t>
  </si>
  <si>
    <t>Point.DataLabel.Format.TextFrame2.TextRange.Font.Size=10</t>
  </si>
  <si>
    <t>Point.DataLabel.Format.TextFrame2.TextRange.Font.Bold=-1</t>
  </si>
  <si>
    <t>Point.DataLabel.Height=11.0922834645669</t>
  </si>
  <si>
    <t>Point.DataLabel.Format.TextFrame2.TextRange.Font.Size=9</t>
  </si>
  <si>
    <t>Point.DataLabel.Format.TextFrame2.TextRange.Font.Bold=0</t>
  </si>
  <si>
    <t>Point.DataLabel.Height=22.1845669291339</t>
  </si>
  <si>
    <t>ChartArea</t>
  </si>
  <si>
    <t>Chart.ChartArea.Format.Fill.visible=0</t>
  </si>
  <si>
    <t>Chart.ChartArea.Format.Line.visible=0</t>
  </si>
  <si>
    <t>PlotArea</t>
  </si>
  <si>
    <t>Chart.PlotArea.Left=7</t>
  </si>
  <si>
    <t>Chart.PlotArea.Top=7</t>
  </si>
  <si>
    <t>Chart.PlotArea.Format.Fill.visible=0</t>
  </si>
  <si>
    <t>Chart.PlotArea.Format.Line.visible=0</t>
  </si>
  <si>
    <t>Progress Label</t>
  </si>
  <si>
    <t>Point.DataLabel.Height=9.8603937007874</t>
  </si>
  <si>
    <t>Point.DataLabel.Format.TextFrame2.TextRange.Font.Size=8</t>
  </si>
  <si>
    <t>Point.DataLabel.Width=35.0085826771654</t>
  </si>
  <si>
    <t>Axis</t>
  </si>
  <si>
    <t>ax.HasMajorGridlines=False</t>
  </si>
  <si>
    <t>ax.HasMinorGridlines=False</t>
  </si>
  <si>
    <t>ch.HasTitle=False</t>
  </si>
  <si>
    <t>ch.HasLegend=False</t>
  </si>
  <si>
    <t>Point.DataLabel.Format.TextFrame2.TextRange.Font.Fill.ForeColor.RGB=855309</t>
  </si>
  <si>
    <t>ax.HasTitle=False</t>
  </si>
  <si>
    <t>Point.DataLabel.Format.TextFrame2.TextRange.Font.Italic=0</t>
  </si>
  <si>
    <t>Title</t>
  </si>
  <si>
    <t>ax.MajorGridlines.Format.Line.Visible=-1</t>
  </si>
  <si>
    <t>ax.MajorGridlines.Format.Line.Weight=1</t>
  </si>
  <si>
    <t>ax.MajorGridlines.Format.Line.Transparency=-2.147484E+09</t>
  </si>
  <si>
    <t>ax.MajorGridlines.Format.Line.ForeColor.RGB=9013641</t>
  </si>
  <si>
    <t>ax.MajorGridlines.Format.Line.DashStyle=1</t>
  </si>
  <si>
    <t>ax.MinorGridlines.Format.Line.Visible=-1</t>
  </si>
  <si>
    <t>ax.MinorGridlines.Format.Line.Weight=1</t>
  </si>
  <si>
    <t>ax.MinorGridlines.Format.Line.Transparency=-2.147484E+09</t>
  </si>
  <si>
    <t>ax.MinorGridlines.Format.Line.ForeColor.RGB=12369084</t>
  </si>
  <si>
    <t>ax.MinorGridlines.Format.Line.DashStyle=1</t>
  </si>
  <si>
    <t>Point.DataLabel.Format.Fill.Visible=0</t>
  </si>
  <si>
    <t>Point.DataLabel.Format.TextFrame2.TextRange.Font.Name=Calibri</t>
  </si>
  <si>
    <t>Point.DataLabel.Format.Line.Visible=0</t>
  </si>
  <si>
    <t>Point.DataLabel.Format.Line.Weight=-2.147484E+09</t>
  </si>
  <si>
    <t>Point.DataLabel.Format.Line.ForeColor.RGB=16777215</t>
  </si>
  <si>
    <t>Point.DataLabel.Format.Line.DashStyle=-2</t>
  </si>
  <si>
    <t>Point.DataLabel.Format.TextFrame2.MarginTop=0</t>
  </si>
  <si>
    <t>Point.DataLabel.Format.TextFrame2.MarginBottom=0</t>
  </si>
  <si>
    <t>Point.DataLabel.Format.TextFrame2.MarginRight=0</t>
  </si>
  <si>
    <t>Point.DataLabel.Format.TextFrame2.MarginLeft=0</t>
  </si>
  <si>
    <t>Point.DataLabel.Format.TextFrame2.VerticalAnchor=3</t>
  </si>
  <si>
    <t>Point.DataLabel.Format.TextFrame2.HorizontalAnchor=2</t>
  </si>
  <si>
    <t>Legend</t>
  </si>
  <si>
    <t>Point.DataLabel.Format.Fill.BackColor.RGB=16777215</t>
  </si>
  <si>
    <t>Point.DataLabel.Format.Fill.Transparency=1</t>
  </si>
  <si>
    <t>StackedBar</t>
  </si>
  <si>
    <t>StartDate</t>
  </si>
  <si>
    <t>ser.Format.Shadow.Type=-2</t>
  </si>
  <si>
    <t>ser.Format.Fill.Visible=0</t>
  </si>
  <si>
    <t>ser.Format.Fill.ForeColor.RGB=8544277</t>
  </si>
  <si>
    <t>ser.Format.Line.Visible=0</t>
  </si>
  <si>
    <t>ser.Format.Line.Weight=-2.147484E+09</t>
  </si>
  <si>
    <t>ser.Format.Line.DashStyle=-2</t>
  </si>
  <si>
    <t>ser.Format.Line.ForeColor.RGB=16777215</t>
  </si>
  <si>
    <t>ser.Format.Shadow.Type=21</t>
  </si>
  <si>
    <t>ser.Format.Fill.Visible=-1</t>
  </si>
  <si>
    <t>ser.Format.Fill.ForeColor.RGB=8078076</t>
  </si>
  <si>
    <t>ser.Format.Line.Visible=-1</t>
  </si>
  <si>
    <t>ser.Format.Line.Weight=0.75</t>
  </si>
  <si>
    <t>ser.Format.Line.DashStyle=1</t>
  </si>
  <si>
    <t>ser.Format.Line.ForeColor.RGB=4210752</t>
  </si>
  <si>
    <t>ser.Format.Fill.ForeColor.RGB=16555035</t>
  </si>
  <si>
    <t>ser.Format.Fill.ForeColor.RGB=14277081</t>
  </si>
  <si>
    <t>ser.Format.Fill.ForeColor.RGB=7660346</t>
  </si>
  <si>
    <t>PJ2504_0166</t>
  </si>
  <si>
    <t>Online Application Fraud</t>
  </si>
  <si>
    <t>Pun</t>
  </si>
  <si>
    <t>Earth</t>
  </si>
  <si>
    <t>Mick</t>
  </si>
  <si>
    <t>Q &amp; R</t>
  </si>
  <si>
    <t>Project Execution : Rule Optimization</t>
  </si>
  <si>
    <t>Rule Optimization</t>
  </si>
  <si>
    <t>Rule optiomization script</t>
  </si>
  <si>
    <t>Project planning – Form the project squad/team and establish detailed project timeline and key milestones</t>
  </si>
  <si>
    <t>Project Planning</t>
  </si>
  <si>
    <t>a) Squad (team members + R&amp;R)
b) Detailed project timeline and key milestones</t>
  </si>
  <si>
    <t>Gather Business Requirements – Collaborate with stakeholders to capture and document functional and non-functional needs.</t>
  </si>
  <si>
    <t>Business Requirement</t>
  </si>
  <si>
    <t>b) Business requirements and specifications e.g. output format</t>
  </si>
  <si>
    <t>Frame Analysis – Process &amp; Data Understanding – Analyze current workflows and identify required data sources.</t>
  </si>
  <si>
    <t>Process &amp; Data Understanding</t>
  </si>
  <si>
    <t>a) Available data sources
b) Modeling techniques
c) Testing framework (e.g., train/test split, in-time vs. out-of-time validation, targets)
d) Business and technical metrics for model validation
e) Operational framework</t>
  </si>
  <si>
    <t>Data Collection &amp; Preparation e.g. Identify data sources (transaction logs, application data, behavioral logs, etc.), Clean and preprocess data, Feature engineering</t>
  </si>
  <si>
    <t>Data Collection &amp; Preparation</t>
  </si>
  <si>
    <t>a) Data preparation &amp; feature engineering
b) Descriptive analysis
c) Collection of all possible features</t>
  </si>
  <si>
    <t>Rule Optimization &amp; Validation (Unsecured Loan)</t>
  </si>
  <si>
    <t>USL Rule opt.</t>
  </si>
  <si>
    <t>a) Rule Optimization (Unsecured Loan)
b) Model output for validation</t>
  </si>
  <si>
    <t>Rule Optimization &amp; Validation (Secured Loan)</t>
  </si>
  <si>
    <t>SL Rule opt.</t>
  </si>
  <si>
    <t>a) Rule Optimization (Secured Loan)
b) Model output for validation</t>
  </si>
  <si>
    <t>Result Update (R1)</t>
  </si>
  <si>
    <t>Result Update #1</t>
  </si>
  <si>
    <t>a) Update result with FR (R1)
b) Collect feedback on performance</t>
  </si>
  <si>
    <t>Model Tuning &amp; Re-Evaluation</t>
  </si>
  <si>
    <t>a) Model MVP2
b) Model output for validation</t>
  </si>
  <si>
    <t>Result Update (R2)</t>
  </si>
  <si>
    <t>Result Update #2</t>
  </si>
  <si>
    <t>a) update result of MVP2's output with FR Team
b) Collect feedback on revised performance</t>
  </si>
  <si>
    <t xml:space="preserve">Final Evaluation &amp; Approval </t>
  </si>
  <si>
    <t>Final Evaluation</t>
  </si>
  <si>
    <t>a) Final evaluation report
b) Sign-off</t>
  </si>
  <si>
    <t>Transition</t>
  </si>
  <si>
    <t>a) Transition to  fraud team (Script Sharing)</t>
  </si>
  <si>
    <t>Project Execution : Anomaly Detection</t>
  </si>
  <si>
    <t>Anomaly Detection</t>
  </si>
  <si>
    <t>Anomaly Detection Script</t>
  </si>
  <si>
    <t>Business requirements and specifications e.g. output format</t>
  </si>
  <si>
    <t>a) Available data sources
b) Modeling techniques
c) Testing framework (e.g., train/test split, in-time vs. out-of-time validation, targets)
d) Business and technical metrics for model validation</t>
  </si>
  <si>
    <t>Model Training &amp; Validation (Secured Loan : HL)</t>
  </si>
  <si>
    <t>Model Training (HL)</t>
  </si>
  <si>
    <t>a) Model MVP1
b) Model output for validation</t>
  </si>
  <si>
    <t>Model Training &amp; Validation (Unsecured Loan : CC, XPC)</t>
  </si>
  <si>
    <t>Model Training (CC, XPC)</t>
  </si>
  <si>
    <t>Forensic Validation (R1)</t>
  </si>
  <si>
    <t>Validation #1</t>
  </si>
  <si>
    <t>a) FR performs forensic review
b) Collect feedback on performance</t>
  </si>
  <si>
    <t>Forensic Validation (R2)</t>
  </si>
  <si>
    <t>Validation #2</t>
  </si>
  <si>
    <t>a) FR performs forensic review of MVP2's output
b) Collect feedback on revised performance</t>
  </si>
  <si>
    <t>Deployment Planning</t>
  </si>
  <si>
    <t>a) Deployment mode (e.g., batch or real-time)
b) Delivery method (e.g., email distribution)</t>
  </si>
  <si>
    <t>Deployment Execution</t>
  </si>
  <si>
    <t>a) Set up automated data pipeline using MDP
b) Integrate model into production environment
c) Perform system sanity checks</t>
  </si>
  <si>
    <t>Monitoring &amp; Transition</t>
  </si>
  <si>
    <t>a) Generate suspicious application lists monthly
b) Transition to  fraud team</t>
  </si>
  <si>
    <t>Project Closure</t>
  </si>
  <si>
    <t>Project sign-off document</t>
  </si>
  <si>
    <t>Material Preparation</t>
  </si>
  <si>
    <t>Executive summary Presentation</t>
  </si>
  <si>
    <t>Project Sign-off meeting</t>
  </si>
  <si>
    <t>Punyanuch Sriwannawit</t>
  </si>
  <si>
    <t>Scrum Master</t>
  </si>
  <si>
    <t>Engkarat Techapanurak</t>
  </si>
  <si>
    <t>Data Scientist</t>
  </si>
  <si>
    <t>Implement</t>
  </si>
  <si>
    <t>Witchapong Daroontham</t>
  </si>
  <si>
    <t>Chart.ChartArea.Width=390.423858267717</t>
  </si>
  <si>
    <t>Chart.ChartArea.Height=334.407480314961</t>
  </si>
  <si>
    <t>Chart.PlotArea.Width=374.423858267717</t>
  </si>
  <si>
    <t>Chart.PlotArea.Height=318.407480314961</t>
  </si>
  <si>
    <t>Point.DataLabel.Left=132.493385826772</t>
  </si>
  <si>
    <t>Point.DataLabel.Top=41.8707086614173</t>
  </si>
  <si>
    <t>Point.DataLabel.Width=18.1707086614173</t>
  </si>
  <si>
    <t>Point.DataLabel.Left=249.153622047244</t>
  </si>
  <si>
    <t>Point.DataLabel.Top=121.472598425197</t>
  </si>
  <si>
    <t>Point.DataLabel.Left=338.037637795276</t>
  </si>
  <si>
    <t>Point.DataLabel.Top=201.074409448819</t>
  </si>
  <si>
    <t>Point.DataLabel.Width=9.98157480314961</t>
  </si>
  <si>
    <t>Point.DataLabel.Left=345.815039370079</t>
  </si>
  <si>
    <t>Point.DataLabel.Top=280.676299212598</t>
  </si>
  <si>
    <t>Point.DataLabel.Left=16.298188976378</t>
  </si>
  <si>
    <t>Point.DataLabel.Top=40.6388188976378</t>
  </si>
  <si>
    <t>Point.DataLabel.Width=58.5311023622047</t>
  </si>
  <si>
    <t>Point.DataLabel.Left=12.6282677165354</t>
  </si>
  <si>
    <t>Point.DataLabel.Top=5.85031496062992</t>
  </si>
  <si>
    <t>Point.DataLabel.Width=100.457244094488</t>
  </si>
  <si>
    <t>Point.DataLabel.Height=28.0692125984252</t>
  </si>
  <si>
    <t>Point.DataLabel.Left=138.36968503937</t>
  </si>
  <si>
    <t>Point.DataLabel.Top=62.759842519685</t>
  </si>
  <si>
    <t>Point.DataLabel.Width=95.7311811023622</t>
  </si>
  <si>
    <t>Point.DataLabel.Height=19.1328346456693</t>
  </si>
  <si>
    <t>Point.DataLabel.Left=91.7467716535433</t>
  </si>
  <si>
    <t>Point.DataLabel.Top=120.240708661417</t>
  </si>
  <si>
    <t>Point.DataLabel.Width=77.9689763779528</t>
  </si>
  <si>
    <t>Point.DataLabel.Left=77.0693700787401</t>
  </si>
  <si>
    <t>Point.DataLabel.Top=93.9022834645669</t>
  </si>
  <si>
    <t>Point.DataLabel.Width=99.5764566929134</t>
  </si>
  <si>
    <t>Point.DataLabel.Height=18.0785039370079</t>
  </si>
  <si>
    <t>Point.DataLabel.Left=223.920551181102</t>
  </si>
  <si>
    <t>Point.DataLabel.Top=94.2396062992126</t>
  </si>
  <si>
    <t>Point.DataLabel.Width=103.578976377953</t>
  </si>
  <si>
    <t>Point.DataLabel.Height=19.3530708661417</t>
  </si>
  <si>
    <t>Point.DataLabel.Left=117.625984251969</t>
  </si>
  <si>
    <t>Point.DataLabel.Top=151.558346456693</t>
  </si>
  <si>
    <t>Point.DataLabel.Width=97.2528346456693</t>
  </si>
  <si>
    <t>Point.DataLabel.Height=20.6275590551181</t>
  </si>
  <si>
    <t>Point.DataLabel.Left=250.026771653543</t>
  </si>
  <si>
    <t>Point.DataLabel.Top=145.75188976378</t>
  </si>
  <si>
    <t>Point.DataLabel.Width=72.1527559055118</t>
  </si>
  <si>
    <t>Point.DataLabel.Left=186.683464566929</t>
  </si>
  <si>
    <t>Point.DataLabel.Top=196.669842519685</t>
  </si>
  <si>
    <t>Point.DataLabel.Width=84.1353543307087</t>
  </si>
  <si>
    <t>Point.DataLabel.Height=18.6696062992126</t>
  </si>
  <si>
    <t>Point.DataLabel.Left=145.961102362205</t>
  </si>
  <si>
    <t>Point.DataLabel.Top=231.195039370079</t>
  </si>
  <si>
    <t>Point.DataLabel.Width=89.5997637795275</t>
  </si>
  <si>
    <t>Point.DataLabel.Height=16.8040157480315</t>
  </si>
  <si>
    <t>Point.DataLabel.Left=195.847952755906</t>
  </si>
  <si>
    <t>Point.DataLabel.Top=173.806692913386</t>
  </si>
  <si>
    <t>Point.DataLabel.Width=91.6010236220472</t>
  </si>
  <si>
    <t>Point.DataLabel.Left=253.803385826772</t>
  </si>
  <si>
    <t>Point.DataLabel.Top=237.062913385827</t>
  </si>
  <si>
    <t>Point.DataLabel.Width=70.5775590551181</t>
  </si>
  <si>
    <t>Point.DataLabel.Left=261.322125984252</t>
  </si>
  <si>
    <t>Point.DataLabel.Top=279.444409448819</t>
  </si>
  <si>
    <t>Point.DataLabel.Width=65.7155118110236</t>
  </si>
  <si>
    <t>Point.DataLabel.Left=201.26062992126</t>
  </si>
  <si>
    <t>Point.DataLabel.Top=306.938503937008</t>
  </si>
  <si>
    <t>Point.DataLabel.Width=134.114409448819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</si>
</sst>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87" formatCode="_(* #,##0.00_);_(* \(#,##0.00\);_(* &quot;-&quot;??_);_(@_)"/>
    <numFmt numFmtId="188" formatCode="_(* #,##0_);_(* \(#,##0\);_(* &quot;-&quot;??_);_(@_)"/>
    <numFmt numFmtId="189" formatCode="_-* #,##0_-;\-* #,##0_-;_-* &quot;-&quot;??_-;_-@_-"/>
    <numFmt numFmtId="190" formatCode="_-* #,##0.0_-;\-* #,##0.0_-;_-* &quot;-&quot;??_-;_-@_-"/>
    <numFmt numFmtId="191" formatCode="[$-409]mmm\-yy;@"/>
    <numFmt numFmtId="192" formatCode="#,##0\ &quot;days&quot;"/>
    <numFmt numFmtId="193" formatCode="&quot;M&quot;00"/>
  </numFmts>
  <fonts count="22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1" fillId="0" borderId="0" applyFont="0" applyFill="0" applyBorder="0" applyAlignment="0" applyProtection="0"/>
  </cellStyleXfs>
  <cellXfs count="165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8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8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89" fontId="12" fillId="6" borderId="23" xfId="1" applyNumberFormat="1" applyFont="1" applyFill="1" applyBorder="1" applyAlignment="1">
      <alignment horizontal="center" vertical="center" shrinkToFit="1"/>
    </xf>
    <xf numFmtId="189" fontId="12" fillId="6" borderId="22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5" fillId="3" borderId="1" xfId="0" applyNumberFormat="1" applyFont="1" applyFill="1" applyBorder="1" applyAlignment="1">
      <alignment horizontal="center" vertical="center" wrapText="1"/>
    </xf>
    <xf numFmtId="14" fontId="15" fillId="4" borderId="1" xfId="0" applyNumberFormat="1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left" vertical="center" wrapText="1"/>
    </xf>
    <xf numFmtId="0" fontId="15" fillId="3" borderId="1" xfId="0" applyFont="1" applyFill="1" applyBorder="1" applyAlignment="1">
      <alignment horizontal="left" vertical="center" wrapText="1"/>
    </xf>
    <xf numFmtId="192" fontId="10" fillId="0" borderId="4" xfId="1" applyNumberFormat="1" applyFont="1" applyBorder="1" applyAlignment="1">
      <alignment horizontal="center" vertical="top"/>
    </xf>
    <xf numFmtId="192" fontId="10" fillId="0" borderId="6" xfId="1" applyNumberFormat="1" applyFont="1" applyBorder="1" applyAlignment="1">
      <alignment horizontal="center" vertical="top"/>
    </xf>
    <xf numFmtId="192" fontId="9" fillId="0" borderId="4" xfId="3" applyNumberFormat="1" applyFont="1" applyFill="1" applyBorder="1" applyAlignment="1">
      <alignment horizontal="center" vertical="top"/>
    </xf>
    <xf numFmtId="192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2" fontId="4" fillId="0" borderId="8" xfId="3" applyNumberFormat="1" applyFont="1" applyFill="1" applyBorder="1" applyAlignment="1">
      <alignment horizontal="center" vertical="top"/>
    </xf>
    <xf numFmtId="0" fontId="7" fillId="5" borderId="28" xfId="0" applyFont="1" applyFill="1" applyBorder="1" applyAlignment="1">
      <alignment horizontal="center" vertical="center" shrinkToFit="1"/>
    </xf>
    <xf numFmtId="43" fontId="10" fillId="0" borderId="4" xfId="1" applyFont="1" applyBorder="1" applyAlignment="1">
      <alignment horizontal="center" vertical="top"/>
    </xf>
    <xf numFmtId="43" fontId="10" fillId="0" borderId="13" xfId="1" applyFont="1" applyBorder="1" applyAlignment="1">
      <alignment horizontal="center" vertical="top"/>
    </xf>
    <xf numFmtId="43" fontId="10" fillId="0" borderId="6" xfId="1" applyFont="1" applyBorder="1" applyAlignment="1">
      <alignment horizontal="center" vertical="top"/>
    </xf>
    <xf numFmtId="43" fontId="10" fillId="0" borderId="15" xfId="1" applyFont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189" fontId="10" fillId="0" borderId="4" xfId="1" applyNumberFormat="1" applyFont="1" applyBorder="1" applyAlignment="1">
      <alignment horizontal="left" vertical="top"/>
    </xf>
    <xf numFmtId="189" fontId="10" fillId="0" borderId="6" xfId="1" applyNumberFormat="1" applyFont="1" applyBorder="1" applyAlignment="1">
      <alignment horizontal="left" vertical="top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93" fontId="7" fillId="5" borderId="11" xfId="0" applyNumberFormat="1" applyFont="1" applyFill="1" applyBorder="1" applyAlignment="1">
      <alignment horizontal="center" vertical="center"/>
    </xf>
    <xf numFmtId="193" fontId="7" fillId="5" borderId="26" xfId="0" applyNumberFormat="1" applyFont="1" applyFill="1" applyBorder="1" applyAlignment="1">
      <alignment horizontal="center" vertical="center"/>
    </xf>
    <xf numFmtId="191" fontId="7" fillId="5" borderId="12" xfId="0" applyNumberFormat="1" applyFont="1" applyFill="1" applyBorder="1" applyAlignment="1">
      <alignment horizontal="center" vertical="center"/>
    </xf>
    <xf numFmtId="191" fontId="7" fillId="5" borderId="39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31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18" fillId="0" borderId="32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18" fillId="0" borderId="33" xfId="0" applyNumberFormat="1" applyFont="1" applyBorder="1" applyAlignment="1">
      <alignment vertical="top" shrinkToFit="1"/>
    </xf>
    <xf numFmtId="192" fontId="19" fillId="8" borderId="28" xfId="3" applyNumberFormat="1" applyFont="1" applyFill="1" applyBorder="1" applyAlignment="1">
      <alignment horizontal="center" vertical="top"/>
    </xf>
    <xf numFmtId="43" fontId="20" fillId="8" borderId="28" xfId="1" applyFont="1" applyFill="1" applyBorder="1" applyAlignment="1">
      <alignment horizontal="center" vertical="top"/>
    </xf>
    <xf numFmtId="43" fontId="20" fillId="8" borderId="29" xfId="1" applyFont="1" applyFill="1" applyBorder="1" applyAlignment="1">
      <alignment horizontal="center" vertical="top"/>
    </xf>
    <xf numFmtId="189" fontId="4" fillId="0" borderId="0" xfId="0" applyNumberFormat="1" applyFont="1" applyAlignment="1">
      <alignment vertical="center"/>
    </xf>
    <xf numFmtId="0" fontId="4" fillId="0" borderId="41" xfId="0" applyFont="1" applyBorder="1" applyAlignment="1">
      <alignment vertical="center"/>
    </xf>
    <xf numFmtId="0" fontId="21" fillId="5" borderId="27" xfId="0" applyFont="1" applyFill="1" applyBorder="1" applyAlignment="1">
      <alignment horizontal="center" vertical="center" wrapText="1" shrinkToFit="1"/>
    </xf>
    <xf numFmtId="0" fontId="7" fillId="5" borderId="29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91" fontId="13" fillId="0" borderId="0" xfId="0" applyNumberFormat="1" applyFont="1" applyAlignment="1">
      <alignment horizontal="center" vertical="center"/>
    </xf>
    <xf numFmtId="192" fontId="4" fillId="0" borderId="14" xfId="1" applyNumberFormat="1" applyFont="1" applyBorder="1" applyAlignment="1">
      <alignment horizontal="right" vertical="top" shrinkToFit="1"/>
    </xf>
    <xf numFmtId="192" fontId="4" fillId="0" borderId="0" xfId="3" applyNumberFormat="1" applyFont="1" applyFill="1" applyBorder="1" applyAlignment="1">
      <alignment horizontal="center" vertical="top"/>
    </xf>
    <xf numFmtId="43" fontId="10" fillId="0" borderId="0" xfId="1" applyFont="1" applyFill="1" applyBorder="1" applyAlignment="1">
      <alignment horizontal="center" vertical="top"/>
    </xf>
    <xf numFmtId="192" fontId="9" fillId="0" borderId="13" xfId="1" applyNumberFormat="1" applyFont="1" applyBorder="1" applyAlignment="1">
      <alignment horizontal="right" vertical="top" shrinkToFit="1"/>
    </xf>
    <xf numFmtId="192" fontId="9" fillId="0" borderId="0" xfId="3" applyNumberFormat="1" applyFont="1" applyFill="1" applyBorder="1" applyAlignment="1">
      <alignment horizontal="center" vertical="top"/>
    </xf>
    <xf numFmtId="192" fontId="9" fillId="0" borderId="25" xfId="1" applyNumberFormat="1" applyFont="1" applyBorder="1" applyAlignment="1">
      <alignment horizontal="right" vertical="top" shrinkToFit="1"/>
    </xf>
    <xf numFmtId="192" fontId="19" fillId="8" borderId="14" xfId="1" applyNumberFormat="1" applyFont="1" applyFill="1" applyBorder="1" applyAlignment="1">
      <alignment horizontal="right" vertical="top" shrinkToFit="1"/>
    </xf>
    <xf numFmtId="192" fontId="19" fillId="8" borderId="15" xfId="1" applyNumberFormat="1" applyFont="1" applyFill="1" applyBorder="1" applyAlignment="1">
      <alignment horizontal="right" vertical="top" shrinkToFit="1"/>
    </xf>
    <xf numFmtId="1" fontId="11" fillId="0" borderId="3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left" vertical="top" wrapText="1"/>
    </xf>
    <xf numFmtId="14" fontId="11" fillId="0" borderId="4" xfId="0" applyNumberFormat="1" applyFont="1" applyBorder="1" applyAlignment="1">
      <alignment horizontal="center" vertical="top"/>
    </xf>
    <xf numFmtId="192" fontId="11" fillId="0" borderId="4" xfId="3" applyNumberFormat="1" applyFont="1" applyFill="1" applyBorder="1" applyAlignment="1">
      <alignment horizontal="center" vertical="top"/>
    </xf>
    <xf numFmtId="188" fontId="11" fillId="0" borderId="4" xfId="3" applyNumberFormat="1" applyFont="1" applyFill="1" applyBorder="1" applyAlignment="1">
      <alignment vertical="top"/>
    </xf>
    <xf numFmtId="192" fontId="11" fillId="0" borderId="4" xfId="1" applyNumberFormat="1" applyFont="1" applyBorder="1" applyAlignment="1">
      <alignment horizontal="center" vertical="top"/>
    </xf>
    <xf numFmtId="9" fontId="11" fillId="0" borderId="4" xfId="2" applyFont="1" applyBorder="1" applyAlignment="1">
      <alignment horizontal="center" vertical="top"/>
    </xf>
    <xf numFmtId="9" fontId="11" fillId="0" borderId="4" xfId="2" applyFont="1" applyFill="1" applyBorder="1" applyAlignment="1">
      <alignment horizontal="center" vertical="top"/>
    </xf>
    <xf numFmtId="189" fontId="11" fillId="0" borderId="4" xfId="1" applyNumberFormat="1" applyFont="1" applyBorder="1" applyAlignment="1">
      <alignment horizontal="center" vertical="top"/>
    </xf>
    <xf numFmtId="189" fontId="11" fillId="0" borderId="4" xfId="1" applyNumberFormat="1" applyFont="1" applyBorder="1" applyAlignment="1">
      <alignment horizontal="left" vertical="top"/>
    </xf>
    <xf numFmtId="0" fontId="11" fillId="0" borderId="4" xfId="1" applyNumberFormat="1" applyFont="1" applyBorder="1" applyAlignment="1">
      <alignment horizontal="left" vertical="top" shrinkToFit="1"/>
    </xf>
    <xf numFmtId="0" fontId="11" fillId="0" borderId="4" xfId="1" applyNumberFormat="1" applyFont="1" applyBorder="1" applyAlignment="1">
      <alignment horizontal="center" vertical="top" shrinkToFit="1"/>
    </xf>
    <xf numFmtId="2" fontId="11" fillId="0" borderId="4" xfId="2" applyNumberFormat="1" applyFont="1" applyFill="1" applyBorder="1" applyAlignment="1">
      <alignment horizontal="center" vertical="top"/>
    </xf>
    <xf numFmtId="0" fontId="4" fillId="0" borderId="4" xfId="0" applyFont="1" applyBorder="1" applyAlignment="1">
      <alignment horizontal="left" vertical="top" wrapText="1"/>
    </xf>
    <xf numFmtId="189" fontId="12" fillId="6" borderId="44" xfId="1" applyNumberFormat="1" applyFont="1" applyFill="1" applyBorder="1" applyAlignment="1">
      <alignment horizontal="center" vertical="center" shrinkToFit="1"/>
    </xf>
    <xf numFmtId="2" fontId="11" fillId="0" borderId="13" xfId="2" applyNumberFormat="1" applyFont="1" applyFill="1" applyBorder="1" applyAlignment="1">
      <alignment horizontal="center" vertical="top"/>
    </xf>
    <xf numFmtId="2" fontId="9" fillId="0" borderId="13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15" xfId="2" applyNumberFormat="1" applyFont="1" applyFill="1" applyBorder="1" applyAlignment="1">
      <alignment horizontal="center" vertical="top"/>
    </xf>
    <xf numFmtId="14" fontId="9" fillId="0" borderId="10" xfId="0" applyNumberFormat="1" applyFont="1" applyBorder="1" applyAlignment="1">
      <alignment horizontal="center" vertical="top"/>
    </xf>
    <xf numFmtId="192" fontId="9" fillId="0" borderId="10" xfId="3" applyNumberFormat="1" applyFont="1" applyFill="1" applyBorder="1" applyAlignment="1">
      <alignment horizontal="center" vertical="top"/>
    </xf>
    <xf numFmtId="188" fontId="9" fillId="0" borderId="10" xfId="3" applyNumberFormat="1" applyFont="1" applyFill="1" applyBorder="1" applyAlignment="1">
      <alignment vertical="top"/>
    </xf>
    <xf numFmtId="14" fontId="10" fillId="0" borderId="10" xfId="0" applyNumberFormat="1" applyFont="1" applyBorder="1" applyAlignment="1">
      <alignment horizontal="center" vertical="top"/>
    </xf>
    <xf numFmtId="192" fontId="10" fillId="0" borderId="10" xfId="1" applyNumberFormat="1" applyFont="1" applyBorder="1" applyAlignment="1">
      <alignment horizontal="center" vertical="top"/>
    </xf>
    <xf numFmtId="9" fontId="10" fillId="0" borderId="10" xfId="2" applyFont="1" applyBorder="1" applyAlignment="1">
      <alignment horizontal="center" vertical="top"/>
    </xf>
    <xf numFmtId="9" fontId="9" fillId="0" borderId="10" xfId="2" applyFont="1" applyFill="1" applyBorder="1" applyAlignment="1">
      <alignment horizontal="center" vertical="top"/>
    </xf>
    <xf numFmtId="189" fontId="10" fillId="0" borderId="10" xfId="1" applyNumberFormat="1" applyFont="1" applyBorder="1" applyAlignment="1">
      <alignment horizontal="center" vertical="top"/>
    </xf>
    <xf numFmtId="189" fontId="10" fillId="0" borderId="10" xfId="1" applyNumberFormat="1" applyFont="1" applyBorder="1" applyAlignment="1">
      <alignment horizontal="left" vertical="top"/>
    </xf>
    <xf numFmtId="0" fontId="10" fillId="0" borderId="10" xfId="1" applyNumberFormat="1" applyFont="1" applyBorder="1" applyAlignment="1">
      <alignment horizontal="left" vertical="top" shrinkToFit="1"/>
    </xf>
    <xf numFmtId="0" fontId="10" fillId="0" borderId="10" xfId="1" applyNumberFormat="1" applyFont="1" applyBorder="1" applyAlignment="1">
      <alignment horizontal="center" vertical="top" shrinkToFit="1"/>
    </xf>
    <xf numFmtId="2" fontId="9" fillId="0" borderId="10" xfId="2" applyNumberFormat="1" applyFont="1" applyFill="1" applyBorder="1" applyAlignment="1">
      <alignment horizontal="center" vertical="top"/>
    </xf>
    <xf numFmtId="2" fontId="9" fillId="0" borderId="25" xfId="2" applyNumberFormat="1" applyFont="1" applyFill="1" applyBorder="1" applyAlignment="1">
      <alignment horizontal="center" vertical="top"/>
    </xf>
    <xf numFmtId="0" fontId="4" fillId="0" borderId="0" xfId="0" applyFont="1"/>
    <xf numFmtId="1" fontId="11" fillId="0" borderId="7" xfId="0" applyNumberFormat="1" applyFont="1" applyBorder="1" applyAlignment="1">
      <alignment horizontal="center" vertical="top" wrapText="1"/>
    </xf>
    <xf numFmtId="0" fontId="11" fillId="0" borderId="8" xfId="0" applyFont="1" applyBorder="1" applyAlignment="1">
      <alignment horizontal="left" vertical="top" wrapText="1"/>
    </xf>
    <xf numFmtId="14" fontId="11" fillId="0" borderId="8" xfId="0" applyNumberFormat="1" applyFont="1" applyBorder="1" applyAlignment="1">
      <alignment horizontal="center" vertical="top"/>
    </xf>
    <xf numFmtId="192" fontId="11" fillId="0" borderId="8" xfId="3" applyNumberFormat="1" applyFont="1" applyFill="1" applyBorder="1" applyAlignment="1">
      <alignment horizontal="center" vertical="top"/>
    </xf>
    <xf numFmtId="188" fontId="11" fillId="0" borderId="8" xfId="3" applyNumberFormat="1" applyFont="1" applyFill="1" applyBorder="1" applyAlignment="1">
      <alignment vertical="top"/>
    </xf>
    <xf numFmtId="192" fontId="11" fillId="0" borderId="8" xfId="1" applyNumberFormat="1" applyFont="1" applyBorder="1" applyAlignment="1">
      <alignment horizontal="center" vertical="top"/>
    </xf>
    <xf numFmtId="9" fontId="11" fillId="0" borderId="8" xfId="2" applyFont="1" applyBorder="1" applyAlignment="1">
      <alignment horizontal="center" vertical="top"/>
    </xf>
    <xf numFmtId="9" fontId="11" fillId="0" borderId="8" xfId="2" applyFont="1" applyFill="1" applyBorder="1" applyAlignment="1">
      <alignment horizontal="center" vertical="top"/>
    </xf>
    <xf numFmtId="189" fontId="11" fillId="0" borderId="8" xfId="1" applyNumberFormat="1" applyFont="1" applyBorder="1" applyAlignment="1">
      <alignment horizontal="center" vertical="top"/>
    </xf>
    <xf numFmtId="189" fontId="11" fillId="0" borderId="8" xfId="1" applyNumberFormat="1" applyFont="1" applyBorder="1" applyAlignment="1">
      <alignment horizontal="left" vertical="top"/>
    </xf>
    <xf numFmtId="0" fontId="11" fillId="0" borderId="8" xfId="1" applyNumberFormat="1" applyFont="1" applyBorder="1" applyAlignment="1">
      <alignment horizontal="left" vertical="top" shrinkToFit="1"/>
    </xf>
    <xf numFmtId="0" fontId="11" fillId="0" borderId="8" xfId="1" applyNumberFormat="1" applyFont="1" applyBorder="1" applyAlignment="1">
      <alignment horizontal="center" vertical="top" shrinkToFit="1"/>
    </xf>
    <xf numFmtId="2" fontId="11" fillId="0" borderId="8" xfId="2" applyNumberFormat="1" applyFont="1" applyFill="1" applyBorder="1" applyAlignment="1">
      <alignment horizontal="center" vertical="top"/>
    </xf>
    <xf numFmtId="2" fontId="11" fillId="0" borderId="14" xfId="2" applyNumberFormat="1" applyFont="1" applyFill="1" applyBorder="1" applyAlignment="1">
      <alignment horizontal="center" vertical="top"/>
    </xf>
    <xf numFmtId="0" fontId="4" fillId="0" borderId="10" xfId="0" applyFont="1" applyBorder="1" applyAlignment="1">
      <alignment horizontal="left" vertical="top" wrapText="1"/>
    </xf>
    <xf numFmtId="0" fontId="8" fillId="7" borderId="20" xfId="0" applyFont="1" applyFill="1" applyBorder="1" applyAlignment="1">
      <alignment horizontal="center" vertical="center" shrinkToFit="1"/>
    </xf>
    <xf numFmtId="0" fontId="8" fillId="7" borderId="24" xfId="0" applyFont="1" applyFill="1" applyBorder="1" applyAlignment="1">
      <alignment horizontal="center" vertical="center" shrinkToFit="1"/>
    </xf>
    <xf numFmtId="0" fontId="8" fillId="7" borderId="34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wrapText="1" shrinkToFit="1"/>
    </xf>
    <xf numFmtId="0" fontId="6" fillId="6" borderId="45" xfId="0" applyFont="1" applyFill="1" applyBorder="1" applyAlignment="1">
      <alignment horizontal="center" vertical="center" shrinkToFit="1"/>
    </xf>
    <xf numFmtId="0" fontId="6" fillId="6" borderId="21" xfId="0" applyFont="1" applyFill="1" applyBorder="1" applyAlignment="1">
      <alignment horizontal="center" vertical="center" shrinkToFit="1"/>
    </xf>
    <xf numFmtId="0" fontId="6" fillId="6" borderId="43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7" fillId="5" borderId="36" xfId="0" applyFont="1" applyFill="1" applyBorder="1" applyAlignment="1">
      <alignment horizontal="center" vertical="center" shrinkToFit="1"/>
    </xf>
    <xf numFmtId="0" fontId="7" fillId="5" borderId="38" xfId="0" applyFont="1" applyFill="1" applyBorder="1" applyAlignment="1">
      <alignment horizontal="center" vertical="center" shrinkToFit="1"/>
    </xf>
    <xf numFmtId="1" fontId="19" fillId="8" borderId="27" xfId="0" applyNumberFormat="1" applyFont="1" applyFill="1" applyBorder="1" applyAlignment="1">
      <alignment horizontal="center" vertical="top" wrapText="1"/>
    </xf>
    <xf numFmtId="1" fontId="19" fillId="8" borderId="40" xfId="0" applyNumberFormat="1" applyFont="1" applyFill="1" applyBorder="1" applyAlignment="1">
      <alignment horizontal="center" vertical="top" wrapText="1"/>
    </xf>
    <xf numFmtId="1" fontId="19" fillId="8" borderId="30" xfId="0" applyNumberFormat="1" applyFont="1" applyFill="1" applyBorder="1" applyAlignment="1">
      <alignment horizontal="center" vertical="top" wrapText="1"/>
    </xf>
    <xf numFmtId="0" fontId="19" fillId="8" borderId="7" xfId="0" applyFont="1" applyFill="1" applyBorder="1" applyAlignment="1">
      <alignment horizontal="left" vertical="top" wrapText="1"/>
    </xf>
    <xf numFmtId="0" fontId="19" fillId="8" borderId="42" xfId="0" applyFont="1" applyFill="1" applyBorder="1" applyAlignment="1">
      <alignment horizontal="left" vertical="top" wrapText="1"/>
    </xf>
    <xf numFmtId="0" fontId="19" fillId="8" borderId="5" xfId="0" applyFont="1" applyFill="1" applyBorder="1" applyAlignment="1">
      <alignment horizontal="left" vertical="top" wrapText="1"/>
    </xf>
    <xf numFmtId="0" fontId="19" fillId="8" borderId="33" xfId="0" applyFont="1" applyFill="1" applyBorder="1" applyAlignment="1">
      <alignment horizontal="left" vertical="top" wrapText="1"/>
    </xf>
    <xf numFmtId="0" fontId="6" fillId="6" borderId="35" xfId="0" applyFont="1" applyFill="1" applyBorder="1" applyAlignment="1">
      <alignment horizontal="center" vertical="center" shrinkToFit="1"/>
    </xf>
    <xf numFmtId="0" fontId="6" fillId="6" borderId="37" xfId="0" applyFont="1" applyFill="1" applyBorder="1" applyAlignment="1">
      <alignment horizontal="center" vertical="center" shrinkToFi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1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4"/>
              <c:pt idx="0">
                <c:v>1</c:v>
              </c:pt>
              <c:pt idx="1">
                <c:v>7</c:v>
              </c:pt>
              <c:pt idx="2">
                <c:v>19</c:v>
              </c:pt>
              <c:pt idx="3">
                <c:v>33</c:v>
              </c:pt>
            </c:numLit>
          </c:cat>
          <c:val>
            <c:numLit>
              <c:formatCode>General</c:formatCode>
              <c:ptCount val="4"/>
              <c:pt idx="0">
                <c:v>45783</c:v>
              </c:pt>
              <c:pt idx="1">
                <c:v>45791</c:v>
              </c:pt>
              <c:pt idx="2">
                <c:v>45877</c:v>
              </c:pt>
              <c:pt idx="3">
                <c:v>46010</c:v>
              </c:pt>
            </c:numLit>
          </c:val>
          <c:extLst>
            <c:ext xmlns:c16="http://schemas.microsoft.com/office/drawing/2014/chart" uri="{C3380CC4-5D6E-409C-BE32-E72D297353CC}">
              <c16:uniqueId val="{0000000A-EA0A-4AC0-BC8B-6B250AB11FF6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EA0A-4AC0-BC8B-6B250AB11FF6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4"/>
              <c:pt idx="0">
                <c:v>42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EA0A-4AC0-BC8B-6B250AB11FF6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4"/>
              <c:pt idx="0">
                <c:v>0</c:v>
              </c:pt>
              <c:pt idx="1">
                <c:v>139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0A-4AC0-BC8B-6B250AB11FF6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133</c:v>
              </c:pt>
              <c:pt idx="3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E-EA0A-4AC0-BC8B-6B250AB1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414790111"/>
        <c:axId val="397800767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B39A2F-19BB-4F4C-87A0-3028D06052A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0A-4AC0-BC8B-6B250AB11F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EFDA7B-8951-4306-873F-4320A5F6CE0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0A-4AC0-BC8B-6B250AB11F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97D288-C9A2-4779-99B9-B007CF8F320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0A-4AC0-BC8B-6B250AB11F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760C4-9D0B-4877-8760-66795FEDBAB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0A-4AC0-BC8B-6B250AB11FF6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800" b="1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4"/>
              <c:pt idx="0">
                <c:v>45825</c:v>
              </c:pt>
              <c:pt idx="1">
                <c:v>45930</c:v>
              </c:pt>
              <c:pt idx="2">
                <c:v>46010</c:v>
              </c:pt>
              <c:pt idx="3">
                <c:v>46017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{"100%","28% (28%)","0%","0%"}</c15:f>
                <c15:dlblRangeCache>
                  <c:ptCount val="4"/>
                  <c:pt idx="0">
                    <c:v>100%</c:v>
                  </c:pt>
                  <c:pt idx="1">
                    <c:v>28% (28%)</c:v>
                  </c:pt>
                  <c:pt idx="2">
                    <c:v>0%</c:v>
                  </c:pt>
                  <c:pt idx="3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0A-4AC0-BC8B-6B250AB11FF6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noFill/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1-EA0A-4AC0-BC8B-6B250AB11FF6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2-EA0A-4AC0-BC8B-6B250AB11FF6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EA0A-4AC0-BC8B-6B250AB11FF6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4-EA0A-4AC0-BC8B-6B250AB11FF6}"/>
              </c:ext>
            </c:extLst>
          </c:dPt>
          <c:dPt>
            <c:idx val="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5-EA0A-4AC0-BC8B-6B250AB11FF6}"/>
              </c:ext>
            </c:extLst>
          </c:dPt>
          <c:dPt>
            <c:idx val="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6-EA0A-4AC0-BC8B-6B250AB11FF6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7-EA0A-4AC0-BC8B-6B250AB11FF6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8-EA0A-4AC0-BC8B-6B250AB11FF6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9-EA0A-4AC0-BC8B-6B250AB11FF6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A-EA0A-4AC0-BC8B-6B250AB11FF6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B-EA0A-4AC0-BC8B-6B250AB11FF6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C-EA0A-4AC0-BC8B-6B250AB11FF6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EA0A-4AC0-BC8B-6B250AB11FF6}"/>
              </c:ext>
            </c:extLst>
          </c:dPt>
          <c:dPt>
            <c:idx val="13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E-EA0A-4AC0-BC8B-6B250AB11FF6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F-EA0A-4AC0-BC8B-6B250AB11FF6}"/>
              </c:ext>
            </c:extLst>
          </c:dPt>
          <c:dPt>
            <c:idx val="1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0-EA0A-4AC0-BC8B-6B250AB11FF6}"/>
              </c:ext>
            </c:extLst>
          </c:dPt>
          <c:dPt>
            <c:idx val="16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1-EA0A-4AC0-BC8B-6B250AB11FF6}"/>
              </c:ext>
            </c:extLst>
          </c:dPt>
          <c:dPt>
            <c:idx val="17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2-EA0A-4AC0-BC8B-6B250AB11FF6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3-EA0A-4AC0-BC8B-6B250AB11FF6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4-EA0A-4AC0-BC8B-6B250AB11FF6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5-EA0A-4AC0-BC8B-6B250AB11FF6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6-EA0A-4AC0-BC8B-6B250AB11FF6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7-EA0A-4AC0-BC8B-6B250AB11FF6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EA0A-4AC0-BC8B-6B250AB11FF6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EA0A-4AC0-BC8B-6B250AB11FF6}"/>
              </c:ext>
            </c:extLst>
          </c:dPt>
          <c:dPt>
            <c:idx val="2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EA0A-4AC0-BC8B-6B250AB11FF6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EA0A-4AC0-BC8B-6B250AB11FF6}"/>
              </c:ext>
            </c:extLst>
          </c:dPt>
          <c:dPt>
            <c:idx val="27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EA0A-4AC0-BC8B-6B250AB11FF6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EA0A-4AC0-BC8B-6B250AB11FF6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EA0A-4AC0-BC8B-6B250AB11FF6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EA0A-4AC0-BC8B-6B250AB11FF6}"/>
              </c:ext>
            </c:extLst>
          </c:dPt>
          <c:dPt>
            <c:idx val="31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EA0A-4AC0-BC8B-6B250AB11FF6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EA0A-4AC0-BC8B-6B250AB11FF6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EA0A-4AC0-BC8B-6B250AB11FF6}"/>
              </c:ext>
            </c:extLst>
          </c:dPt>
          <c:dPt>
            <c:idx val="34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EA0A-4AC0-BC8B-6B250AB11FF6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C216FC1-73F2-4EB2-BB76-A93E3C4E26DB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A0A-4AC0-BC8B-6B250AB11FF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0A-4AC0-BC8B-6B250AB11F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0A-4AC0-BC8B-6B250AB11FF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0A-4AC0-BC8B-6B250AB11FF6}"/>
                </c:ext>
              </c:extLst>
            </c:dLbl>
            <c:dLbl>
              <c:idx val="4"/>
              <c:layout>
                <c:manualLayout>
                  <c:x val="-2.7332457594696383E-3"/>
                  <c:y val="3.578180242850306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3B74B76-3443-4B2A-AA1E-B28128185C4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A0A-4AC0-BC8B-6B250AB11FF6}"/>
                </c:ext>
              </c:extLst>
            </c:dLbl>
            <c:dLbl>
              <c:idx val="5"/>
              <c:layout>
                <c:manualLayout>
                  <c:x val="-2.7332098901027163E-3"/>
                  <c:y val="1.7573047601831992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2C9FD29-04B3-416E-AE34-0D851F1DA90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EA0A-4AC0-BC8B-6B250AB11FF6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1680455-CFBA-4D50-9281-D88200571E5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A0A-4AC0-BC8B-6B250AB11FF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0A-4AC0-BC8B-6B250AB11F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0A-4AC0-BC8B-6B250AB11FF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0A-4AC0-BC8B-6B250AB11F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0A-4AC0-BC8B-6B250AB11FF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0A-4AC0-BC8B-6B250AB11F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0A-4AC0-BC8B-6B250AB11FF6}"/>
                </c:ext>
              </c:extLst>
            </c:dLbl>
            <c:dLbl>
              <c:idx val="13"/>
              <c:layout>
                <c:manualLayout>
                  <c:x val="-2.7332234532003526E-3"/>
                  <c:y val="2.172701876179369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DE39DB9-12E1-4DF0-AC2F-59C416AE982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EA0A-4AC0-BC8B-6B250AB11F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0A-4AC0-BC8B-6B250AB11FF6}"/>
                </c:ext>
              </c:extLst>
            </c:dLbl>
            <c:dLbl>
              <c:idx val="15"/>
              <c:layout>
                <c:manualLayout>
                  <c:x val="-2.733209890102783E-3"/>
                  <c:y val="-6.6467359290496034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4045F5B-5D8B-4BC8-AE2E-521F76E16CB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EA0A-4AC0-BC8B-6B250AB11FF6}"/>
                </c:ext>
              </c:extLst>
            </c:dLbl>
            <c:dLbl>
              <c:idx val="16"/>
              <c:layout>
                <c:manualLayout>
                  <c:x val="-2.7332816288365607E-3"/>
                  <c:y val="3.5781802428502964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5D960AD-67A6-478C-B1EB-7BAF7A28F43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A0A-4AC0-BC8B-6B250AB11FF6}"/>
                </c:ext>
              </c:extLst>
            </c:dLbl>
            <c:dLbl>
              <c:idx val="17"/>
              <c:layout>
                <c:manualLayout>
                  <c:x val="-2.7332816288365607E-3"/>
                  <c:y val="1.7573047601831992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2F291F8-DD80-4308-AF2D-40DF087DE2E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EA0A-4AC0-BC8B-6B250AB11FF6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E266E88-7290-4495-BB5E-696DA404AE57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A0A-4AC0-BC8B-6B250AB11FF6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0A-4AC0-BC8B-6B250AB11FF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0A-4AC0-BC8B-6B250AB11FF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0A-4AC0-BC8B-6B250AB11FF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0A-4AC0-BC8B-6B250AB11FF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0A-4AC0-BC8B-6B250AB11FF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0A-4AC0-BC8B-6B250AB11FF6}"/>
                </c:ext>
              </c:extLst>
            </c:dLbl>
            <c:dLbl>
              <c:idx val="25"/>
              <c:layout>
                <c:manualLayout>
                  <c:x val="-2.7332816288365607E-3"/>
                  <c:y val="-6.6467359290496034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A04ABD3-645D-40F5-9E83-FD0574EBAD4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A0A-4AC0-BC8B-6B250AB11FF6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0A-4AC0-BC8B-6B250AB11FF6}"/>
                </c:ext>
              </c:extLst>
            </c:dLbl>
            <c:dLbl>
              <c:idx val="27"/>
              <c:layout>
                <c:manualLayout>
                  <c:x val="-2.7332457594696383E-3"/>
                  <c:y val="3.578180242850306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657237E-3CD5-4434-B933-ED21717FB49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A0A-4AC0-BC8B-6B250AB11FF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0A-4AC0-BC8B-6B250AB11FF6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0A-4AC0-BC8B-6B250AB11FF6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A0A-4AC0-BC8B-6B250AB11FF6}"/>
                </c:ext>
              </c:extLst>
            </c:dLbl>
            <c:dLbl>
              <c:idx val="31"/>
              <c:layout>
                <c:manualLayout>
                  <c:x val="-2.7332457594697718E-3"/>
                  <c:y val="-6.6467359290496034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31C6019-8AE9-4FEE-9A24-1B14666B902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EA0A-4AC0-BC8B-6B250AB11FF6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7E5C83E-D9C6-4DE3-A170-F77E0B5776F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EA0A-4AC0-BC8B-6B250AB11FF6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A0A-4AC0-BC8B-6B250AB11FF6}"/>
                </c:ext>
              </c:extLst>
            </c:dLbl>
            <c:dLbl>
              <c:idx val="34"/>
              <c:layout>
                <c:manualLayout>
                  <c:x val="-2.7332816288365607E-3"/>
                  <c:y val="3.5781802428503089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754AE8F-9833-4698-8737-73F260E2235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EA0A-4AC0-BC8B-6B250AB11F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35"/>
              <c:pt idx="0">
                <c:v>45783</c:v>
              </c:pt>
              <c:pt idx="1">
                <c:v>45800</c:v>
              </c:pt>
              <c:pt idx="2">
                <c:v>45800</c:v>
              </c:pt>
              <c:pt idx="3">
                <c:v>45800</c:v>
              </c:pt>
              <c:pt idx="4">
                <c:v>45819</c:v>
              </c:pt>
              <c:pt idx="5">
                <c:v>45825</c:v>
              </c:pt>
              <c:pt idx="6">
                <c:v>45791</c:v>
              </c:pt>
              <c:pt idx="7">
                <c:v>45805</c:v>
              </c:pt>
              <c:pt idx="8">
                <c:v>45821</c:v>
              </c:pt>
              <c:pt idx="9">
                <c:v>45833</c:v>
              </c:pt>
              <c:pt idx="10">
                <c:v>45840</c:v>
              </c:pt>
              <c:pt idx="11">
                <c:v>45870</c:v>
              </c:pt>
              <c:pt idx="12">
                <c:v>45870</c:v>
              </c:pt>
              <c:pt idx="13">
                <c:v>45877</c:v>
              </c:pt>
              <c:pt idx="14">
                <c:v>45895</c:v>
              </c:pt>
              <c:pt idx="15">
                <c:v>45902</c:v>
              </c:pt>
              <c:pt idx="16">
                <c:v>45909</c:v>
              </c:pt>
              <c:pt idx="17">
                <c:v>45930</c:v>
              </c:pt>
              <c:pt idx="18">
                <c:v>45877</c:v>
              </c:pt>
              <c:pt idx="19">
                <c:v>45888</c:v>
              </c:pt>
              <c:pt idx="20">
                <c:v>45888</c:v>
              </c:pt>
              <c:pt idx="21">
                <c:v>45895</c:v>
              </c:pt>
              <c:pt idx="22">
                <c:v>45902</c:v>
              </c:pt>
              <c:pt idx="23">
                <c:v>45916</c:v>
              </c:pt>
              <c:pt idx="24">
                <c:v>45916</c:v>
              </c:pt>
              <c:pt idx="25">
                <c:v>45930</c:v>
              </c:pt>
              <c:pt idx="26">
                <c:v>45952</c:v>
              </c:pt>
              <c:pt idx="27">
                <c:v>45974</c:v>
              </c:pt>
              <c:pt idx="28">
                <c:v>45976</c:v>
              </c:pt>
              <c:pt idx="29">
                <c:v>45980</c:v>
              </c:pt>
              <c:pt idx="30">
                <c:v>45987</c:v>
              </c:pt>
              <c:pt idx="31">
                <c:v>46010</c:v>
              </c:pt>
              <c:pt idx="32">
                <c:v>46010</c:v>
              </c:pt>
              <c:pt idx="33">
                <c:v>46016</c:v>
              </c:pt>
              <c:pt idx="34">
                <c:v>46017</c:v>
              </c:pt>
            </c:numLit>
          </c:xVal>
          <c:yVal>
            <c:numLit>
              <c:formatCode>General</c:formatCode>
              <c:ptCount val="35"/>
              <c:pt idx="0">
                <c:v>1.5</c:v>
              </c:pt>
              <c:pt idx="1">
                <c:v>1.7</c:v>
              </c:pt>
              <c:pt idx="2">
                <c:v>1.7</c:v>
              </c:pt>
              <c:pt idx="3">
                <c:v>1.7</c:v>
              </c:pt>
              <c:pt idx="4">
                <c:v>1.7</c:v>
              </c:pt>
              <c:pt idx="5">
                <c:v>1.7</c:v>
              </c:pt>
              <c:pt idx="6">
                <c:v>2.5</c:v>
              </c:pt>
              <c:pt idx="7">
                <c:v>2.7</c:v>
              </c:pt>
              <c:pt idx="8">
                <c:v>2.7</c:v>
              </c:pt>
              <c:pt idx="9">
                <c:v>2.7</c:v>
              </c:pt>
              <c:pt idx="10">
                <c:v>2.7</c:v>
              </c:pt>
              <c:pt idx="11">
                <c:v>2.7</c:v>
              </c:pt>
              <c:pt idx="12">
                <c:v>2.7</c:v>
              </c:pt>
              <c:pt idx="13">
                <c:v>2.7</c:v>
              </c:pt>
              <c:pt idx="14">
                <c:v>2.7</c:v>
              </c:pt>
              <c:pt idx="15">
                <c:v>2.7</c:v>
              </c:pt>
              <c:pt idx="16">
                <c:v>2.7</c:v>
              </c:pt>
              <c:pt idx="17">
                <c:v>2.7</c:v>
              </c:pt>
              <c:pt idx="18">
                <c:v>3.5</c:v>
              </c:pt>
              <c:pt idx="19">
                <c:v>3.7</c:v>
              </c:pt>
              <c:pt idx="20">
                <c:v>3.7</c:v>
              </c:pt>
              <c:pt idx="21">
                <c:v>3.7</c:v>
              </c:pt>
              <c:pt idx="22">
                <c:v>3.7</c:v>
              </c:pt>
              <c:pt idx="23">
                <c:v>3.7</c:v>
              </c:pt>
              <c:pt idx="24">
                <c:v>3.7</c:v>
              </c:pt>
              <c:pt idx="25">
                <c:v>3.7</c:v>
              </c:pt>
              <c:pt idx="26">
                <c:v>3.7</c:v>
              </c:pt>
              <c:pt idx="27">
                <c:v>3.7</c:v>
              </c:pt>
              <c:pt idx="28">
                <c:v>3.7</c:v>
              </c:pt>
              <c:pt idx="29">
                <c:v>3.7</c:v>
              </c:pt>
              <c:pt idx="30">
                <c:v>3.7</c:v>
              </c:pt>
              <c:pt idx="31">
                <c:v>3.7</c:v>
              </c:pt>
              <c:pt idx="32">
                <c:v>4.5</c:v>
              </c:pt>
              <c:pt idx="33">
                <c:v>4.7</c:v>
              </c:pt>
              <c:pt idx="34">
                <c:v>4.7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WorkSchedule!$R$12:$R$46</c15:f>
                <c15:dlblRangeCache>
                  <c:ptCount val="35"/>
                  <c:pt idx="0">
                    <c:v> Project Setup </c:v>
                  </c:pt>
                  <c:pt idx="1">
                    <c:v> Project Charter (23-May) </c:v>
                  </c:pt>
                  <c:pt idx="2">
                    <c:v> Q &amp; R (23-May) </c:v>
                  </c:pt>
                  <c:pt idx="3">
                    <c:v> Initial Analysis (23-May) </c:v>
                  </c:pt>
                  <c:pt idx="4">
                    <c:v> Ease of Implementation (11-Jun) </c:v>
                  </c:pt>
                  <c:pt idx="5">
                    <c:v> Project Approval (17-Jun) </c:v>
                  </c:pt>
                  <c:pt idx="6">
                    <c:v> Rule Optimization </c:v>
                  </c:pt>
                  <c:pt idx="7">
                    <c:v> Project Planning (28-May) </c:v>
                  </c:pt>
                  <c:pt idx="8">
                    <c:v> Business Requirement (13-Jun) </c:v>
                  </c:pt>
                  <c:pt idx="9">
                    <c:v> Process &amp; Data Understanding (25-Jun) </c:v>
                  </c:pt>
                  <c:pt idx="10">
                    <c:v> Data Collection &amp; Preparation (02-Jul) </c:v>
                  </c:pt>
                  <c:pt idx="11">
                    <c:v> USL Rule opt. (01-Aug) </c:v>
                  </c:pt>
                  <c:pt idx="12">
                    <c:v> SL Rule opt. (01-Aug) </c:v>
                  </c:pt>
                  <c:pt idx="13">
                    <c:v> Result Update #1 (08-Aug) </c:v>
                  </c:pt>
                  <c:pt idx="14">
                    <c:v> Model Tuning &amp; Re-Evaluation (26-Aug) </c:v>
                  </c:pt>
                  <c:pt idx="15">
                    <c:v> Result Update #2 (02-Sep) </c:v>
                  </c:pt>
                  <c:pt idx="16">
                    <c:v> Final Evaluation (09-Sep) </c:v>
                  </c:pt>
                  <c:pt idx="17">
                    <c:v> Transition (30-Sep) </c:v>
                  </c:pt>
                  <c:pt idx="18">
                    <c:v> Anomaly Detection </c:v>
                  </c:pt>
                  <c:pt idx="19">
                    <c:v> Project Planning (19-Aug) </c:v>
                  </c:pt>
                  <c:pt idx="20">
                    <c:v> Business Requirement (19-Aug) </c:v>
                  </c:pt>
                  <c:pt idx="21">
                    <c:v> Process &amp; Data Understanding (26-Aug) </c:v>
                  </c:pt>
                  <c:pt idx="22">
                    <c:v> Data Collection &amp; Preparation (02-Sep) </c:v>
                  </c:pt>
                  <c:pt idx="23">
                    <c:v> Model Training (HL) (16-Sep) </c:v>
                  </c:pt>
                  <c:pt idx="24">
                    <c:v> Model Training (CC, XPC) (16-Sep) </c:v>
                  </c:pt>
                  <c:pt idx="25">
                    <c:v> Validation #1 (30-Sep) </c:v>
                  </c:pt>
                  <c:pt idx="26">
                    <c:v> Model Tuning &amp; Re-Evaluation (22-Oct) </c:v>
                  </c:pt>
                  <c:pt idx="27">
                    <c:v> Validation #2 (13-Nov) </c:v>
                  </c:pt>
                  <c:pt idx="28">
                    <c:v> Final Evaluation &amp; Approval  (15-Nov) </c:v>
                  </c:pt>
                  <c:pt idx="29">
                    <c:v> Deployment Planning (19-Nov) </c:v>
                  </c:pt>
                  <c:pt idx="30">
                    <c:v> Deployment Execution (26-Nov) </c:v>
                  </c:pt>
                  <c:pt idx="31">
                    <c:v> Monitoring &amp; Transition (19-Dec) </c:v>
                  </c:pt>
                  <c:pt idx="32">
                    <c:v> Project Closure </c:v>
                  </c:pt>
                  <c:pt idx="33">
                    <c:v> Material Preparation (25-Dec) </c:v>
                  </c:pt>
                  <c:pt idx="34">
                    <c:v> Project Sign-off meeting (26-Dec)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EA0A-4AC0-BC8B-6B250AB11FF6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45842</c:v>
                </c:pt>
                <c:pt idx="1">
                  <c:v>45842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4-EA0A-4AC0-BC8B-6B250AB1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485760"/>
        <c:axId val="211413424"/>
      </c:scatterChart>
      <c:catAx>
        <c:axId val="41479011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397800767"/>
        <c:crosses val="autoZero"/>
        <c:auto val="1"/>
        <c:lblAlgn val="ctr"/>
        <c:lblOffset val="100"/>
        <c:noMultiLvlLbl val="0"/>
      </c:catAx>
      <c:valAx>
        <c:axId val="397800767"/>
        <c:scaling>
          <c:orientation val="minMax"/>
          <c:max val="46054"/>
          <c:min val="4571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414790111"/>
        <c:crosses val="autoZero"/>
        <c:crossBetween val="between"/>
        <c:majorUnit val="61.36"/>
        <c:minorUnit val="30.68"/>
      </c:valAx>
      <c:valAx>
        <c:axId val="211413424"/>
        <c:scaling>
          <c:orientation val="maxMin"/>
          <c:max val="5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1774485760"/>
        <c:crosses val="max"/>
        <c:crossBetween val="midCat"/>
      </c:valAx>
      <c:valAx>
        <c:axId val="17744857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11413424"/>
        <c:crosses val="autoZero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3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</c:numLit>
          </c:cat>
          <c:val>
            <c:numRef>
              <c:f>WorkSchedule!$I$12:$I$46</c:f>
              <c:numCache>
                <c:formatCode>m/d/yyyy</c:formatCode>
                <c:ptCount val="35"/>
                <c:pt idx="0">
                  <c:v>45783</c:v>
                </c:pt>
                <c:pt idx="1">
                  <c:v>45783</c:v>
                </c:pt>
                <c:pt idx="2">
                  <c:v>45783</c:v>
                </c:pt>
                <c:pt idx="3">
                  <c:v>45783</c:v>
                </c:pt>
                <c:pt idx="4">
                  <c:v>45803</c:v>
                </c:pt>
                <c:pt idx="5">
                  <c:v>45803</c:v>
                </c:pt>
                <c:pt idx="6">
                  <c:v>45791</c:v>
                </c:pt>
                <c:pt idx="7">
                  <c:v>45791</c:v>
                </c:pt>
                <c:pt idx="8">
                  <c:v>45805</c:v>
                </c:pt>
                <c:pt idx="9">
                  <c:v>45812</c:v>
                </c:pt>
                <c:pt idx="10">
                  <c:v>45833</c:v>
                </c:pt>
                <c:pt idx="11">
                  <c:v>45840</c:v>
                </c:pt>
                <c:pt idx="12">
                  <c:v>45840</c:v>
                </c:pt>
                <c:pt idx="13">
                  <c:v>45870</c:v>
                </c:pt>
                <c:pt idx="14">
                  <c:v>45877</c:v>
                </c:pt>
                <c:pt idx="15">
                  <c:v>45895</c:v>
                </c:pt>
                <c:pt idx="16">
                  <c:v>45902</c:v>
                </c:pt>
                <c:pt idx="17">
                  <c:v>45909</c:v>
                </c:pt>
                <c:pt idx="18">
                  <c:v>45877</c:v>
                </c:pt>
                <c:pt idx="19">
                  <c:v>45877</c:v>
                </c:pt>
                <c:pt idx="20">
                  <c:v>45877</c:v>
                </c:pt>
                <c:pt idx="21">
                  <c:v>45888</c:v>
                </c:pt>
                <c:pt idx="22">
                  <c:v>45895</c:v>
                </c:pt>
                <c:pt idx="23">
                  <c:v>45902</c:v>
                </c:pt>
                <c:pt idx="24">
                  <c:v>45902</c:v>
                </c:pt>
                <c:pt idx="25">
                  <c:v>45916</c:v>
                </c:pt>
                <c:pt idx="26">
                  <c:v>45930</c:v>
                </c:pt>
                <c:pt idx="27">
                  <c:v>45952</c:v>
                </c:pt>
                <c:pt idx="28">
                  <c:v>45974</c:v>
                </c:pt>
                <c:pt idx="29">
                  <c:v>45978</c:v>
                </c:pt>
                <c:pt idx="30">
                  <c:v>45980</c:v>
                </c:pt>
                <c:pt idx="31">
                  <c:v>45987</c:v>
                </c:pt>
                <c:pt idx="32">
                  <c:v>46010</c:v>
                </c:pt>
                <c:pt idx="33">
                  <c:v>46010</c:v>
                </c:pt>
                <c:pt idx="34">
                  <c:v>46016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5E-4739-8132-6532109B179E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WorkSchedule!$N$12:$N$46</c:f>
              <c:numCache>
                <c:formatCode>_-* #,##0_-;\-* #,##0_-;_-* "-"??_-;_-@_-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5E-4739-8132-6532109B179E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WorkSchedule!$O$12:$O$46</c:f>
              <c:numCache>
                <c:formatCode>_-* #,##0_-;\-* #,##0_-;_-* "-"??_-;_-@_-</c:formatCode>
                <c:ptCount val="35"/>
                <c:pt idx="0">
                  <c:v>42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16</c:v>
                </c:pt>
                <c:pt idx="5">
                  <c:v>22</c:v>
                </c:pt>
                <c:pt idx="6">
                  <c:v>0</c:v>
                </c:pt>
                <c:pt idx="7">
                  <c:v>14</c:v>
                </c:pt>
                <c:pt idx="8">
                  <c:v>16</c:v>
                </c:pt>
                <c:pt idx="9">
                  <c:v>21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5E-4739-8132-6532109B179E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WorkSchedule!$P$12:$P$46</c:f>
              <c:numCache>
                <c:formatCode>_-* #,##0_-;\-* #,##0_-;_-* "-"??_-;_-@_-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</c:v>
                </c:pt>
                <c:pt idx="12">
                  <c:v>30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5E-4739-8132-6532109B179E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WorkSchedule!$Q$12:$Q$46</c:f>
              <c:numCache>
                <c:formatCode>_-* #,##0_-;\-* #,##0_-;_-* "-"??_-;_-@_-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18</c:v>
                </c:pt>
                <c:pt idx="15">
                  <c:v>7</c:v>
                </c:pt>
                <c:pt idx="16">
                  <c:v>7</c:v>
                </c:pt>
                <c:pt idx="17">
                  <c:v>21</c:v>
                </c:pt>
                <c:pt idx="18">
                  <c:v>133</c:v>
                </c:pt>
                <c:pt idx="19">
                  <c:v>11</c:v>
                </c:pt>
                <c:pt idx="20">
                  <c:v>11</c:v>
                </c:pt>
                <c:pt idx="21">
                  <c:v>7</c:v>
                </c:pt>
                <c:pt idx="22">
                  <c:v>7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22</c:v>
                </c:pt>
                <c:pt idx="27">
                  <c:v>22</c:v>
                </c:pt>
                <c:pt idx="28">
                  <c:v>2</c:v>
                </c:pt>
                <c:pt idx="29">
                  <c:v>2</c:v>
                </c:pt>
                <c:pt idx="30">
                  <c:v>7</c:v>
                </c:pt>
                <c:pt idx="31">
                  <c:v>23</c:v>
                </c:pt>
                <c:pt idx="32">
                  <c:v>7</c:v>
                </c:pt>
                <c:pt idx="33">
                  <c:v>6</c:v>
                </c:pt>
                <c:pt idx="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5E-4739-8132-6532109B1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97798847"/>
        <c:axId val="397799807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BF7CA9-8E9D-4787-B422-FB0B2B2B584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5E-4739-8132-6532109B17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EA13DC-1196-42EE-87ED-37299E120AB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5E-4739-8132-6532109B17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30B397-BE60-4A16-9456-82DD97D6A9C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5E-4739-8132-6532109B17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D43FD6-F9EA-4853-AB38-91AD26C6DA8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5E-4739-8132-6532109B17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593C9A-7B3B-4556-A36B-CD7F514457C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5E-4739-8132-6532109B17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C3651F-062B-438F-9688-146638E2221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5E-4739-8132-6532109B17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BE7C8D-8615-47CA-91B9-09BC9F79078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5E-4739-8132-6532109B17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245C93-0216-4B05-A328-A6F08EC91BF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5E-4739-8132-6532109B17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868F8C-8A11-4EB5-A667-C7EC175EFCD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5E-4739-8132-6532109B17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230816-FE03-45A8-ACE5-DF1F6CFC074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5E-4739-8132-6532109B17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13B081-F3F9-4D23-B1D9-A2988C44F6D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5E-4739-8132-6532109B17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83524A-1277-4880-82E5-4986929DC34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5E-4739-8132-6532109B17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6752F-D2D9-4F4E-91C3-C20878809AC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5E-4739-8132-6532109B17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A012B5-E71E-4CCB-A520-0610E0C44C9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5E-4739-8132-6532109B17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39B9AD-35A4-40C5-9436-DA407A0CC1F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5E-4739-8132-6532109B17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42E32F-E873-4481-AF3A-51C18312FF2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5E-4739-8132-6532109B17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9DAFA6-F48B-459E-A8A5-80871A658D2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5E-4739-8132-6532109B17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A5B9FB-3B9C-40CF-A63C-4DAE6334BC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5E-4739-8132-6532109B17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EAF97D-F73C-4C43-BF0E-B36016F0A62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5E-4739-8132-6532109B17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03CCBC-565A-4C6B-89CF-3B19B10E62E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5E-4739-8132-6532109B17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9A626A-5742-4EC0-84D7-A758BD7B7BC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5E-4739-8132-6532109B17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04AE7C-7F75-4000-9D80-F8C80A568FF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5E-4739-8132-6532109B17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5CE97D-E263-4FD9-A2D3-5FA6D448E0E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5E-4739-8132-6532109B17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0FAA74-1CB9-4FF8-AC9C-0AEE07A9339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5E-4739-8132-6532109B17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6DFEB1-53BE-4D97-BBC5-7DB9D5FE11A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5E-4739-8132-6532109B17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35B37C-C852-47E3-A4C7-61B57A3FDBD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5E-4739-8132-6532109B17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EB6171-F85C-4DE0-947C-B3950F27DAE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5E-4739-8132-6532109B17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416730-3E25-4BED-A0B5-351497F9939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5E-4739-8132-6532109B17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773E5A-0205-48C7-8A6D-80670D8034D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5E-4739-8132-6532109B17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E8B1E1-1AD8-4347-BA36-92549EC845D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5E-4739-8132-6532109B17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982F40-E8AC-4334-B1C4-0A186AA655B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5E-4739-8132-6532109B17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F590D7-840D-44D6-B638-2089B086339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5E-4739-8132-6532109B17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DAD63F-9D60-4043-9D9E-98406C00EE5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5E-4739-8132-6532109B17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A9E87C-AD00-492E-864E-176A6EC21CC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5E-4739-8132-6532109B17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519802-300A-437B-8A5D-CACDF531389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5E-4739-8132-6532109B179E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Ref>
              <c:f>WorkSchedule!$J$12:$J$46</c:f>
              <c:numCache>
                <c:formatCode>m/d/yyyy</c:formatCode>
                <c:ptCount val="35"/>
                <c:pt idx="0">
                  <c:v>45825</c:v>
                </c:pt>
                <c:pt idx="1">
                  <c:v>45800</c:v>
                </c:pt>
                <c:pt idx="2">
                  <c:v>45800</c:v>
                </c:pt>
                <c:pt idx="3">
                  <c:v>45800</c:v>
                </c:pt>
                <c:pt idx="4">
                  <c:v>45819</c:v>
                </c:pt>
                <c:pt idx="5">
                  <c:v>45825</c:v>
                </c:pt>
                <c:pt idx="6">
                  <c:v>45930</c:v>
                </c:pt>
                <c:pt idx="7">
                  <c:v>45805</c:v>
                </c:pt>
                <c:pt idx="8">
                  <c:v>45821</c:v>
                </c:pt>
                <c:pt idx="9">
                  <c:v>45833</c:v>
                </c:pt>
                <c:pt idx="10">
                  <c:v>45840</c:v>
                </c:pt>
                <c:pt idx="11">
                  <c:v>45870</c:v>
                </c:pt>
                <c:pt idx="12">
                  <c:v>45870</c:v>
                </c:pt>
                <c:pt idx="13">
                  <c:v>45877</c:v>
                </c:pt>
                <c:pt idx="14">
                  <c:v>45895</c:v>
                </c:pt>
                <c:pt idx="15">
                  <c:v>45902</c:v>
                </c:pt>
                <c:pt idx="16">
                  <c:v>45909</c:v>
                </c:pt>
                <c:pt idx="17">
                  <c:v>45930</c:v>
                </c:pt>
                <c:pt idx="18">
                  <c:v>46010</c:v>
                </c:pt>
                <c:pt idx="19">
                  <c:v>45888</c:v>
                </c:pt>
                <c:pt idx="20">
                  <c:v>45888</c:v>
                </c:pt>
                <c:pt idx="21">
                  <c:v>45895</c:v>
                </c:pt>
                <c:pt idx="22">
                  <c:v>45902</c:v>
                </c:pt>
                <c:pt idx="23">
                  <c:v>45916</c:v>
                </c:pt>
                <c:pt idx="24">
                  <c:v>45916</c:v>
                </c:pt>
                <c:pt idx="25">
                  <c:v>45930</c:v>
                </c:pt>
                <c:pt idx="26">
                  <c:v>45952</c:v>
                </c:pt>
                <c:pt idx="27">
                  <c:v>45974</c:v>
                </c:pt>
                <c:pt idx="28">
                  <c:v>45976</c:v>
                </c:pt>
                <c:pt idx="29">
                  <c:v>45980</c:v>
                </c:pt>
                <c:pt idx="30">
                  <c:v>45987</c:v>
                </c:pt>
                <c:pt idx="31">
                  <c:v>46010</c:v>
                </c:pt>
                <c:pt idx="32">
                  <c:v>46017</c:v>
                </c:pt>
                <c:pt idx="33">
                  <c:v>46016</c:v>
                </c:pt>
                <c:pt idx="34">
                  <c:v>46017</c:v>
                </c:pt>
              </c:numCache>
            </c:numRef>
          </c:xVal>
          <c:yVal>
            <c:numLit>
              <c:formatCode>General</c:formatCode>
              <c:ptCount val="35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WorkSchedule!$S$12:$S$46</c15:f>
                <c15:dlblRangeCache>
                  <c:ptCount val="35"/>
                  <c:pt idx="0">
                    <c:v>100%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37% (37%)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10% (10%)</c:v>
                  </c:pt>
                  <c:pt idx="12">
                    <c:v>10% (10%)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  <c:pt idx="30">
                    <c:v>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465E-4739-8132-6532109B179E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465E-4739-8132-6532109B179E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465E-4739-8132-6532109B179E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465E-4739-8132-6532109B179E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465E-4739-8132-6532109B179E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465E-4739-8132-6532109B179E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465E-4739-8132-6532109B179E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465E-4739-8132-6532109B179E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465E-4739-8132-6532109B179E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465E-4739-8132-6532109B179E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465E-4739-8132-6532109B179E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465E-4739-8132-6532109B179E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465E-4739-8132-6532109B179E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465E-4739-8132-6532109B179E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465E-4739-8132-6532109B179E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465E-4739-8132-6532109B179E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465E-4739-8132-6532109B179E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465E-4739-8132-6532109B179E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465E-4739-8132-6532109B179E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6-465E-4739-8132-6532109B179E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7-465E-4739-8132-6532109B179E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8-465E-4739-8132-6532109B179E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9-465E-4739-8132-6532109B179E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A-465E-4739-8132-6532109B179E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B-465E-4739-8132-6532109B179E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C-465E-4739-8132-6532109B179E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D-465E-4739-8132-6532109B179E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E-465E-4739-8132-6532109B179E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F-465E-4739-8132-6532109B179E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0-465E-4739-8132-6532109B179E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1-465E-4739-8132-6532109B179E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2-465E-4739-8132-6532109B179E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3-465E-4739-8132-6532109B179E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4-465E-4739-8132-6532109B179E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5-465E-4739-8132-6532109B179E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6-465E-4739-8132-6532109B179E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B00226D-975A-41AE-AEDA-F9CB989D43E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465E-4739-8132-6532109B179E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0F08C6B-4D64-4B96-94AC-AC1D8C8DDAB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465E-4739-8132-6532109B179E}"/>
                </c:ext>
              </c:extLst>
            </c:dLbl>
            <c:dLbl>
              <c:idx val="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A2ECA24-71ED-49E1-986C-FDB1C878A44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465E-4739-8132-6532109B179E}"/>
                </c:ext>
              </c:extLst>
            </c:dLbl>
            <c:dLbl>
              <c:idx val="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8A06F1D-7366-4E75-B6A2-2CEEB31DEB0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465E-4739-8132-6532109B179E}"/>
                </c:ext>
              </c:extLst>
            </c:dLbl>
            <c:dLbl>
              <c:idx val="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1D91B28-F479-46C3-BA7E-633262F7D0E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465E-4739-8132-6532109B179E}"/>
                </c:ext>
              </c:extLst>
            </c:dLbl>
            <c:dLbl>
              <c:idx val="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F3D8EBA-28B8-4AD8-9224-964FFD1FF0E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465E-4739-8132-6532109B179E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6C2A68A-E716-4225-BD56-022205AB119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465E-4739-8132-6532109B179E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8E93F11-8415-49DF-8680-23F2EC5EF25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465E-4739-8132-6532109B179E}"/>
                </c:ext>
              </c:extLst>
            </c:dLbl>
            <c:dLbl>
              <c:idx val="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90E9D6B-5278-4098-AC08-31D457F84A7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465E-4739-8132-6532109B179E}"/>
                </c:ext>
              </c:extLst>
            </c:dLbl>
            <c:dLbl>
              <c:idx val="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A21DB94-B170-4FDF-B55D-04416569E78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465E-4739-8132-6532109B179E}"/>
                </c:ext>
              </c:extLst>
            </c:dLbl>
            <c:dLbl>
              <c:idx val="1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4D9C232-A82E-45A1-8107-2C02D5CFC1B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465E-4739-8132-6532109B179E}"/>
                </c:ext>
              </c:extLst>
            </c:dLbl>
            <c:dLbl>
              <c:idx val="1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D632636-7BE6-4FEB-898E-27C030245E0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465E-4739-8132-6532109B179E}"/>
                </c:ext>
              </c:extLst>
            </c:dLbl>
            <c:dLbl>
              <c:idx val="1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4CC3910-AD40-45C0-82E8-A7100791035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465E-4739-8132-6532109B179E}"/>
                </c:ext>
              </c:extLst>
            </c:dLbl>
            <c:dLbl>
              <c:idx val="1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15EBC2C-67A7-47D0-B758-5ECFA2363A0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465E-4739-8132-6532109B179E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8EC5001-38AE-42C0-93D2-78C37303039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465E-4739-8132-6532109B179E}"/>
                </c:ext>
              </c:extLst>
            </c:dLbl>
            <c:dLbl>
              <c:idx val="1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0D07AED-7879-45CF-8D98-85B8326C9CF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465E-4739-8132-6532109B179E}"/>
                </c:ext>
              </c:extLst>
            </c:dLbl>
            <c:dLbl>
              <c:idx val="1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E926F82-D858-429E-9A80-07328DDD2DE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465E-4739-8132-6532109B179E}"/>
                </c:ext>
              </c:extLst>
            </c:dLbl>
            <c:dLbl>
              <c:idx val="1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30F6B18-4837-4BC3-9E77-9609422F0FB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465E-4739-8132-6532109B179E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597CD37-F3C4-46ED-AA0F-F95C21C23B6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465E-4739-8132-6532109B179E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2AB8083-4DB8-4E31-96C0-51AAD5354FF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465E-4739-8132-6532109B179E}"/>
                </c:ext>
              </c:extLst>
            </c:dLbl>
            <c:dLbl>
              <c:idx val="2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065A17B-B987-469C-A203-6DCCC720857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465E-4739-8132-6532109B179E}"/>
                </c:ext>
              </c:extLst>
            </c:dLbl>
            <c:dLbl>
              <c:idx val="2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8291A76-83A7-46CF-8730-57693827D7A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465E-4739-8132-6532109B179E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2F4345A-3538-483D-8555-1CE2DF2432A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465E-4739-8132-6532109B179E}"/>
                </c:ext>
              </c:extLst>
            </c:dLbl>
            <c:dLbl>
              <c:idx val="2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65ED209-4CBD-4357-98DC-459ADC8A020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465E-4739-8132-6532109B179E}"/>
                </c:ext>
              </c:extLst>
            </c:dLbl>
            <c:dLbl>
              <c:idx val="2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7D15A75-B475-4C80-851B-E6C5300A2C4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465E-4739-8132-6532109B179E}"/>
                </c:ext>
              </c:extLst>
            </c:dLbl>
            <c:dLbl>
              <c:idx val="2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D073C49-7D03-43D9-ADEC-D48A4052C75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465E-4739-8132-6532109B179E}"/>
                </c:ext>
              </c:extLst>
            </c:dLbl>
            <c:dLbl>
              <c:idx val="2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24429A6-17C9-482F-92B3-C3F0836D414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465E-4739-8132-6532109B179E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FF147BC-DFD2-4FDB-BF61-2A6427BB445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465E-4739-8132-6532109B179E}"/>
                </c:ext>
              </c:extLst>
            </c:dLbl>
            <c:dLbl>
              <c:idx val="2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BEB028C-1F85-45E8-B410-0EA2F096DB6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465E-4739-8132-6532109B179E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6688B7E-2F12-4201-9627-EB3877491DB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465E-4739-8132-6532109B179E}"/>
                </c:ext>
              </c:extLst>
            </c:dLbl>
            <c:dLbl>
              <c:idx val="3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704BB4E-BDE3-465F-A513-3F00ABEDC12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465E-4739-8132-6532109B179E}"/>
                </c:ext>
              </c:extLst>
            </c:dLbl>
            <c:dLbl>
              <c:idx val="3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BD9BE5C-CD0B-45D6-B742-D5D718E73EA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465E-4739-8132-6532109B179E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F2D649F-1D93-4CD4-802C-E411B80EB9E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465E-4739-8132-6532109B179E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D9D8616-4B5F-41BA-9950-4863E1D3C7C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465E-4739-8132-6532109B179E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DE09E44-134C-4B51-94D0-C4F65DF32F1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465E-4739-8132-6532109B17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Ref>
              <c:f>WorkSchedule!$I$12:$I$46</c:f>
              <c:numCache>
                <c:formatCode>m/d/yyyy</c:formatCode>
                <c:ptCount val="35"/>
                <c:pt idx="0">
                  <c:v>45783</c:v>
                </c:pt>
                <c:pt idx="1">
                  <c:v>45783</c:v>
                </c:pt>
                <c:pt idx="2">
                  <c:v>45783</c:v>
                </c:pt>
                <c:pt idx="3">
                  <c:v>45783</c:v>
                </c:pt>
                <c:pt idx="4">
                  <c:v>45803</c:v>
                </c:pt>
                <c:pt idx="5">
                  <c:v>45803</c:v>
                </c:pt>
                <c:pt idx="6">
                  <c:v>45791</c:v>
                </c:pt>
                <c:pt idx="7">
                  <c:v>45791</c:v>
                </c:pt>
                <c:pt idx="8">
                  <c:v>45805</c:v>
                </c:pt>
                <c:pt idx="9">
                  <c:v>45812</c:v>
                </c:pt>
                <c:pt idx="10">
                  <c:v>45833</c:v>
                </c:pt>
                <c:pt idx="11">
                  <c:v>45840</c:v>
                </c:pt>
                <c:pt idx="12">
                  <c:v>45840</c:v>
                </c:pt>
                <c:pt idx="13">
                  <c:v>45870</c:v>
                </c:pt>
                <c:pt idx="14">
                  <c:v>45877</c:v>
                </c:pt>
                <c:pt idx="15">
                  <c:v>45895</c:v>
                </c:pt>
                <c:pt idx="16">
                  <c:v>45902</c:v>
                </c:pt>
                <c:pt idx="17">
                  <c:v>45909</c:v>
                </c:pt>
                <c:pt idx="18">
                  <c:v>45877</c:v>
                </c:pt>
                <c:pt idx="19">
                  <c:v>45877</c:v>
                </c:pt>
                <c:pt idx="20">
                  <c:v>45877</c:v>
                </c:pt>
                <c:pt idx="21">
                  <c:v>45888</c:v>
                </c:pt>
                <c:pt idx="22">
                  <c:v>45895</c:v>
                </c:pt>
                <c:pt idx="23">
                  <c:v>45902</c:v>
                </c:pt>
                <c:pt idx="24">
                  <c:v>45902</c:v>
                </c:pt>
                <c:pt idx="25">
                  <c:v>45916</c:v>
                </c:pt>
                <c:pt idx="26">
                  <c:v>45930</c:v>
                </c:pt>
                <c:pt idx="27">
                  <c:v>45952</c:v>
                </c:pt>
                <c:pt idx="28">
                  <c:v>45974</c:v>
                </c:pt>
                <c:pt idx="29">
                  <c:v>45978</c:v>
                </c:pt>
                <c:pt idx="30">
                  <c:v>45980</c:v>
                </c:pt>
                <c:pt idx="31">
                  <c:v>45987</c:v>
                </c:pt>
                <c:pt idx="32">
                  <c:v>46010</c:v>
                </c:pt>
                <c:pt idx="33">
                  <c:v>46010</c:v>
                </c:pt>
                <c:pt idx="34">
                  <c:v>46016</c:v>
                </c:pt>
              </c:numCache>
            </c:numRef>
          </c:xVal>
          <c:yVal>
            <c:numLit>
              <c:formatCode>General</c:formatCode>
              <c:ptCount val="35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WorkSchedule!$D$12:$D$46</c15:f>
                <c15:dlblRangeCache>
                  <c:ptCount val="35"/>
                  <c:pt idx="0">
                    <c:v>Project Setup</c:v>
                  </c:pt>
                  <c:pt idx="1">
                    <c:v>Project Charter</c:v>
                  </c:pt>
                  <c:pt idx="2">
                    <c:v>Q &amp; R</c:v>
                  </c:pt>
                  <c:pt idx="3">
                    <c:v>Initial Analysis</c:v>
                  </c:pt>
                  <c:pt idx="4">
                    <c:v>Ease of Implementation</c:v>
                  </c:pt>
                  <c:pt idx="5">
                    <c:v>Project Approval</c:v>
                  </c:pt>
                  <c:pt idx="6">
                    <c:v>Rule Optimization</c:v>
                  </c:pt>
                  <c:pt idx="7">
                    <c:v>Project Planning</c:v>
                  </c:pt>
                  <c:pt idx="8">
                    <c:v>Business Requirement</c:v>
                  </c:pt>
                  <c:pt idx="9">
                    <c:v>Process &amp; Data Understanding</c:v>
                  </c:pt>
                  <c:pt idx="10">
                    <c:v>Data Collection &amp; Preparation</c:v>
                  </c:pt>
                  <c:pt idx="11">
                    <c:v>USL Rule opt.</c:v>
                  </c:pt>
                  <c:pt idx="12">
                    <c:v>SL Rule opt.</c:v>
                  </c:pt>
                  <c:pt idx="13">
                    <c:v>Result Update #1</c:v>
                  </c:pt>
                  <c:pt idx="14">
                    <c:v>Model Tuning &amp; Re-Evaluation</c:v>
                  </c:pt>
                  <c:pt idx="15">
                    <c:v>Result Update #2</c:v>
                  </c:pt>
                  <c:pt idx="16">
                    <c:v>Final Evaluation</c:v>
                  </c:pt>
                  <c:pt idx="17">
                    <c:v>Transition</c:v>
                  </c:pt>
                  <c:pt idx="18">
                    <c:v>Anomaly Detection</c:v>
                  </c:pt>
                  <c:pt idx="19">
                    <c:v>Project Planning</c:v>
                  </c:pt>
                  <c:pt idx="20">
                    <c:v>Business Requirement</c:v>
                  </c:pt>
                  <c:pt idx="21">
                    <c:v>Process &amp; Data Understanding</c:v>
                  </c:pt>
                  <c:pt idx="22">
                    <c:v>Data Collection &amp; Preparation</c:v>
                  </c:pt>
                  <c:pt idx="23">
                    <c:v>Model Training (HL)</c:v>
                  </c:pt>
                  <c:pt idx="24">
                    <c:v>Model Training (CC, XPC)</c:v>
                  </c:pt>
                  <c:pt idx="25">
                    <c:v>Validation #1</c:v>
                  </c:pt>
                  <c:pt idx="26">
                    <c:v>Model Tuning &amp; Re-Evaluation</c:v>
                  </c:pt>
                  <c:pt idx="27">
                    <c:v>Validation #2</c:v>
                  </c:pt>
                  <c:pt idx="28">
                    <c:v>Final Evaluation &amp; Approval </c:v>
                  </c:pt>
                  <c:pt idx="29">
                    <c:v>Deployment Planning</c:v>
                  </c:pt>
                  <c:pt idx="30">
                    <c:v>Deployment Execution</c:v>
                  </c:pt>
                  <c:pt idx="31">
                    <c:v>Monitoring &amp; Transition</c:v>
                  </c:pt>
                  <c:pt idx="32">
                    <c:v>Project Closure</c:v>
                  </c:pt>
                  <c:pt idx="33">
                    <c:v>Material Preparation</c:v>
                  </c:pt>
                  <c:pt idx="34">
                    <c:v>Project Sign-off meeting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3-465E-4739-8132-6532109B179E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45842</c:v>
                </c:pt>
                <c:pt idx="1">
                  <c:v>45842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465E-4739-8132-6532109B1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529919"/>
        <c:axId val="414790591"/>
      </c:scatterChart>
      <c:catAx>
        <c:axId val="39779884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397799807"/>
        <c:crosses val="autoZero"/>
        <c:auto val="1"/>
        <c:lblAlgn val="ctr"/>
        <c:lblOffset val="100"/>
        <c:noMultiLvlLbl val="0"/>
      </c:catAx>
      <c:valAx>
        <c:axId val="397799807"/>
        <c:scaling>
          <c:orientation val="minMax"/>
          <c:max val="46054"/>
          <c:min val="4571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397798847"/>
        <c:crosses val="autoZero"/>
        <c:crossBetween val="between"/>
        <c:majorUnit val="61.36"/>
        <c:minorUnit val="30.68"/>
      </c:valAx>
      <c:valAx>
        <c:axId val="414790591"/>
        <c:scaling>
          <c:orientation val="maxMin"/>
          <c:max val="36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745529919"/>
        <c:crosses val="max"/>
        <c:crossBetween val="midCat"/>
      </c:valAx>
      <c:valAx>
        <c:axId val="745529919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414790591"/>
        <c:crosses val="autoZero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FF5968-579F-45C9-8C7F-8F5AAE853895}">
  <sheetPr codeName="Chart1"/>
  <sheetViews>
    <sheetView zoomScale="8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3933365" cy="90731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2AD286-7E1A-837F-764E-5CA8B4A84F9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225425</xdr:colOff>
      <xdr:row>8</xdr:row>
      <xdr:rowOff>3175</xdr:rowOff>
    </xdr:from>
    <xdr:to>
      <xdr:col>44</xdr:col>
      <xdr:colOff>254000</xdr:colOff>
      <xdr:row>46</xdr:row>
      <xdr:rowOff>6350</xdr:rowOff>
    </xdr:to>
    <xdr:graphicFrame macro="">
      <xdr:nvGraphicFramePr>
        <xdr:cNvPr id="3" name="GanttChart">
          <a:extLst>
            <a:ext uri="{FF2B5EF4-FFF2-40B4-BE49-F238E27FC236}">
              <a16:creationId xmlns:a16="http://schemas.microsoft.com/office/drawing/2014/main" id="{4925A5F5-FDA6-BDDE-07D5-9FAB18DA5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38" t="s">
        <v>0</v>
      </c>
      <c r="B1" s="38" t="s">
        <v>1</v>
      </c>
    </row>
    <row r="2" spans="1:2" ht="15" customHeight="1" x14ac:dyDescent="0.3">
      <c r="A2" s="39" t="s">
        <v>2</v>
      </c>
      <c r="B2" s="40">
        <v>44564</v>
      </c>
    </row>
    <row r="3" spans="1:2" ht="15" customHeight="1" x14ac:dyDescent="0.3">
      <c r="A3" s="39" t="s">
        <v>3</v>
      </c>
      <c r="B3" s="41">
        <v>44608</v>
      </c>
    </row>
    <row r="4" spans="1:2" ht="15" customHeight="1" x14ac:dyDescent="0.3">
      <c r="A4" s="39" t="s">
        <v>4</v>
      </c>
      <c r="B4" s="40">
        <v>44657</v>
      </c>
    </row>
    <row r="5" spans="1:2" ht="15" customHeight="1" x14ac:dyDescent="0.3">
      <c r="A5" s="39" t="s">
        <v>5</v>
      </c>
      <c r="B5" s="41">
        <v>44664</v>
      </c>
    </row>
    <row r="6" spans="1:2" ht="15" customHeight="1" x14ac:dyDescent="0.3">
      <c r="A6" s="39" t="s">
        <v>5</v>
      </c>
      <c r="B6" s="40">
        <v>44665</v>
      </c>
    </row>
    <row r="7" spans="1:2" ht="15" customHeight="1" x14ac:dyDescent="0.3">
      <c r="A7" s="42" t="s">
        <v>5</v>
      </c>
      <c r="B7" s="41">
        <v>44666</v>
      </c>
    </row>
    <row r="8" spans="1:2" ht="15" customHeight="1" x14ac:dyDescent="0.3">
      <c r="A8" s="43" t="s">
        <v>6</v>
      </c>
      <c r="B8" s="40">
        <v>44683</v>
      </c>
    </row>
    <row r="9" spans="1:2" ht="15" customHeight="1" x14ac:dyDescent="0.3">
      <c r="A9" s="39" t="s">
        <v>7</v>
      </c>
      <c r="B9" s="41">
        <v>44685</v>
      </c>
    </row>
    <row r="10" spans="1:2" ht="15" customHeight="1" x14ac:dyDescent="0.3">
      <c r="A10" s="39" t="s">
        <v>8</v>
      </c>
      <c r="B10" s="40">
        <v>44697</v>
      </c>
    </row>
    <row r="11" spans="1:2" ht="15" customHeight="1" x14ac:dyDescent="0.3">
      <c r="A11" s="39" t="s">
        <v>9</v>
      </c>
      <c r="B11" s="41">
        <v>44715</v>
      </c>
    </row>
    <row r="12" spans="1:2" ht="15" customHeight="1" x14ac:dyDescent="0.3">
      <c r="A12" s="39" t="s">
        <v>10</v>
      </c>
      <c r="B12" s="40">
        <v>44755</v>
      </c>
    </row>
    <row r="13" spans="1:2" ht="15" customHeight="1" x14ac:dyDescent="0.3">
      <c r="A13" s="39" t="s">
        <v>11</v>
      </c>
      <c r="B13" s="41">
        <v>44770</v>
      </c>
    </row>
    <row r="14" spans="1:2" ht="15" customHeight="1" x14ac:dyDescent="0.3">
      <c r="A14" s="39" t="s">
        <v>12</v>
      </c>
      <c r="B14" s="40">
        <v>44771</v>
      </c>
    </row>
    <row r="15" spans="1:2" ht="15" customHeight="1" x14ac:dyDescent="0.3">
      <c r="A15" s="39" t="s">
        <v>13</v>
      </c>
      <c r="B15" s="41">
        <v>44785</v>
      </c>
    </row>
    <row r="16" spans="1:2" ht="15" customHeight="1" x14ac:dyDescent="0.3">
      <c r="A16" s="39" t="s">
        <v>14</v>
      </c>
      <c r="B16" s="40">
        <v>44841</v>
      </c>
    </row>
    <row r="17" spans="1:2" ht="15" customHeight="1" x14ac:dyDescent="0.3">
      <c r="A17" s="39" t="s">
        <v>15</v>
      </c>
      <c r="B17" s="40">
        <v>44847</v>
      </c>
    </row>
    <row r="18" spans="1:2" ht="15" customHeight="1" x14ac:dyDescent="0.3">
      <c r="A18" s="39" t="s">
        <v>16</v>
      </c>
      <c r="B18" s="41">
        <v>44848</v>
      </c>
    </row>
    <row r="19" spans="1:2" ht="15" customHeight="1" x14ac:dyDescent="0.3">
      <c r="A19" s="39" t="s">
        <v>17</v>
      </c>
      <c r="B19" s="40">
        <v>44858</v>
      </c>
    </row>
    <row r="20" spans="1:2" ht="15" customHeight="1" x14ac:dyDescent="0.3">
      <c r="A20" s="39" t="s">
        <v>18</v>
      </c>
      <c r="B20" s="41">
        <v>44900</v>
      </c>
    </row>
    <row r="21" spans="1:2" ht="15" customHeight="1" x14ac:dyDescent="0.3">
      <c r="A21" s="39" t="s">
        <v>19</v>
      </c>
      <c r="B21" s="40">
        <v>44907</v>
      </c>
    </row>
    <row r="22" spans="1:2" ht="15" customHeight="1" x14ac:dyDescent="0.3">
      <c r="A22" s="39" t="s">
        <v>20</v>
      </c>
      <c r="B22" s="41">
        <v>44928</v>
      </c>
    </row>
    <row r="23" spans="1:2" ht="15" customHeight="1" x14ac:dyDescent="0.3">
      <c r="A23" s="39" t="s">
        <v>21</v>
      </c>
      <c r="B23" s="41">
        <v>44991</v>
      </c>
    </row>
    <row r="24" spans="1:2" ht="15" customHeight="1" x14ac:dyDescent="0.3">
      <c r="A24" s="39" t="s">
        <v>4</v>
      </c>
      <c r="B24" s="41">
        <v>45022</v>
      </c>
    </row>
    <row r="25" spans="1:2" ht="15" customHeight="1" x14ac:dyDescent="0.3">
      <c r="A25" s="39" t="s">
        <v>5</v>
      </c>
      <c r="B25" s="41">
        <v>45029</v>
      </c>
    </row>
    <row r="26" spans="1:2" ht="15" customHeight="1" x14ac:dyDescent="0.3">
      <c r="A26" s="39" t="s">
        <v>5</v>
      </c>
      <c r="B26" s="41">
        <v>45030</v>
      </c>
    </row>
    <row r="27" spans="1:2" ht="15" customHeight="1" x14ac:dyDescent="0.3">
      <c r="A27" s="39" t="s">
        <v>22</v>
      </c>
      <c r="B27" s="41">
        <v>45047</v>
      </c>
    </row>
    <row r="28" spans="1:2" ht="15" customHeight="1" x14ac:dyDescent="0.3">
      <c r="A28" s="39" t="s">
        <v>23</v>
      </c>
      <c r="B28" s="41">
        <v>45050</v>
      </c>
    </row>
    <row r="29" spans="1:2" ht="15" customHeight="1" x14ac:dyDescent="0.3">
      <c r="A29" s="39" t="s">
        <v>24</v>
      </c>
      <c r="B29" s="41">
        <v>45082</v>
      </c>
    </row>
    <row r="30" spans="1:2" ht="15" customHeight="1" x14ac:dyDescent="0.3">
      <c r="A30" s="39" t="s">
        <v>11</v>
      </c>
      <c r="B30" s="41">
        <v>45135</v>
      </c>
    </row>
    <row r="31" spans="1:2" ht="15" customHeight="1" x14ac:dyDescent="0.3">
      <c r="A31" s="39" t="s">
        <v>25</v>
      </c>
      <c r="B31" s="41">
        <v>45139</v>
      </c>
    </row>
    <row r="32" spans="1:2" ht="15" customHeight="1" x14ac:dyDescent="0.3">
      <c r="A32" s="39" t="s">
        <v>26</v>
      </c>
      <c r="B32" s="41">
        <v>45152</v>
      </c>
    </row>
    <row r="33" spans="1:2" ht="15" customHeight="1" x14ac:dyDescent="0.3">
      <c r="A33" s="39" t="s">
        <v>15</v>
      </c>
      <c r="B33" s="40">
        <v>45212</v>
      </c>
    </row>
    <row r="34" spans="1:2" ht="15" customHeight="1" x14ac:dyDescent="0.3">
      <c r="A34" s="39" t="s">
        <v>27</v>
      </c>
      <c r="B34" s="41">
        <v>45222</v>
      </c>
    </row>
    <row r="35" spans="1:2" ht="15" customHeight="1" x14ac:dyDescent="0.3">
      <c r="A35" s="39" t="s">
        <v>18</v>
      </c>
      <c r="B35" s="41">
        <v>45265</v>
      </c>
    </row>
    <row r="36" spans="1:2" ht="15" customHeight="1" x14ac:dyDescent="0.3">
      <c r="A36" s="39" t="s">
        <v>19</v>
      </c>
      <c r="B36" s="41">
        <v>45271</v>
      </c>
    </row>
    <row r="37" spans="1:2" ht="15" customHeight="1" x14ac:dyDescent="0.3">
      <c r="A37" s="39" t="s">
        <v>20</v>
      </c>
      <c r="B37" s="41">
        <v>45289</v>
      </c>
    </row>
    <row r="38" spans="1:2" ht="15" customHeight="1" x14ac:dyDescent="0.3">
      <c r="A38" s="39" t="s">
        <v>20</v>
      </c>
      <c r="B38" s="41">
        <v>45292</v>
      </c>
    </row>
    <row r="39" spans="1:2" ht="15" customHeight="1" x14ac:dyDescent="0.3">
      <c r="A39" s="39" t="s">
        <v>21</v>
      </c>
      <c r="B39" s="41">
        <v>45348</v>
      </c>
    </row>
    <row r="40" spans="1:2" ht="15" customHeight="1" x14ac:dyDescent="0.3">
      <c r="A40" s="39" t="s">
        <v>4</v>
      </c>
      <c r="B40" s="41">
        <v>45390</v>
      </c>
    </row>
    <row r="41" spans="1:2" ht="15" customHeight="1" x14ac:dyDescent="0.3">
      <c r="A41" s="39" t="s">
        <v>5</v>
      </c>
      <c r="B41" s="41">
        <v>45394</v>
      </c>
    </row>
    <row r="42" spans="1:2" ht="15" customHeight="1" x14ac:dyDescent="0.3">
      <c r="A42" s="39" t="s">
        <v>5</v>
      </c>
      <c r="B42" s="41">
        <v>45397</v>
      </c>
    </row>
    <row r="43" spans="1:2" ht="15" customHeight="1" x14ac:dyDescent="0.3">
      <c r="A43" s="39" t="s">
        <v>22</v>
      </c>
      <c r="B43" s="41">
        <v>45413</v>
      </c>
    </row>
    <row r="44" spans="1:2" ht="15" customHeight="1" x14ac:dyDescent="0.3">
      <c r="A44" s="39" t="s">
        <v>23</v>
      </c>
      <c r="B44" s="41">
        <v>45418</v>
      </c>
    </row>
    <row r="45" spans="1:2" ht="15" customHeight="1" x14ac:dyDescent="0.3">
      <c r="A45" s="39" t="s">
        <v>24</v>
      </c>
      <c r="B45" s="41">
        <v>45434</v>
      </c>
    </row>
    <row r="46" spans="1:2" ht="15" customHeight="1" x14ac:dyDescent="0.3">
      <c r="A46" s="39" t="s">
        <v>9</v>
      </c>
      <c r="B46" s="41">
        <v>45446</v>
      </c>
    </row>
    <row r="47" spans="1:2" ht="15" customHeight="1" x14ac:dyDescent="0.3">
      <c r="A47" s="39" t="s">
        <v>25</v>
      </c>
      <c r="B47" s="41">
        <v>45495</v>
      </c>
    </row>
    <row r="48" spans="1:2" ht="15" customHeight="1" x14ac:dyDescent="0.3">
      <c r="A48" s="39" t="s">
        <v>11</v>
      </c>
      <c r="B48" s="41">
        <v>45502</v>
      </c>
    </row>
    <row r="49" spans="1:2" ht="15" customHeight="1" x14ac:dyDescent="0.3">
      <c r="A49" s="39" t="s">
        <v>26</v>
      </c>
      <c r="B49" s="41">
        <v>45516</v>
      </c>
    </row>
    <row r="50" spans="1:2" ht="15" customHeight="1" x14ac:dyDescent="0.3">
      <c r="A50" s="39" t="s">
        <v>15</v>
      </c>
      <c r="B50" s="41">
        <v>45579</v>
      </c>
    </row>
    <row r="51" spans="1:2" ht="15" customHeight="1" x14ac:dyDescent="0.3">
      <c r="A51" s="39" t="s">
        <v>27</v>
      </c>
      <c r="B51" s="41">
        <v>45588</v>
      </c>
    </row>
    <row r="52" spans="1:2" ht="15" customHeight="1" x14ac:dyDescent="0.3">
      <c r="A52" s="39" t="s">
        <v>28</v>
      </c>
      <c r="B52" s="41">
        <v>45590</v>
      </c>
    </row>
    <row r="53" spans="1:2" ht="15" customHeight="1" x14ac:dyDescent="0.3">
      <c r="A53" s="39" t="s">
        <v>18</v>
      </c>
      <c r="B53" s="41">
        <v>45631</v>
      </c>
    </row>
    <row r="54" spans="1:2" ht="15" customHeight="1" x14ac:dyDescent="0.3">
      <c r="A54" s="39" t="s">
        <v>19</v>
      </c>
      <c r="B54" s="41">
        <v>45636</v>
      </c>
    </row>
    <row r="55" spans="1:2" ht="15" customHeight="1" x14ac:dyDescent="0.3">
      <c r="A55" s="39" t="s">
        <v>20</v>
      </c>
      <c r="B55" s="41">
        <v>45657</v>
      </c>
    </row>
    <row r="56" spans="1:2" ht="15" customHeight="1" x14ac:dyDescent="0.3">
      <c r="A56" s="39" t="s">
        <v>29</v>
      </c>
      <c r="B56" s="41">
        <v>45658</v>
      </c>
    </row>
    <row r="57" spans="1:2" ht="15" customHeight="1" x14ac:dyDescent="0.3">
      <c r="A57" s="39" t="s">
        <v>21</v>
      </c>
      <c r="B57" s="41">
        <v>45700</v>
      </c>
    </row>
    <row r="58" spans="1:2" ht="15" customHeight="1" x14ac:dyDescent="0.3">
      <c r="A58" s="39" t="s">
        <v>30</v>
      </c>
      <c r="B58" s="41">
        <v>45754</v>
      </c>
    </row>
    <row r="59" spans="1:2" ht="15" customHeight="1" x14ac:dyDescent="0.3">
      <c r="A59" s="39" t="s">
        <v>5</v>
      </c>
      <c r="B59" s="41">
        <v>45761</v>
      </c>
    </row>
    <row r="60" spans="1:2" ht="15" customHeight="1" x14ac:dyDescent="0.3">
      <c r="A60" s="39" t="s">
        <v>5</v>
      </c>
      <c r="B60" s="41">
        <v>45762</v>
      </c>
    </row>
    <row r="61" spans="1:2" ht="15" customHeight="1" x14ac:dyDescent="0.3">
      <c r="A61" s="39" t="s">
        <v>22</v>
      </c>
      <c r="B61" s="41">
        <v>45778</v>
      </c>
    </row>
    <row r="62" spans="1:2" ht="15" customHeight="1" x14ac:dyDescent="0.3">
      <c r="A62" s="39" t="s">
        <v>31</v>
      </c>
      <c r="B62" s="41">
        <v>45782</v>
      </c>
    </row>
    <row r="63" spans="1:2" ht="15" customHeight="1" x14ac:dyDescent="0.3">
      <c r="A63" s="39" t="s">
        <v>32</v>
      </c>
      <c r="B63" s="41">
        <v>45789</v>
      </c>
    </row>
    <row r="64" spans="1:2" ht="15" customHeight="1" x14ac:dyDescent="0.3">
      <c r="A64" s="39" t="s">
        <v>33</v>
      </c>
      <c r="B64" s="41">
        <v>45810</v>
      </c>
    </row>
    <row r="65" spans="1:2" ht="15" customHeight="1" x14ac:dyDescent="0.3">
      <c r="A65" s="39" t="s">
        <v>9</v>
      </c>
      <c r="B65" s="41">
        <v>45811</v>
      </c>
    </row>
    <row r="66" spans="1:2" ht="15" customHeight="1" x14ac:dyDescent="0.3">
      <c r="A66" s="39" t="s">
        <v>25</v>
      </c>
      <c r="B66" s="41">
        <v>45848</v>
      </c>
    </row>
    <row r="67" spans="1:2" ht="15" customHeight="1" x14ac:dyDescent="0.3">
      <c r="A67" s="39" t="s">
        <v>11</v>
      </c>
      <c r="B67" s="41">
        <v>45866</v>
      </c>
    </row>
    <row r="68" spans="1:2" ht="15" customHeight="1" x14ac:dyDescent="0.3">
      <c r="A68" s="39" t="s">
        <v>33</v>
      </c>
      <c r="B68" s="41">
        <v>45880</v>
      </c>
    </row>
    <row r="69" spans="1:2" ht="15" customHeight="1" x14ac:dyDescent="0.3">
      <c r="A69" s="39" t="s">
        <v>26</v>
      </c>
      <c r="B69" s="41">
        <v>45881</v>
      </c>
    </row>
    <row r="70" spans="1:2" ht="15" customHeight="1" x14ac:dyDescent="0.3">
      <c r="A70" s="39" t="s">
        <v>15</v>
      </c>
      <c r="B70" s="41">
        <v>45943</v>
      </c>
    </row>
    <row r="71" spans="1:2" ht="15" customHeight="1" x14ac:dyDescent="0.3">
      <c r="A71" s="39" t="s">
        <v>27</v>
      </c>
      <c r="B71" s="41">
        <v>45953</v>
      </c>
    </row>
    <row r="72" spans="1:2" ht="15" customHeight="1" x14ac:dyDescent="0.3">
      <c r="A72" s="39" t="s">
        <v>18</v>
      </c>
      <c r="B72" s="41">
        <v>45996</v>
      </c>
    </row>
    <row r="73" spans="1:2" ht="15" customHeight="1" x14ac:dyDescent="0.3">
      <c r="A73" s="39" t="s">
        <v>34</v>
      </c>
      <c r="B73" s="41">
        <v>46001</v>
      </c>
    </row>
    <row r="74" spans="1:2" ht="15" customHeight="1" x14ac:dyDescent="0.3">
      <c r="A74" s="39" t="s">
        <v>35</v>
      </c>
      <c r="B74" s="41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14D54-2D76-4743-A7DF-F159E564CA59}">
  <sheetPr codeName="Sheet9"/>
  <dimension ref="B1:AF46"/>
  <sheetViews>
    <sheetView showGridLines="0" zoomScaleNormal="100" workbookViewId="0">
      <selection activeCell="H7" sqref="H7"/>
    </sheetView>
  </sheetViews>
  <sheetFormatPr defaultColWidth="8" defaultRowHeight="13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hidden="1" customWidth="1" outlineLevel="1"/>
    <col min="6" max="6" width="10.58203125" style="1" customWidth="1" collapsed="1"/>
    <col min="7" max="8" width="7.58203125" style="1" customWidth="1"/>
    <col min="9" max="10" width="10.58203125" style="1" customWidth="1"/>
    <col min="11" max="13" width="7.58203125" style="1" customWidth="1"/>
    <col min="14" max="19" width="7.58203125" style="1" hidden="1" customWidth="1" outlineLevel="1"/>
    <col min="20" max="20" width="7.58203125" style="1" customWidth="1" collapsed="1"/>
    <col min="21" max="21" width="7.58203125" style="1" customWidth="1"/>
    <col min="22" max="31" width="7.58203125" style="1" hidden="1" customWidth="1" outlineLevel="1"/>
    <col min="32" max="32" width="3.58203125" style="1" customWidth="1" collapsed="1"/>
    <col min="33" max="16384" width="8" style="1"/>
  </cols>
  <sheetData>
    <row r="1" spans="2:32" x14ac:dyDescent="0.3">
      <c r="B1" s="1" t="s">
        <v>88</v>
      </c>
    </row>
    <row r="2" spans="2:32" ht="15" customHeight="1" x14ac:dyDescent="0.3">
      <c r="B2" s="23" t="s">
        <v>52</v>
      </c>
    </row>
    <row r="3" spans="2:32" ht="15" customHeight="1" x14ac:dyDescent="0.3">
      <c r="B3" s="25" t="s">
        <v>53</v>
      </c>
      <c r="C3" s="26" t="s">
        <v>185</v>
      </c>
    </row>
    <row r="4" spans="2:32" ht="15" customHeight="1" x14ac:dyDescent="0.3">
      <c r="B4" s="29" t="s">
        <v>54</v>
      </c>
      <c r="C4" s="30" t="s">
        <v>186</v>
      </c>
    </row>
    <row r="5" spans="2:32" ht="15" customHeight="1" x14ac:dyDescent="0.3">
      <c r="B5" s="24" t="s">
        <v>55</v>
      </c>
      <c r="C5" s="27">
        <f ca="1">TODAY()</f>
        <v>45842</v>
      </c>
      <c r="AD5" s="34"/>
    </row>
    <row r="6" spans="2:32" ht="15" customHeight="1" x14ac:dyDescent="0.3">
      <c r="B6" s="24" t="s">
        <v>39</v>
      </c>
      <c r="C6" s="27">
        <f>MIN(I12:J46)</f>
        <v>45783</v>
      </c>
    </row>
    <row r="7" spans="2:32" ht="15" customHeight="1" x14ac:dyDescent="0.3">
      <c r="B7" s="24" t="s">
        <v>51</v>
      </c>
      <c r="C7" s="27">
        <f>MAX(I12:J46)</f>
        <v>46017</v>
      </c>
    </row>
    <row r="8" spans="2:32" ht="15" customHeight="1" x14ac:dyDescent="0.3">
      <c r="B8" s="28" t="s">
        <v>42</v>
      </c>
      <c r="C8" s="33" t="str">
        <f>TEXT(C7-C6,"#,##0") &amp; " days"</f>
        <v>234 days</v>
      </c>
    </row>
    <row r="9" spans="2:32" ht="15" customHeight="1" x14ac:dyDescent="0.3"/>
    <row r="10" spans="2:32" ht="15" customHeight="1" x14ac:dyDescent="0.3">
      <c r="B10" s="152" t="s">
        <v>45</v>
      </c>
      <c r="C10" s="143" t="s">
        <v>37</v>
      </c>
      <c r="D10" s="143" t="s">
        <v>48</v>
      </c>
      <c r="E10" s="143" t="s">
        <v>57</v>
      </c>
      <c r="F10" s="143" t="s">
        <v>36</v>
      </c>
      <c r="G10" s="143" t="s">
        <v>42</v>
      </c>
      <c r="H10" s="143" t="s">
        <v>56</v>
      </c>
      <c r="I10" s="149" t="s">
        <v>39</v>
      </c>
      <c r="J10" s="149" t="s">
        <v>51</v>
      </c>
      <c r="K10" s="151" t="s">
        <v>58</v>
      </c>
      <c r="L10" s="149" t="s">
        <v>40</v>
      </c>
      <c r="M10" s="143" t="s">
        <v>41</v>
      </c>
      <c r="N10" s="140" t="s">
        <v>38</v>
      </c>
      <c r="O10" s="141"/>
      <c r="P10" s="141"/>
      <c r="Q10" s="141"/>
      <c r="R10" s="141"/>
      <c r="S10" s="142"/>
      <c r="T10" s="143" t="s">
        <v>66</v>
      </c>
      <c r="U10" s="145" t="s">
        <v>67</v>
      </c>
      <c r="V10" s="146" t="s">
        <v>89</v>
      </c>
      <c r="W10" s="147"/>
      <c r="X10" s="147"/>
      <c r="Y10" s="147"/>
      <c r="Z10" s="147"/>
      <c r="AA10" s="147"/>
      <c r="AB10" s="147"/>
      <c r="AC10" s="147"/>
      <c r="AD10" s="147"/>
      <c r="AE10" s="148"/>
      <c r="AF10" s="37"/>
    </row>
    <row r="11" spans="2:32" ht="15" customHeight="1" x14ac:dyDescent="0.3">
      <c r="B11" s="153"/>
      <c r="C11" s="144"/>
      <c r="D11" s="144"/>
      <c r="E11" s="144"/>
      <c r="F11" s="144"/>
      <c r="G11" s="144"/>
      <c r="H11" s="144"/>
      <c r="I11" s="150"/>
      <c r="J11" s="150"/>
      <c r="K11" s="150"/>
      <c r="L11" s="150"/>
      <c r="M11" s="144"/>
      <c r="N11" s="31" t="s">
        <v>43</v>
      </c>
      <c r="O11" s="31" t="s">
        <v>44</v>
      </c>
      <c r="P11" s="32" t="s">
        <v>47</v>
      </c>
      <c r="Q11" s="32" t="s">
        <v>46</v>
      </c>
      <c r="R11" s="32" t="s">
        <v>49</v>
      </c>
      <c r="S11" s="32" t="s">
        <v>50</v>
      </c>
      <c r="T11" s="144" t="s">
        <v>68</v>
      </c>
      <c r="U11" s="144" t="s">
        <v>68</v>
      </c>
      <c r="V11" s="36" t="s">
        <v>107</v>
      </c>
      <c r="W11" s="35" t="s">
        <v>187</v>
      </c>
      <c r="X11" s="36" t="s">
        <v>188</v>
      </c>
      <c r="Y11" s="35" t="s">
        <v>189</v>
      </c>
      <c r="Z11" s="36" t="s">
        <v>61</v>
      </c>
      <c r="AA11" s="35" t="s">
        <v>62</v>
      </c>
      <c r="AB11" s="36" t="s">
        <v>63</v>
      </c>
      <c r="AC11" s="35" t="s">
        <v>64</v>
      </c>
      <c r="AD11" s="36" t="s">
        <v>65</v>
      </c>
      <c r="AE11" s="106" t="s">
        <v>90</v>
      </c>
      <c r="AF11" s="37"/>
    </row>
    <row r="12" spans="2:32" ht="12" customHeight="1" x14ac:dyDescent="0.3">
      <c r="B12" s="92">
        <v>1</v>
      </c>
      <c r="C12" s="93" t="s">
        <v>91</v>
      </c>
      <c r="D12" s="93" t="s">
        <v>91</v>
      </c>
      <c r="E12" s="105" t="s">
        <v>92</v>
      </c>
      <c r="F12" s="94">
        <f>I12</f>
        <v>45783</v>
      </c>
      <c r="G12" s="95">
        <v>27</v>
      </c>
      <c r="H12" s="96">
        <f>B12</f>
        <v>1</v>
      </c>
      <c r="I12" s="94">
        <f>MIN(I13:I18)</f>
        <v>45783</v>
      </c>
      <c r="J12" s="94" cm="1">
        <f t="array" ref="J12">FinishDate(I12,G12,holidays)</f>
        <v>45825</v>
      </c>
      <c r="K12" s="97">
        <f t="shared" ref="K12:K46" si="0">J12-I12</f>
        <v>42</v>
      </c>
      <c r="L12" s="98" cm="1">
        <f t="array" aca="1" ref="L12" ca="1">WeightedProgress(L13:L17,G13:G17)</f>
        <v>1</v>
      </c>
      <c r="M12" s="99" cm="1">
        <f t="array" aca="1" ref="M12" ca="1">WeightedProgress(M13:M17,G13:G17)</f>
        <v>1</v>
      </c>
      <c r="N12" s="100">
        <f t="shared" ref="N12:N46" ca="1" si="1">IF(M12&lt;L12,K12,0)</f>
        <v>0</v>
      </c>
      <c r="O12" s="100">
        <f t="shared" ref="O12:O46" ca="1" si="2">IF(M12=1,K12,0)</f>
        <v>42</v>
      </c>
      <c r="P12" s="100">
        <f t="shared" ref="P12:P46" ca="1" si="3">IF(AND(M12&gt;=L12,M12&gt;0,M12&lt;1),K12,0)</f>
        <v>0</v>
      </c>
      <c r="Q12" s="100">
        <f t="shared" ref="Q12:Q46" ca="1" si="4">K12-SUM(N12:P12)</f>
        <v>0</v>
      </c>
      <c r="R12" s="101" t="str">
        <f t="shared" ref="R12:R46" si="5">IF(H12=B12,D12,D12 &amp; TEXT(J12," ([$-en-US]dd-mmm)"))</f>
        <v>Project Setup</v>
      </c>
      <c r="S12" s="102" t="str" cm="1">
        <f t="array" aca="1" ref="S12" ca="1">GetProgressLabel(L12,M12)</f>
        <v>100%</v>
      </c>
      <c r="T12" s="103" t="b">
        <v>1</v>
      </c>
      <c r="U12" s="103" t="s">
        <v>78</v>
      </c>
      <c r="V12" s="104">
        <v>0</v>
      </c>
      <c r="W12" s="104">
        <v>0</v>
      </c>
      <c r="X12" s="104">
        <v>0</v>
      </c>
      <c r="Y12" s="104">
        <v>0</v>
      </c>
      <c r="Z12" s="104"/>
      <c r="AA12" s="104"/>
      <c r="AB12" s="104"/>
      <c r="AC12" s="104"/>
      <c r="AD12" s="104"/>
      <c r="AE12" s="107"/>
      <c r="AF12" s="37"/>
    </row>
    <row r="13" spans="2:32" ht="12" customHeight="1" x14ac:dyDescent="0.3">
      <c r="B13" s="2">
        <f t="shared" ref="B13:B46" si="6">B12+1</f>
        <v>2</v>
      </c>
      <c r="C13" s="20" t="s">
        <v>93</v>
      </c>
      <c r="D13" s="3" t="s">
        <v>94</v>
      </c>
      <c r="E13" s="20" t="s">
        <v>95</v>
      </c>
      <c r="F13" s="4">
        <v>45782</v>
      </c>
      <c r="G13" s="46">
        <v>12</v>
      </c>
      <c r="H13" s="5">
        <f>H12</f>
        <v>1</v>
      </c>
      <c r="I13" s="6">
        <f t="shared" ref="I13" si="7">IFERROR(WORKDAY(F13-1,1,holidays),0)</f>
        <v>45783</v>
      </c>
      <c r="J13" s="6" cm="1">
        <f t="array" ref="J13">FinishDate(I13,G13,holidays)</f>
        <v>45800</v>
      </c>
      <c r="K13" s="44">
        <f t="shared" si="0"/>
        <v>17</v>
      </c>
      <c r="L13" s="16" cm="1">
        <f t="array" aca="1" ref="L13" ca="1">AutoProgress(I13,J13,holidays,$C$5)</f>
        <v>1</v>
      </c>
      <c r="M13" s="17">
        <f t="shared" ref="M13:M17" ca="1" si="8">L13</f>
        <v>1</v>
      </c>
      <c r="N13" s="7">
        <f t="shared" ca="1" si="1"/>
        <v>0</v>
      </c>
      <c r="O13" s="7">
        <f t="shared" ca="1" si="2"/>
        <v>17</v>
      </c>
      <c r="P13" s="7">
        <f t="shared" ca="1" si="3"/>
        <v>0</v>
      </c>
      <c r="Q13" s="7">
        <f t="shared" ca="1" si="4"/>
        <v>0</v>
      </c>
      <c r="R13" s="57" t="str">
        <f t="shared" si="5"/>
        <v>Project Charter (23-May)</v>
      </c>
      <c r="S13" s="8" t="str" cm="1">
        <f t="array" aca="1" ref="S13" ca="1">GetProgressLabel(L13,M13)</f>
        <v>100%</v>
      </c>
      <c r="T13" s="59" t="b">
        <v>0</v>
      </c>
      <c r="U13" s="59" t="s">
        <v>78</v>
      </c>
      <c r="V13" s="56">
        <v>1</v>
      </c>
      <c r="W13" s="56">
        <v>1</v>
      </c>
      <c r="X13" s="56">
        <v>0</v>
      </c>
      <c r="Y13" s="56">
        <v>0</v>
      </c>
      <c r="Z13" s="56"/>
      <c r="AA13" s="56"/>
      <c r="AB13" s="56"/>
      <c r="AC13" s="56"/>
      <c r="AD13" s="56"/>
      <c r="AE13" s="108"/>
      <c r="AF13" s="37"/>
    </row>
    <row r="14" spans="2:32" ht="12" customHeight="1" x14ac:dyDescent="0.3">
      <c r="B14" s="2">
        <f t="shared" si="6"/>
        <v>3</v>
      </c>
      <c r="C14" s="20" t="s">
        <v>96</v>
      </c>
      <c r="D14" s="20" t="s">
        <v>190</v>
      </c>
      <c r="E14" s="20" t="s">
        <v>97</v>
      </c>
      <c r="F14" s="4">
        <f>F13</f>
        <v>45782</v>
      </c>
      <c r="G14" s="46">
        <v>12</v>
      </c>
      <c r="H14" s="5">
        <f t="shared" ref="H14:H17" si="9">H13</f>
        <v>1</v>
      </c>
      <c r="I14" s="6">
        <f t="shared" ref="I14" si="10">IFERROR(WORKDAY(F14-1,1,holidays),0)</f>
        <v>45783</v>
      </c>
      <c r="J14" s="6" cm="1">
        <f t="array" ref="J14">FinishDate(I14,G14,holidays)</f>
        <v>45800</v>
      </c>
      <c r="K14" s="44">
        <f t="shared" si="0"/>
        <v>17</v>
      </c>
      <c r="L14" s="16" cm="1">
        <f t="array" aca="1" ref="L14" ca="1">AutoProgress(I14,J14,holidays,$C$5)</f>
        <v>1</v>
      </c>
      <c r="M14" s="17">
        <f t="shared" ca="1" si="8"/>
        <v>1</v>
      </c>
      <c r="N14" s="7">
        <f t="shared" ca="1" si="1"/>
        <v>0</v>
      </c>
      <c r="O14" s="7">
        <f t="shared" ca="1" si="2"/>
        <v>17</v>
      </c>
      <c r="P14" s="7">
        <f t="shared" ca="1" si="3"/>
        <v>0</v>
      </c>
      <c r="Q14" s="7">
        <f t="shared" ca="1" si="4"/>
        <v>0</v>
      </c>
      <c r="R14" s="57" t="str">
        <f t="shared" si="5"/>
        <v>Q &amp; R (23-May)</v>
      </c>
      <c r="S14" s="8" t="str" cm="1">
        <f t="array" aca="1" ref="S14" ca="1">GetProgressLabel(L14,M14)</f>
        <v>100%</v>
      </c>
      <c r="T14" s="59" t="b">
        <v>0</v>
      </c>
      <c r="U14" s="59" t="s">
        <v>78</v>
      </c>
      <c r="V14" s="56">
        <v>1</v>
      </c>
      <c r="W14" s="56">
        <v>1</v>
      </c>
      <c r="X14" s="56">
        <v>0</v>
      </c>
      <c r="Y14" s="56">
        <v>0</v>
      </c>
      <c r="Z14" s="56"/>
      <c r="AA14" s="56"/>
      <c r="AB14" s="56"/>
      <c r="AC14" s="56"/>
      <c r="AD14" s="56"/>
      <c r="AE14" s="108"/>
      <c r="AF14" s="37"/>
    </row>
    <row r="15" spans="2:32" ht="12" customHeight="1" x14ac:dyDescent="0.3">
      <c r="B15" s="2">
        <f t="shared" si="6"/>
        <v>4</v>
      </c>
      <c r="C15" s="20" t="s">
        <v>98</v>
      </c>
      <c r="D15" s="3" t="s">
        <v>99</v>
      </c>
      <c r="E15" s="20" t="s">
        <v>100</v>
      </c>
      <c r="F15" s="4">
        <f>F14</f>
        <v>45782</v>
      </c>
      <c r="G15" s="46">
        <v>12</v>
      </c>
      <c r="H15" s="5">
        <f t="shared" si="9"/>
        <v>1</v>
      </c>
      <c r="I15" s="6">
        <f t="shared" ref="I15" si="11">IFERROR(WORKDAY(F15-1,1,holidays),0)</f>
        <v>45783</v>
      </c>
      <c r="J15" s="6" cm="1">
        <f t="array" ref="J15">FinishDate(I15,G15,holidays)</f>
        <v>45800</v>
      </c>
      <c r="K15" s="44">
        <f t="shared" si="0"/>
        <v>17</v>
      </c>
      <c r="L15" s="16" cm="1">
        <f t="array" aca="1" ref="L15" ca="1">AutoProgress(I15,J15,holidays,$C$5)</f>
        <v>1</v>
      </c>
      <c r="M15" s="17">
        <f t="shared" ca="1" si="8"/>
        <v>1</v>
      </c>
      <c r="N15" s="7">
        <f t="shared" ca="1" si="1"/>
        <v>0</v>
      </c>
      <c r="O15" s="7">
        <f t="shared" ca="1" si="2"/>
        <v>17</v>
      </c>
      <c r="P15" s="7">
        <f t="shared" ca="1" si="3"/>
        <v>0</v>
      </c>
      <c r="Q15" s="7">
        <f t="shared" ca="1" si="4"/>
        <v>0</v>
      </c>
      <c r="R15" s="57" t="str">
        <f t="shared" si="5"/>
        <v>Initial Analysis (23-May)</v>
      </c>
      <c r="S15" s="8" t="str" cm="1">
        <f t="array" aca="1" ref="S15" ca="1">GetProgressLabel(L15,M15)</f>
        <v>100%</v>
      </c>
      <c r="T15" s="59" t="b">
        <v>0</v>
      </c>
      <c r="U15" s="59" t="s">
        <v>78</v>
      </c>
      <c r="V15" s="56">
        <v>2</v>
      </c>
      <c r="W15" s="56">
        <v>2</v>
      </c>
      <c r="X15" s="56">
        <v>0</v>
      </c>
      <c r="Y15" s="56">
        <v>0</v>
      </c>
      <c r="Z15" s="56"/>
      <c r="AA15" s="56"/>
      <c r="AB15" s="56"/>
      <c r="AC15" s="56"/>
      <c r="AD15" s="56"/>
      <c r="AE15" s="108"/>
      <c r="AF15" s="37"/>
    </row>
    <row r="16" spans="2:32" ht="12" customHeight="1" x14ac:dyDescent="0.3">
      <c r="B16" s="2">
        <f t="shared" si="6"/>
        <v>5</v>
      </c>
      <c r="C16" s="20" t="s">
        <v>101</v>
      </c>
      <c r="D16" s="20" t="s">
        <v>102</v>
      </c>
      <c r="E16" s="20" t="s">
        <v>103</v>
      </c>
      <c r="F16" s="4">
        <f>J15+3</f>
        <v>45803</v>
      </c>
      <c r="G16" s="46">
        <v>10</v>
      </c>
      <c r="H16" s="5">
        <f t="shared" si="9"/>
        <v>1</v>
      </c>
      <c r="I16" s="6">
        <f t="shared" ref="I16" si="12">IFERROR(WORKDAY(F16-1,1,holidays),0)</f>
        <v>45803</v>
      </c>
      <c r="J16" s="6" cm="1">
        <f t="array" ref="J16">FinishDate(I16,G16,holidays)</f>
        <v>45819</v>
      </c>
      <c r="K16" s="44">
        <f t="shared" si="0"/>
        <v>16</v>
      </c>
      <c r="L16" s="16" cm="1">
        <f t="array" aca="1" ref="L16" ca="1">AutoProgress(I16,J16,holidays,$C$5)</f>
        <v>1</v>
      </c>
      <c r="M16" s="17">
        <f t="shared" ca="1" si="8"/>
        <v>1</v>
      </c>
      <c r="N16" s="7">
        <f t="shared" ca="1" si="1"/>
        <v>0</v>
      </c>
      <c r="O16" s="7">
        <f t="shared" ca="1" si="2"/>
        <v>16</v>
      </c>
      <c r="P16" s="7">
        <f t="shared" ca="1" si="3"/>
        <v>0</v>
      </c>
      <c r="Q16" s="7">
        <f t="shared" ca="1" si="4"/>
        <v>0</v>
      </c>
      <c r="R16" s="57" t="str">
        <f t="shared" si="5"/>
        <v>Ease of Implementation (11-Jun)</v>
      </c>
      <c r="S16" s="8" t="str" cm="1">
        <f t="array" aca="1" ref="S16" ca="1">GetProgressLabel(L16,M16)</f>
        <v>100%</v>
      </c>
      <c r="T16" s="59" t="b">
        <v>1</v>
      </c>
      <c r="U16" s="59" t="s">
        <v>78</v>
      </c>
      <c r="V16" s="56">
        <v>2</v>
      </c>
      <c r="W16" s="56">
        <v>2</v>
      </c>
      <c r="X16" s="56">
        <v>0</v>
      </c>
      <c r="Y16" s="56">
        <v>0</v>
      </c>
      <c r="Z16" s="56"/>
      <c r="AA16" s="56"/>
      <c r="AB16" s="56"/>
      <c r="AC16" s="56"/>
      <c r="AD16" s="56"/>
      <c r="AE16" s="108"/>
      <c r="AF16" s="37"/>
    </row>
    <row r="17" spans="2:32" ht="12" customHeight="1" x14ac:dyDescent="0.3">
      <c r="B17" s="9">
        <f t="shared" si="6"/>
        <v>6</v>
      </c>
      <c r="C17" s="21" t="s">
        <v>104</v>
      </c>
      <c r="D17" s="21" t="s">
        <v>105</v>
      </c>
      <c r="E17" s="21" t="s">
        <v>106</v>
      </c>
      <c r="F17" s="111">
        <f>F16</f>
        <v>45803</v>
      </c>
      <c r="G17" s="112">
        <v>14</v>
      </c>
      <c r="H17" s="113">
        <f t="shared" si="9"/>
        <v>1</v>
      </c>
      <c r="I17" s="114">
        <f t="shared" ref="I17" si="13">IFERROR(WORKDAY(F17-1,1,holidays),0)</f>
        <v>45803</v>
      </c>
      <c r="J17" s="114" cm="1">
        <f t="array" ref="J17">FinishDate(I17,G17,holidays)</f>
        <v>45825</v>
      </c>
      <c r="K17" s="115">
        <f t="shared" si="0"/>
        <v>22</v>
      </c>
      <c r="L17" s="116" cm="1">
        <f t="array" aca="1" ref="L17" ca="1">AutoProgress(I17,J17,holidays,$C$5)</f>
        <v>1</v>
      </c>
      <c r="M17" s="117">
        <f t="shared" ca="1" si="8"/>
        <v>1</v>
      </c>
      <c r="N17" s="118">
        <f t="shared" ca="1" si="1"/>
        <v>0</v>
      </c>
      <c r="O17" s="118">
        <f t="shared" ca="1" si="2"/>
        <v>22</v>
      </c>
      <c r="P17" s="118">
        <f t="shared" ca="1" si="3"/>
        <v>0</v>
      </c>
      <c r="Q17" s="118">
        <f t="shared" ca="1" si="4"/>
        <v>0</v>
      </c>
      <c r="R17" s="119" t="str">
        <f t="shared" si="5"/>
        <v>Project Approval (17-Jun)</v>
      </c>
      <c r="S17" s="120" t="str" cm="1">
        <f t="array" aca="1" ref="S17" ca="1">GetProgressLabel(L17,M17)</f>
        <v>100%</v>
      </c>
      <c r="T17" s="121" t="b">
        <v>1</v>
      </c>
      <c r="U17" s="121" t="s">
        <v>78</v>
      </c>
      <c r="V17" s="122">
        <v>1</v>
      </c>
      <c r="W17" s="122">
        <v>1</v>
      </c>
      <c r="X17" s="122">
        <v>0</v>
      </c>
      <c r="Y17" s="122">
        <v>0</v>
      </c>
      <c r="Z17" s="122"/>
      <c r="AA17" s="122"/>
      <c r="AB17" s="122"/>
      <c r="AC17" s="122"/>
      <c r="AD17" s="122"/>
      <c r="AE17" s="123"/>
      <c r="AF17" s="37"/>
    </row>
    <row r="18" spans="2:32" ht="12" customHeight="1" x14ac:dyDescent="0.3">
      <c r="B18" s="125">
        <f t="shared" si="6"/>
        <v>7</v>
      </c>
      <c r="C18" s="126" t="s">
        <v>191</v>
      </c>
      <c r="D18" s="126" t="s">
        <v>192</v>
      </c>
      <c r="E18" s="49" t="s">
        <v>193</v>
      </c>
      <c r="F18" s="127">
        <f>I18</f>
        <v>45791</v>
      </c>
      <c r="G18" s="128">
        <v>93</v>
      </c>
      <c r="H18" s="129">
        <f>B18</f>
        <v>7</v>
      </c>
      <c r="I18" s="127">
        <f>MIN(I19:I29)</f>
        <v>45791</v>
      </c>
      <c r="J18" s="127">
        <f>MAX(J19:J29)</f>
        <v>45930</v>
      </c>
      <c r="K18" s="130">
        <f t="shared" si="0"/>
        <v>139</v>
      </c>
      <c r="L18" s="131" cm="1">
        <f t="array" aca="1" ref="L18" ca="1">WeightedProgress(L19:L29,G19:G29)</f>
        <v>0.36666666666666664</v>
      </c>
      <c r="M18" s="132" cm="1">
        <f t="array" aca="1" ref="M18" ca="1">WeightedProgress(M19:M29,G19:G29)</f>
        <v>0.36666666666666664</v>
      </c>
      <c r="N18" s="133">
        <f t="shared" ca="1" si="1"/>
        <v>0</v>
      </c>
      <c r="O18" s="133">
        <f t="shared" ca="1" si="2"/>
        <v>0</v>
      </c>
      <c r="P18" s="133">
        <f t="shared" ca="1" si="3"/>
        <v>139</v>
      </c>
      <c r="Q18" s="133">
        <f t="shared" ca="1" si="4"/>
        <v>0</v>
      </c>
      <c r="R18" s="134" t="str">
        <f t="shared" si="5"/>
        <v>Rule Optimization</v>
      </c>
      <c r="S18" s="135" t="str" cm="1">
        <f t="array" aca="1" ref="S18" ca="1">GetProgressLabel(L18,M18)</f>
        <v>37% (37%)</v>
      </c>
      <c r="T18" s="136" t="b">
        <v>1</v>
      </c>
      <c r="U18" s="136" t="s">
        <v>70</v>
      </c>
      <c r="V18" s="137">
        <v>0</v>
      </c>
      <c r="W18" s="137">
        <v>0</v>
      </c>
      <c r="X18" s="137">
        <v>0</v>
      </c>
      <c r="Y18" s="137">
        <v>0</v>
      </c>
      <c r="Z18" s="137"/>
      <c r="AA18" s="137"/>
      <c r="AB18" s="137"/>
      <c r="AC18" s="137"/>
      <c r="AD18" s="137"/>
      <c r="AE18" s="138"/>
      <c r="AF18" s="37"/>
    </row>
    <row r="19" spans="2:32" ht="12" customHeight="1" x14ac:dyDescent="0.3">
      <c r="B19" s="2">
        <f t="shared" si="6"/>
        <v>8</v>
      </c>
      <c r="C19" s="20" t="s">
        <v>194</v>
      </c>
      <c r="D19" s="20" t="s">
        <v>195</v>
      </c>
      <c r="E19" s="20" t="s">
        <v>196</v>
      </c>
      <c r="F19" s="4">
        <v>45791</v>
      </c>
      <c r="G19" s="46">
        <v>10</v>
      </c>
      <c r="H19" s="5">
        <f>H18</f>
        <v>7</v>
      </c>
      <c r="I19" s="6">
        <f t="shared" ref="I19" si="14">IFERROR(WORKDAY(F19-1,1,holidays),0)</f>
        <v>45791</v>
      </c>
      <c r="J19" s="6" cm="1">
        <f t="array" ref="J19">FinishDate(I19,G19,holidays)</f>
        <v>45805</v>
      </c>
      <c r="K19" s="44">
        <f t="shared" si="0"/>
        <v>14</v>
      </c>
      <c r="L19" s="16" cm="1">
        <f t="array" aca="1" ref="L19" ca="1">AutoProgress(I19,J19,holidays,$C$5)</f>
        <v>1</v>
      </c>
      <c r="M19" s="17">
        <f t="shared" ref="M19:M29" ca="1" si="15">L19</f>
        <v>1</v>
      </c>
      <c r="N19" s="7">
        <f t="shared" ca="1" si="1"/>
        <v>0</v>
      </c>
      <c r="O19" s="7">
        <f t="shared" ca="1" si="2"/>
        <v>14</v>
      </c>
      <c r="P19" s="7">
        <f t="shared" ca="1" si="3"/>
        <v>0</v>
      </c>
      <c r="Q19" s="7">
        <f t="shared" ca="1" si="4"/>
        <v>0</v>
      </c>
      <c r="R19" s="57" t="str">
        <f t="shared" si="5"/>
        <v>Project Planning (28-May)</v>
      </c>
      <c r="S19" s="8" t="str" cm="1">
        <f t="array" aca="1" ref="S19" ca="1">GetProgressLabel(L19,M19)</f>
        <v>100%</v>
      </c>
      <c r="T19" s="59" t="b">
        <v>0</v>
      </c>
      <c r="U19" s="59" t="s">
        <v>70</v>
      </c>
      <c r="V19" s="56">
        <v>2</v>
      </c>
      <c r="W19" s="56">
        <v>2</v>
      </c>
      <c r="X19" s="56">
        <v>1</v>
      </c>
      <c r="Y19" s="56">
        <v>2</v>
      </c>
      <c r="Z19" s="56"/>
      <c r="AA19" s="56"/>
      <c r="AB19" s="56"/>
      <c r="AC19" s="56"/>
      <c r="AD19" s="56"/>
      <c r="AE19" s="108"/>
      <c r="AF19" s="37"/>
    </row>
    <row r="20" spans="2:32" ht="12" customHeight="1" x14ac:dyDescent="0.3">
      <c r="B20" s="2">
        <f t="shared" si="6"/>
        <v>9</v>
      </c>
      <c r="C20" s="20" t="s">
        <v>197</v>
      </c>
      <c r="D20" s="20" t="s">
        <v>198</v>
      </c>
      <c r="E20" s="20" t="s">
        <v>199</v>
      </c>
      <c r="F20" s="4">
        <f>J19</f>
        <v>45805</v>
      </c>
      <c r="G20" s="46">
        <v>10</v>
      </c>
      <c r="H20" s="5">
        <f t="shared" ref="H20:H29" si="16">H19</f>
        <v>7</v>
      </c>
      <c r="I20" s="6">
        <f t="shared" ref="I20" si="17">IFERROR(WORKDAY(F20-1,1,holidays),0)</f>
        <v>45805</v>
      </c>
      <c r="J20" s="6" cm="1">
        <f t="array" ref="J20">FinishDate(I20,G20,holidays)</f>
        <v>45821</v>
      </c>
      <c r="K20" s="44">
        <f t="shared" si="0"/>
        <v>16</v>
      </c>
      <c r="L20" s="16" cm="1">
        <f t="array" aca="1" ref="L20" ca="1">AutoProgress(I20,J20,holidays,$C$5)</f>
        <v>1</v>
      </c>
      <c r="M20" s="17">
        <f t="shared" ca="1" si="15"/>
        <v>1</v>
      </c>
      <c r="N20" s="7">
        <f t="shared" ca="1" si="1"/>
        <v>0</v>
      </c>
      <c r="O20" s="7">
        <f t="shared" ca="1" si="2"/>
        <v>16</v>
      </c>
      <c r="P20" s="7">
        <f t="shared" ca="1" si="3"/>
        <v>0</v>
      </c>
      <c r="Q20" s="7">
        <f t="shared" ca="1" si="4"/>
        <v>0</v>
      </c>
      <c r="R20" s="57" t="str">
        <f t="shared" si="5"/>
        <v>Business Requirement (13-Jun)</v>
      </c>
      <c r="S20" s="8" t="str" cm="1">
        <f t="array" aca="1" ref="S20" ca="1">GetProgressLabel(L20,M20)</f>
        <v>100%</v>
      </c>
      <c r="T20" s="59" t="b">
        <v>0</v>
      </c>
      <c r="U20" s="59" t="s">
        <v>70</v>
      </c>
      <c r="V20" s="56">
        <v>2</v>
      </c>
      <c r="W20" s="56">
        <v>2</v>
      </c>
      <c r="X20" s="56">
        <v>2</v>
      </c>
      <c r="Y20" s="56">
        <v>2</v>
      </c>
      <c r="Z20" s="56"/>
      <c r="AA20" s="56"/>
      <c r="AB20" s="56"/>
      <c r="AC20" s="56"/>
      <c r="AD20" s="56"/>
      <c r="AE20" s="108"/>
      <c r="AF20" s="37"/>
    </row>
    <row r="21" spans="2:32" ht="12" customHeight="1" x14ac:dyDescent="0.3">
      <c r="B21" s="2">
        <f t="shared" si="6"/>
        <v>10</v>
      </c>
      <c r="C21" s="20" t="s">
        <v>200</v>
      </c>
      <c r="D21" s="20" t="s">
        <v>201</v>
      </c>
      <c r="E21" s="20" t="s">
        <v>202</v>
      </c>
      <c r="F21" s="4">
        <f>F20+5</f>
        <v>45810</v>
      </c>
      <c r="G21" s="46">
        <v>15</v>
      </c>
      <c r="H21" s="5">
        <f t="shared" si="16"/>
        <v>7</v>
      </c>
      <c r="I21" s="6">
        <f t="shared" ref="I21" si="18">IFERROR(WORKDAY(F21-1,1,holidays),0)</f>
        <v>45812</v>
      </c>
      <c r="J21" s="6" cm="1">
        <f t="array" ref="J21">FinishDate(I21,G21,holidays)</f>
        <v>45833</v>
      </c>
      <c r="K21" s="44">
        <f t="shared" si="0"/>
        <v>21</v>
      </c>
      <c r="L21" s="16" cm="1">
        <f t="array" aca="1" ref="L21" ca="1">AutoProgress(I21,J21,holidays,$C$5)</f>
        <v>1</v>
      </c>
      <c r="M21" s="17">
        <f t="shared" ca="1" si="15"/>
        <v>1</v>
      </c>
      <c r="N21" s="7">
        <f t="shared" ca="1" si="1"/>
        <v>0</v>
      </c>
      <c r="O21" s="7">
        <f t="shared" ca="1" si="2"/>
        <v>21</v>
      </c>
      <c r="P21" s="7">
        <f t="shared" ca="1" si="3"/>
        <v>0</v>
      </c>
      <c r="Q21" s="7">
        <f t="shared" ca="1" si="4"/>
        <v>0</v>
      </c>
      <c r="R21" s="57" t="str">
        <f t="shared" si="5"/>
        <v>Process &amp; Data Understanding (25-Jun)</v>
      </c>
      <c r="S21" s="8" t="str" cm="1">
        <f t="array" aca="1" ref="S21" ca="1">GetProgressLabel(L21,M21)</f>
        <v>100%</v>
      </c>
      <c r="T21" s="59" t="b">
        <v>0</v>
      </c>
      <c r="U21" s="59" t="s">
        <v>70</v>
      </c>
      <c r="V21" s="56">
        <v>2</v>
      </c>
      <c r="W21" s="56">
        <v>2</v>
      </c>
      <c r="X21" s="56">
        <v>6</v>
      </c>
      <c r="Y21" s="56">
        <v>6</v>
      </c>
      <c r="Z21" s="56"/>
      <c r="AA21" s="56"/>
      <c r="AB21" s="56"/>
      <c r="AC21" s="56"/>
      <c r="AD21" s="56"/>
      <c r="AE21" s="108"/>
      <c r="AF21" s="37"/>
    </row>
    <row r="22" spans="2:32" ht="12" customHeight="1" x14ac:dyDescent="0.3">
      <c r="B22" s="2">
        <f t="shared" si="6"/>
        <v>11</v>
      </c>
      <c r="C22" s="20" t="s">
        <v>203</v>
      </c>
      <c r="D22" s="20" t="s">
        <v>204</v>
      </c>
      <c r="E22" s="20" t="s">
        <v>205</v>
      </c>
      <c r="F22" s="4">
        <f t="shared" ref="F22:F23" si="19">J21</f>
        <v>45833</v>
      </c>
      <c r="G22" s="46">
        <v>5</v>
      </c>
      <c r="H22" s="5">
        <f t="shared" si="16"/>
        <v>7</v>
      </c>
      <c r="I22" s="6">
        <f t="shared" ref="I22" si="20">IFERROR(WORKDAY(F22-1,1,holidays),0)</f>
        <v>45833</v>
      </c>
      <c r="J22" s="6" cm="1">
        <f t="array" ref="J22">FinishDate(I22,G22,holidays)</f>
        <v>45840</v>
      </c>
      <c r="K22" s="44">
        <f t="shared" si="0"/>
        <v>7</v>
      </c>
      <c r="L22" s="16" cm="1">
        <f t="array" aca="1" ref="L22" ca="1">AutoProgress(I22,J22,holidays,$C$5)</f>
        <v>1</v>
      </c>
      <c r="M22" s="17">
        <f t="shared" ca="1" si="15"/>
        <v>1</v>
      </c>
      <c r="N22" s="7">
        <f t="shared" ca="1" si="1"/>
        <v>0</v>
      </c>
      <c r="O22" s="7">
        <f t="shared" ca="1" si="2"/>
        <v>7</v>
      </c>
      <c r="P22" s="7">
        <f t="shared" ca="1" si="3"/>
        <v>0</v>
      </c>
      <c r="Q22" s="7">
        <f t="shared" ca="1" si="4"/>
        <v>0</v>
      </c>
      <c r="R22" s="57" t="str">
        <f t="shared" si="5"/>
        <v>Data Collection &amp; Preparation (02-Jul)</v>
      </c>
      <c r="S22" s="8" t="str" cm="1">
        <f t="array" aca="1" ref="S22" ca="1">GetProgressLabel(L22,M22)</f>
        <v>100%</v>
      </c>
      <c r="T22" s="59" t="b">
        <v>0</v>
      </c>
      <c r="U22" s="59" t="s">
        <v>70</v>
      </c>
      <c r="V22" s="56">
        <v>0.5</v>
      </c>
      <c r="W22" s="56">
        <v>0.25</v>
      </c>
      <c r="X22" s="56">
        <v>2</v>
      </c>
      <c r="Y22" s="56">
        <v>2</v>
      </c>
      <c r="Z22" s="56"/>
      <c r="AA22" s="56"/>
      <c r="AB22" s="56"/>
      <c r="AC22" s="56"/>
      <c r="AD22" s="56"/>
      <c r="AE22" s="108"/>
      <c r="AF22" s="37"/>
    </row>
    <row r="23" spans="2:32" ht="12" customHeight="1" x14ac:dyDescent="0.3">
      <c r="B23" s="2">
        <f t="shared" si="6"/>
        <v>12</v>
      </c>
      <c r="C23" s="20" t="s">
        <v>206</v>
      </c>
      <c r="D23" s="3" t="s">
        <v>207</v>
      </c>
      <c r="E23" s="20" t="s">
        <v>208</v>
      </c>
      <c r="F23" s="4">
        <f t="shared" si="19"/>
        <v>45840</v>
      </c>
      <c r="G23" s="46">
        <v>20</v>
      </c>
      <c r="H23" s="5">
        <f t="shared" si="16"/>
        <v>7</v>
      </c>
      <c r="I23" s="6">
        <f t="shared" ref="I23" si="21">IFERROR(WORKDAY(F23-1,1,holidays),0)</f>
        <v>45840</v>
      </c>
      <c r="J23" s="6" cm="1">
        <f t="array" ref="J23">FinishDate(I23,G23,holidays)</f>
        <v>45870</v>
      </c>
      <c r="K23" s="44">
        <f t="shared" si="0"/>
        <v>30</v>
      </c>
      <c r="L23" s="16" cm="1">
        <f t="array" aca="1" ref="L23" ca="1">AutoProgress(I23,J23,holidays,$C$5)</f>
        <v>0.1</v>
      </c>
      <c r="M23" s="17">
        <f t="shared" ca="1" si="15"/>
        <v>0.1</v>
      </c>
      <c r="N23" s="7">
        <f t="shared" ca="1" si="1"/>
        <v>0</v>
      </c>
      <c r="O23" s="7">
        <f t="shared" ca="1" si="2"/>
        <v>0</v>
      </c>
      <c r="P23" s="7">
        <f t="shared" ca="1" si="3"/>
        <v>30</v>
      </c>
      <c r="Q23" s="7">
        <f t="shared" ca="1" si="4"/>
        <v>0</v>
      </c>
      <c r="R23" s="57" t="str">
        <f t="shared" si="5"/>
        <v>USL Rule opt. (01-Aug)</v>
      </c>
      <c r="S23" s="8" t="str" cm="1">
        <f t="array" aca="1" ref="S23" ca="1">GetProgressLabel(L23,M23)</f>
        <v>10% (10%)</v>
      </c>
      <c r="T23" s="59" t="b">
        <v>0</v>
      </c>
      <c r="U23" s="59" t="s">
        <v>70</v>
      </c>
      <c r="V23" s="56">
        <v>1</v>
      </c>
      <c r="W23" s="56">
        <v>2</v>
      </c>
      <c r="X23" s="56">
        <v>0</v>
      </c>
      <c r="Y23" s="56">
        <v>10</v>
      </c>
      <c r="Z23" s="56"/>
      <c r="AA23" s="56"/>
      <c r="AB23" s="56"/>
      <c r="AC23" s="56"/>
      <c r="AD23" s="56"/>
      <c r="AE23" s="108"/>
      <c r="AF23" s="37"/>
    </row>
    <row r="24" spans="2:32" ht="12" customHeight="1" x14ac:dyDescent="0.3">
      <c r="B24" s="2">
        <f t="shared" si="6"/>
        <v>13</v>
      </c>
      <c r="C24" s="20" t="s">
        <v>209</v>
      </c>
      <c r="D24" s="20" t="s">
        <v>210</v>
      </c>
      <c r="E24" s="20" t="s">
        <v>211</v>
      </c>
      <c r="F24" s="4">
        <f>F23</f>
        <v>45840</v>
      </c>
      <c r="G24" s="46">
        <v>20</v>
      </c>
      <c r="H24" s="5">
        <f t="shared" si="16"/>
        <v>7</v>
      </c>
      <c r="I24" s="6">
        <f t="shared" ref="I24" si="22">IFERROR(WORKDAY(F24-1,1,holidays),0)</f>
        <v>45840</v>
      </c>
      <c r="J24" s="6" cm="1">
        <f t="array" ref="J24">FinishDate(I24,G24,holidays)</f>
        <v>45870</v>
      </c>
      <c r="K24" s="44">
        <f t="shared" si="0"/>
        <v>30</v>
      </c>
      <c r="L24" s="16" cm="1">
        <f t="array" aca="1" ref="L24" ca="1">AutoProgress(I24,J24,holidays,$C$5)</f>
        <v>0.1</v>
      </c>
      <c r="M24" s="17">
        <f t="shared" ca="1" si="15"/>
        <v>0.1</v>
      </c>
      <c r="N24" s="7">
        <f t="shared" ca="1" si="1"/>
        <v>0</v>
      </c>
      <c r="O24" s="7">
        <f t="shared" ca="1" si="2"/>
        <v>0</v>
      </c>
      <c r="P24" s="7">
        <f t="shared" ca="1" si="3"/>
        <v>30</v>
      </c>
      <c r="Q24" s="7">
        <f t="shared" ca="1" si="4"/>
        <v>0</v>
      </c>
      <c r="R24" s="57" t="str">
        <f t="shared" si="5"/>
        <v>SL Rule opt. (01-Aug)</v>
      </c>
      <c r="S24" s="8" t="str" cm="1">
        <f t="array" aca="1" ref="S24" ca="1">GetProgressLabel(L24,M24)</f>
        <v>10% (10%)</v>
      </c>
      <c r="T24" s="59" t="b">
        <v>0</v>
      </c>
      <c r="U24" s="59" t="s">
        <v>70</v>
      </c>
      <c r="V24" s="56">
        <v>1</v>
      </c>
      <c r="W24" s="56">
        <v>2</v>
      </c>
      <c r="X24" s="56">
        <v>8</v>
      </c>
      <c r="Y24" s="56">
        <v>0</v>
      </c>
      <c r="Z24" s="56"/>
      <c r="AA24" s="56"/>
      <c r="AB24" s="56"/>
      <c r="AC24" s="56"/>
      <c r="AD24" s="56"/>
      <c r="AE24" s="108"/>
      <c r="AF24" s="37"/>
    </row>
    <row r="25" spans="2:32" ht="12" customHeight="1" x14ac:dyDescent="0.3">
      <c r="B25" s="2">
        <f t="shared" si="6"/>
        <v>14</v>
      </c>
      <c r="C25" s="20" t="s">
        <v>212</v>
      </c>
      <c r="D25" s="20" t="s">
        <v>213</v>
      </c>
      <c r="E25" s="20" t="s">
        <v>214</v>
      </c>
      <c r="F25" s="4">
        <f t="shared" ref="F25:F29" si="23">J24</f>
        <v>45870</v>
      </c>
      <c r="G25" s="46">
        <v>5</v>
      </c>
      <c r="H25" s="5">
        <f t="shared" si="16"/>
        <v>7</v>
      </c>
      <c r="I25" s="6">
        <f t="shared" ref="I25" si="24">IFERROR(WORKDAY(F25-1,1,holidays),0)</f>
        <v>45870</v>
      </c>
      <c r="J25" s="6" cm="1">
        <f t="array" ref="J25">FinishDate(I25,G25,holidays)</f>
        <v>45877</v>
      </c>
      <c r="K25" s="44">
        <f t="shared" si="0"/>
        <v>7</v>
      </c>
      <c r="L25" s="16" cm="1">
        <f t="array" aca="1" ref="L25" ca="1">AutoProgress(I25,J25,holidays,$C$5)</f>
        <v>0</v>
      </c>
      <c r="M25" s="17">
        <f t="shared" ca="1" si="15"/>
        <v>0</v>
      </c>
      <c r="N25" s="7">
        <f t="shared" ca="1" si="1"/>
        <v>0</v>
      </c>
      <c r="O25" s="7">
        <f t="shared" ca="1" si="2"/>
        <v>0</v>
      </c>
      <c r="P25" s="7">
        <f t="shared" ca="1" si="3"/>
        <v>0</v>
      </c>
      <c r="Q25" s="7">
        <f t="shared" ca="1" si="4"/>
        <v>7</v>
      </c>
      <c r="R25" s="57" t="str">
        <f t="shared" si="5"/>
        <v>Result Update #1 (08-Aug)</v>
      </c>
      <c r="S25" s="8" t="str" cm="1">
        <f t="array" aca="1" ref="S25" ca="1">GetProgressLabel(L25,M25)</f>
        <v>0%</v>
      </c>
      <c r="T25" s="59" t="b">
        <v>1</v>
      </c>
      <c r="U25" s="59" t="s">
        <v>70</v>
      </c>
      <c r="V25" s="56">
        <v>0.5</v>
      </c>
      <c r="W25" s="56">
        <v>0.5</v>
      </c>
      <c r="X25" s="56">
        <v>2</v>
      </c>
      <c r="Y25" s="56">
        <v>2</v>
      </c>
      <c r="Z25" s="56"/>
      <c r="AA25" s="56"/>
      <c r="AB25" s="56"/>
      <c r="AC25" s="56"/>
      <c r="AD25" s="56"/>
      <c r="AE25" s="108"/>
      <c r="AF25" s="37"/>
    </row>
    <row r="26" spans="2:32" ht="12" customHeight="1" x14ac:dyDescent="0.3">
      <c r="B26" s="2">
        <f t="shared" si="6"/>
        <v>15</v>
      </c>
      <c r="C26" s="20" t="s">
        <v>215</v>
      </c>
      <c r="D26" s="20" t="s">
        <v>215</v>
      </c>
      <c r="E26" s="20" t="s">
        <v>216</v>
      </c>
      <c r="F26" s="4">
        <f t="shared" si="23"/>
        <v>45877</v>
      </c>
      <c r="G26" s="46">
        <v>10</v>
      </c>
      <c r="H26" s="5">
        <f t="shared" si="16"/>
        <v>7</v>
      </c>
      <c r="I26" s="6">
        <f t="shared" ref="I26" si="25">IFERROR(WORKDAY(F26-1,1,holidays),0)</f>
        <v>45877</v>
      </c>
      <c r="J26" s="6" cm="1">
        <f t="array" ref="J26">FinishDate(I26,G26,holidays)</f>
        <v>45895</v>
      </c>
      <c r="K26" s="44">
        <f t="shared" si="0"/>
        <v>18</v>
      </c>
      <c r="L26" s="16" cm="1">
        <f t="array" aca="1" ref="L26" ca="1">AutoProgress(I26,J26,holidays,$C$5)</f>
        <v>0</v>
      </c>
      <c r="M26" s="17">
        <f t="shared" ca="1" si="15"/>
        <v>0</v>
      </c>
      <c r="N26" s="7">
        <f t="shared" ca="1" si="1"/>
        <v>0</v>
      </c>
      <c r="O26" s="7">
        <f t="shared" ca="1" si="2"/>
        <v>0</v>
      </c>
      <c r="P26" s="7">
        <f t="shared" ca="1" si="3"/>
        <v>0</v>
      </c>
      <c r="Q26" s="7">
        <f t="shared" ca="1" si="4"/>
        <v>18</v>
      </c>
      <c r="R26" s="57" t="str">
        <f t="shared" si="5"/>
        <v>Model Tuning &amp; Re-Evaluation (26-Aug)</v>
      </c>
      <c r="S26" s="8" t="str" cm="1">
        <f t="array" aca="1" ref="S26" ca="1">GetProgressLabel(L26,M26)</f>
        <v>0%</v>
      </c>
      <c r="T26" s="59" t="b">
        <v>0</v>
      </c>
      <c r="U26" s="59" t="s">
        <v>70</v>
      </c>
      <c r="V26" s="56">
        <v>1</v>
      </c>
      <c r="W26" s="56">
        <v>0.25</v>
      </c>
      <c r="X26" s="56">
        <v>4</v>
      </c>
      <c r="Y26" s="56">
        <v>4</v>
      </c>
      <c r="Z26" s="56"/>
      <c r="AA26" s="56"/>
      <c r="AB26" s="56"/>
      <c r="AC26" s="56"/>
      <c r="AD26" s="56"/>
      <c r="AE26" s="108"/>
      <c r="AF26" s="37"/>
    </row>
    <row r="27" spans="2:32" ht="12" customHeight="1" x14ac:dyDescent="0.3">
      <c r="B27" s="2">
        <f t="shared" si="6"/>
        <v>16</v>
      </c>
      <c r="C27" s="20" t="s">
        <v>217</v>
      </c>
      <c r="D27" s="20" t="s">
        <v>218</v>
      </c>
      <c r="E27" s="20" t="s">
        <v>219</v>
      </c>
      <c r="F27" s="4">
        <f t="shared" si="23"/>
        <v>45895</v>
      </c>
      <c r="G27" s="46">
        <v>5</v>
      </c>
      <c r="H27" s="5">
        <f t="shared" si="16"/>
        <v>7</v>
      </c>
      <c r="I27" s="6">
        <f t="shared" ref="I27" si="26">IFERROR(WORKDAY(F27-1,1,holidays),0)</f>
        <v>45895</v>
      </c>
      <c r="J27" s="6" cm="1">
        <f t="array" ref="J27">FinishDate(I27,G27,holidays)</f>
        <v>45902</v>
      </c>
      <c r="K27" s="44">
        <f t="shared" si="0"/>
        <v>7</v>
      </c>
      <c r="L27" s="16" cm="1">
        <f t="array" aca="1" ref="L27" ca="1">AutoProgress(I27,J27,holidays,$C$5)</f>
        <v>0</v>
      </c>
      <c r="M27" s="17">
        <f t="shared" ca="1" si="15"/>
        <v>0</v>
      </c>
      <c r="N27" s="7">
        <f t="shared" ca="1" si="1"/>
        <v>0</v>
      </c>
      <c r="O27" s="7">
        <f t="shared" ca="1" si="2"/>
        <v>0</v>
      </c>
      <c r="P27" s="7">
        <f t="shared" ca="1" si="3"/>
        <v>0</v>
      </c>
      <c r="Q27" s="7">
        <f t="shared" ca="1" si="4"/>
        <v>7</v>
      </c>
      <c r="R27" s="57" t="str">
        <f t="shared" si="5"/>
        <v>Result Update #2 (02-Sep)</v>
      </c>
      <c r="S27" s="8" t="str" cm="1">
        <f t="array" aca="1" ref="S27" ca="1">GetProgressLabel(L27,M27)</f>
        <v>0%</v>
      </c>
      <c r="T27" s="59" t="b">
        <v>1</v>
      </c>
      <c r="U27" s="59" t="s">
        <v>70</v>
      </c>
      <c r="V27" s="56">
        <v>0.5</v>
      </c>
      <c r="W27" s="56">
        <v>0.5</v>
      </c>
      <c r="X27" s="56">
        <v>2</v>
      </c>
      <c r="Y27" s="56">
        <v>2</v>
      </c>
      <c r="Z27" s="56"/>
      <c r="AA27" s="56"/>
      <c r="AB27" s="56"/>
      <c r="AC27" s="56"/>
      <c r="AD27" s="56"/>
      <c r="AE27" s="108"/>
      <c r="AF27" s="37"/>
    </row>
    <row r="28" spans="2:32" ht="12" customHeight="1" x14ac:dyDescent="0.3">
      <c r="B28" s="2">
        <f t="shared" si="6"/>
        <v>17</v>
      </c>
      <c r="C28" s="20" t="s">
        <v>220</v>
      </c>
      <c r="D28" s="20" t="s">
        <v>221</v>
      </c>
      <c r="E28" s="20" t="s">
        <v>222</v>
      </c>
      <c r="F28" s="4">
        <f t="shared" si="23"/>
        <v>45902</v>
      </c>
      <c r="G28" s="46">
        <v>5</v>
      </c>
      <c r="H28" s="5">
        <f t="shared" si="16"/>
        <v>7</v>
      </c>
      <c r="I28" s="6">
        <f t="shared" ref="I28" si="27">IFERROR(WORKDAY(F28-1,1,holidays),0)</f>
        <v>45902</v>
      </c>
      <c r="J28" s="6" cm="1">
        <f t="array" ref="J28">FinishDate(I28,G28,holidays)</f>
        <v>45909</v>
      </c>
      <c r="K28" s="44">
        <f t="shared" si="0"/>
        <v>7</v>
      </c>
      <c r="L28" s="16" cm="1">
        <f t="array" aca="1" ref="L28" ca="1">AutoProgress(I28,J28,holidays,$C$5)</f>
        <v>0</v>
      </c>
      <c r="M28" s="17">
        <f t="shared" ca="1" si="15"/>
        <v>0</v>
      </c>
      <c r="N28" s="7">
        <f t="shared" ca="1" si="1"/>
        <v>0</v>
      </c>
      <c r="O28" s="7">
        <f t="shared" ca="1" si="2"/>
        <v>0</v>
      </c>
      <c r="P28" s="7">
        <f t="shared" ca="1" si="3"/>
        <v>0</v>
      </c>
      <c r="Q28" s="7">
        <f t="shared" ca="1" si="4"/>
        <v>7</v>
      </c>
      <c r="R28" s="57" t="str">
        <f t="shared" si="5"/>
        <v>Final Evaluation (09-Sep)</v>
      </c>
      <c r="S28" s="8" t="str" cm="1">
        <f t="array" aca="1" ref="S28" ca="1">GetProgressLabel(L28,M28)</f>
        <v>0%</v>
      </c>
      <c r="T28" s="59" t="b">
        <v>1</v>
      </c>
      <c r="U28" s="59" t="s">
        <v>70</v>
      </c>
      <c r="V28" s="56">
        <v>0.5</v>
      </c>
      <c r="W28" s="56">
        <v>0.5</v>
      </c>
      <c r="X28" s="56">
        <v>2</v>
      </c>
      <c r="Y28" s="56">
        <v>2</v>
      </c>
      <c r="Z28" s="56"/>
      <c r="AA28" s="56"/>
      <c r="AB28" s="56"/>
      <c r="AC28" s="56"/>
      <c r="AD28" s="56"/>
      <c r="AE28" s="108"/>
      <c r="AF28" s="37"/>
    </row>
    <row r="29" spans="2:32" ht="12" customHeight="1" x14ac:dyDescent="0.3">
      <c r="B29" s="9">
        <f t="shared" si="6"/>
        <v>18</v>
      </c>
      <c r="C29" s="21" t="s">
        <v>223</v>
      </c>
      <c r="D29" s="21" t="s">
        <v>223</v>
      </c>
      <c r="E29" s="21" t="s">
        <v>224</v>
      </c>
      <c r="F29" s="111">
        <f t="shared" si="23"/>
        <v>45909</v>
      </c>
      <c r="G29" s="112">
        <v>15</v>
      </c>
      <c r="H29" s="113">
        <f t="shared" si="16"/>
        <v>7</v>
      </c>
      <c r="I29" s="114">
        <f t="shared" ref="I29" si="28">IFERROR(WORKDAY(F29-1,1,holidays),0)</f>
        <v>45909</v>
      </c>
      <c r="J29" s="114" cm="1">
        <f t="array" ref="J29">FinishDate(I29,G29,holidays)</f>
        <v>45930</v>
      </c>
      <c r="K29" s="115">
        <f t="shared" si="0"/>
        <v>21</v>
      </c>
      <c r="L29" s="116" cm="1">
        <f t="array" aca="1" ref="L29" ca="1">AutoProgress(I29,J29,holidays,$C$5)</f>
        <v>0</v>
      </c>
      <c r="M29" s="117">
        <f t="shared" ca="1" si="15"/>
        <v>0</v>
      </c>
      <c r="N29" s="118">
        <f t="shared" ca="1" si="1"/>
        <v>0</v>
      </c>
      <c r="O29" s="118">
        <f t="shared" ca="1" si="2"/>
        <v>0</v>
      </c>
      <c r="P29" s="118">
        <f t="shared" ca="1" si="3"/>
        <v>0</v>
      </c>
      <c r="Q29" s="118">
        <f t="shared" ca="1" si="4"/>
        <v>21</v>
      </c>
      <c r="R29" s="119" t="str">
        <f t="shared" si="5"/>
        <v>Transition (30-Sep)</v>
      </c>
      <c r="S29" s="120" t="str" cm="1">
        <f t="array" aca="1" ref="S29" ca="1">GetProgressLabel(L29,M29)</f>
        <v>0%</v>
      </c>
      <c r="T29" s="121" t="b">
        <v>1</v>
      </c>
      <c r="U29" s="121" t="s">
        <v>70</v>
      </c>
      <c r="V29" s="122">
        <v>1</v>
      </c>
      <c r="W29" s="122">
        <v>1</v>
      </c>
      <c r="X29" s="122">
        <v>6</v>
      </c>
      <c r="Y29" s="122">
        <v>6</v>
      </c>
      <c r="Z29" s="122"/>
      <c r="AA29" s="122"/>
      <c r="AB29" s="122"/>
      <c r="AC29" s="122"/>
      <c r="AD29" s="122"/>
      <c r="AE29" s="123"/>
      <c r="AF29" s="37"/>
    </row>
    <row r="30" spans="2:32" ht="12" customHeight="1" x14ac:dyDescent="0.3">
      <c r="B30" s="125">
        <f t="shared" si="6"/>
        <v>19</v>
      </c>
      <c r="C30" s="126" t="s">
        <v>225</v>
      </c>
      <c r="D30" s="126" t="s">
        <v>226</v>
      </c>
      <c r="E30" s="49" t="s">
        <v>227</v>
      </c>
      <c r="F30" s="127">
        <f>I30</f>
        <v>45877</v>
      </c>
      <c r="G30" s="128">
        <v>89</v>
      </c>
      <c r="H30" s="129">
        <f>B30</f>
        <v>19</v>
      </c>
      <c r="I30" s="127">
        <f>MIN(I31:I43)</f>
        <v>45877</v>
      </c>
      <c r="J30" s="127">
        <f>MAX(J31:J43)</f>
        <v>46010</v>
      </c>
      <c r="K30" s="130">
        <f t="shared" si="0"/>
        <v>133</v>
      </c>
      <c r="L30" s="131" cm="1">
        <f t="array" aca="1" ref="L30" ca="1">WeightedProgress(L31:L43,G31:G43)</f>
        <v>0</v>
      </c>
      <c r="M30" s="132" cm="1">
        <f t="array" aca="1" ref="M30" ca="1">WeightedProgress(M31:M43,G31:G43)</f>
        <v>0</v>
      </c>
      <c r="N30" s="133">
        <f t="shared" ca="1" si="1"/>
        <v>0</v>
      </c>
      <c r="O30" s="133">
        <f t="shared" ca="1" si="2"/>
        <v>0</v>
      </c>
      <c r="P30" s="133">
        <f t="shared" ca="1" si="3"/>
        <v>0</v>
      </c>
      <c r="Q30" s="133">
        <f t="shared" ca="1" si="4"/>
        <v>133</v>
      </c>
      <c r="R30" s="134" t="str">
        <f t="shared" si="5"/>
        <v>Anomaly Detection</v>
      </c>
      <c r="S30" s="135" t="str" cm="1">
        <f t="array" aca="1" ref="S30" ca="1">GetProgressLabel(L30,M30)</f>
        <v>0%</v>
      </c>
      <c r="T30" s="136" t="b">
        <v>1</v>
      </c>
      <c r="U30" s="136" t="s">
        <v>70</v>
      </c>
      <c r="V30" s="137">
        <v>0</v>
      </c>
      <c r="W30" s="137">
        <v>0</v>
      </c>
      <c r="X30" s="137">
        <v>0</v>
      </c>
      <c r="Y30" s="137">
        <v>0</v>
      </c>
      <c r="Z30" s="137"/>
      <c r="AA30" s="137"/>
      <c r="AB30" s="137"/>
      <c r="AC30" s="137"/>
      <c r="AD30" s="137"/>
      <c r="AE30" s="138"/>
      <c r="AF30" s="37"/>
    </row>
    <row r="31" spans="2:32" ht="12" customHeight="1" x14ac:dyDescent="0.3">
      <c r="B31" s="2">
        <f t="shared" si="6"/>
        <v>20</v>
      </c>
      <c r="C31" s="20" t="s">
        <v>194</v>
      </c>
      <c r="D31" s="20" t="s">
        <v>195</v>
      </c>
      <c r="E31" s="20" t="s">
        <v>196</v>
      </c>
      <c r="F31" s="4">
        <f>J25</f>
        <v>45877</v>
      </c>
      <c r="G31" s="46">
        <v>5</v>
      </c>
      <c r="H31" s="5">
        <f>H30</f>
        <v>19</v>
      </c>
      <c r="I31" s="6">
        <f t="shared" ref="I31" si="29">IFERROR(WORKDAY(F31-1,1,holidays),0)</f>
        <v>45877</v>
      </c>
      <c r="J31" s="6" cm="1">
        <f t="array" ref="J31">FinishDate(I31,G31,holidays)</f>
        <v>45888</v>
      </c>
      <c r="K31" s="44">
        <f t="shared" si="0"/>
        <v>11</v>
      </c>
      <c r="L31" s="16" cm="1">
        <f t="array" aca="1" ref="L31" ca="1">AutoProgress(I31,J31,holidays,$C$5)</f>
        <v>0</v>
      </c>
      <c r="M31" s="17">
        <f t="shared" ref="M31:M43" ca="1" si="30">L31</f>
        <v>0</v>
      </c>
      <c r="N31" s="7">
        <f t="shared" ca="1" si="1"/>
        <v>0</v>
      </c>
      <c r="O31" s="7">
        <f t="shared" ca="1" si="2"/>
        <v>0</v>
      </c>
      <c r="P31" s="7">
        <f t="shared" ca="1" si="3"/>
        <v>0</v>
      </c>
      <c r="Q31" s="7">
        <f t="shared" ca="1" si="4"/>
        <v>11</v>
      </c>
      <c r="R31" s="57" t="str">
        <f t="shared" si="5"/>
        <v>Project Planning (19-Aug)</v>
      </c>
      <c r="S31" s="8" t="str" cm="1">
        <f t="array" aca="1" ref="S31" ca="1">GetProgressLabel(L31,M31)</f>
        <v>0%</v>
      </c>
      <c r="T31" s="59" t="b">
        <v>0</v>
      </c>
      <c r="U31" s="59" t="s">
        <v>70</v>
      </c>
      <c r="V31" s="56">
        <v>0.5</v>
      </c>
      <c r="W31" s="56">
        <v>0.5</v>
      </c>
      <c r="X31" s="56">
        <v>0.5</v>
      </c>
      <c r="Y31" s="56">
        <v>1</v>
      </c>
      <c r="Z31" s="56"/>
      <c r="AA31" s="56"/>
      <c r="AB31" s="56"/>
      <c r="AC31" s="56"/>
      <c r="AD31" s="56"/>
      <c r="AE31" s="108"/>
      <c r="AF31" s="37"/>
    </row>
    <row r="32" spans="2:32" ht="12" customHeight="1" x14ac:dyDescent="0.3">
      <c r="B32" s="2">
        <f t="shared" si="6"/>
        <v>21</v>
      </c>
      <c r="C32" s="20" t="s">
        <v>197</v>
      </c>
      <c r="D32" s="20" t="s">
        <v>198</v>
      </c>
      <c r="E32" s="20" t="s">
        <v>228</v>
      </c>
      <c r="F32" s="4">
        <f>F31</f>
        <v>45877</v>
      </c>
      <c r="G32" s="46">
        <v>5</v>
      </c>
      <c r="H32" s="5">
        <f t="shared" ref="H32:H43" si="31">H31</f>
        <v>19</v>
      </c>
      <c r="I32" s="6">
        <f t="shared" ref="I32" si="32">IFERROR(WORKDAY(F32-1,1,holidays),0)</f>
        <v>45877</v>
      </c>
      <c r="J32" s="6" cm="1">
        <f t="array" ref="J32">FinishDate(I32,G32,holidays)</f>
        <v>45888</v>
      </c>
      <c r="K32" s="44">
        <f t="shared" si="0"/>
        <v>11</v>
      </c>
      <c r="L32" s="16" cm="1">
        <f t="array" aca="1" ref="L32" ca="1">AutoProgress(I32,J32,holidays,$C$5)</f>
        <v>0</v>
      </c>
      <c r="M32" s="17">
        <f t="shared" ca="1" si="30"/>
        <v>0</v>
      </c>
      <c r="N32" s="7">
        <f t="shared" ca="1" si="1"/>
        <v>0</v>
      </c>
      <c r="O32" s="7">
        <f t="shared" ca="1" si="2"/>
        <v>0</v>
      </c>
      <c r="P32" s="7">
        <f t="shared" ca="1" si="3"/>
        <v>0</v>
      </c>
      <c r="Q32" s="7">
        <f t="shared" ca="1" si="4"/>
        <v>11</v>
      </c>
      <c r="R32" s="57" t="str">
        <f t="shared" si="5"/>
        <v>Business Requirement (19-Aug)</v>
      </c>
      <c r="S32" s="8" t="str" cm="1">
        <f t="array" aca="1" ref="S32" ca="1">GetProgressLabel(L32,M32)</f>
        <v>0%</v>
      </c>
      <c r="T32" s="59" t="b">
        <v>0</v>
      </c>
      <c r="U32" s="59" t="s">
        <v>70</v>
      </c>
      <c r="V32" s="56">
        <v>0.5</v>
      </c>
      <c r="W32" s="56">
        <v>1</v>
      </c>
      <c r="X32" s="56">
        <v>0.5</v>
      </c>
      <c r="Y32" s="56">
        <v>1</v>
      </c>
      <c r="Z32" s="56"/>
      <c r="AA32" s="56"/>
      <c r="AB32" s="56"/>
      <c r="AC32" s="56"/>
      <c r="AD32" s="56"/>
      <c r="AE32" s="108"/>
      <c r="AF32" s="37"/>
    </row>
    <row r="33" spans="2:32" ht="12" customHeight="1" x14ac:dyDescent="0.3">
      <c r="B33" s="2">
        <f t="shared" si="6"/>
        <v>22</v>
      </c>
      <c r="C33" s="20" t="s">
        <v>200</v>
      </c>
      <c r="D33" s="20" t="s">
        <v>201</v>
      </c>
      <c r="E33" s="20" t="s">
        <v>229</v>
      </c>
      <c r="F33" s="4">
        <f>J32</f>
        <v>45888</v>
      </c>
      <c r="G33" s="46">
        <v>5</v>
      </c>
      <c r="H33" s="5">
        <f t="shared" si="31"/>
        <v>19</v>
      </c>
      <c r="I33" s="6">
        <f t="shared" ref="I33" si="33">IFERROR(WORKDAY(F33-1,1,holidays),0)</f>
        <v>45888</v>
      </c>
      <c r="J33" s="6" cm="1">
        <f t="array" ref="J33">FinishDate(I33,G33,holidays)</f>
        <v>45895</v>
      </c>
      <c r="K33" s="44">
        <f t="shared" si="0"/>
        <v>7</v>
      </c>
      <c r="L33" s="16" cm="1">
        <f t="array" aca="1" ref="L33" ca="1">AutoProgress(I33,J33,holidays,$C$5)</f>
        <v>0</v>
      </c>
      <c r="M33" s="17">
        <f t="shared" ca="1" si="30"/>
        <v>0</v>
      </c>
      <c r="N33" s="7">
        <f t="shared" ca="1" si="1"/>
        <v>0</v>
      </c>
      <c r="O33" s="7">
        <f t="shared" ca="1" si="2"/>
        <v>0</v>
      </c>
      <c r="P33" s="7">
        <f t="shared" ca="1" si="3"/>
        <v>0</v>
      </c>
      <c r="Q33" s="7">
        <f t="shared" ca="1" si="4"/>
        <v>7</v>
      </c>
      <c r="R33" s="57" t="str">
        <f t="shared" si="5"/>
        <v>Process &amp; Data Understanding (26-Aug)</v>
      </c>
      <c r="S33" s="8" t="str" cm="1">
        <f t="array" aca="1" ref="S33" ca="1">GetProgressLabel(L33,M33)</f>
        <v>0%</v>
      </c>
      <c r="T33" s="59" t="b">
        <v>0</v>
      </c>
      <c r="U33" s="59" t="s">
        <v>70</v>
      </c>
      <c r="V33" s="56">
        <v>0.5</v>
      </c>
      <c r="W33" s="56">
        <v>1</v>
      </c>
      <c r="X33" s="56">
        <v>2</v>
      </c>
      <c r="Y33" s="56">
        <v>2</v>
      </c>
      <c r="Z33" s="56"/>
      <c r="AA33" s="56"/>
      <c r="AB33" s="56"/>
      <c r="AC33" s="56"/>
      <c r="AD33" s="56"/>
      <c r="AE33" s="108"/>
      <c r="AF33" s="37"/>
    </row>
    <row r="34" spans="2:32" ht="12" customHeight="1" x14ac:dyDescent="0.3">
      <c r="B34" s="2">
        <f t="shared" si="6"/>
        <v>23</v>
      </c>
      <c r="C34" s="20" t="s">
        <v>203</v>
      </c>
      <c r="D34" s="20" t="s">
        <v>204</v>
      </c>
      <c r="E34" s="20" t="s">
        <v>205</v>
      </c>
      <c r="F34" s="4">
        <f>J33</f>
        <v>45895</v>
      </c>
      <c r="G34" s="46">
        <v>5</v>
      </c>
      <c r="H34" s="5">
        <f t="shared" si="31"/>
        <v>19</v>
      </c>
      <c r="I34" s="6">
        <f t="shared" ref="I34" si="34">IFERROR(WORKDAY(F34-1,1,holidays),0)</f>
        <v>45895</v>
      </c>
      <c r="J34" s="6" cm="1">
        <f t="array" ref="J34">FinishDate(I34,G34,holidays)</f>
        <v>45902</v>
      </c>
      <c r="K34" s="44">
        <f t="shared" si="0"/>
        <v>7</v>
      </c>
      <c r="L34" s="16" cm="1">
        <f t="array" aca="1" ref="L34" ca="1">AutoProgress(I34,J34,holidays,$C$5)</f>
        <v>0</v>
      </c>
      <c r="M34" s="17">
        <f t="shared" ca="1" si="30"/>
        <v>0</v>
      </c>
      <c r="N34" s="7">
        <f t="shared" ca="1" si="1"/>
        <v>0</v>
      </c>
      <c r="O34" s="7">
        <f t="shared" ca="1" si="2"/>
        <v>0</v>
      </c>
      <c r="P34" s="7">
        <f t="shared" ca="1" si="3"/>
        <v>0</v>
      </c>
      <c r="Q34" s="7">
        <f t="shared" ca="1" si="4"/>
        <v>7</v>
      </c>
      <c r="R34" s="57" t="str">
        <f t="shared" si="5"/>
        <v>Data Collection &amp; Preparation (02-Sep)</v>
      </c>
      <c r="S34" s="8" t="str" cm="1">
        <f t="array" aca="1" ref="S34" ca="1">GetProgressLabel(L34,M34)</f>
        <v>0%</v>
      </c>
      <c r="T34" s="59" t="b">
        <v>0</v>
      </c>
      <c r="U34" s="59" t="s">
        <v>70</v>
      </c>
      <c r="V34" s="56">
        <v>0.5</v>
      </c>
      <c r="W34" s="56">
        <v>0.25</v>
      </c>
      <c r="X34" s="56">
        <v>2</v>
      </c>
      <c r="Y34" s="56">
        <v>2</v>
      </c>
      <c r="Z34" s="56"/>
      <c r="AA34" s="56"/>
      <c r="AB34" s="56"/>
      <c r="AC34" s="56"/>
      <c r="AD34" s="56"/>
      <c r="AE34" s="108"/>
      <c r="AF34" s="37"/>
    </row>
    <row r="35" spans="2:32" ht="12" customHeight="1" x14ac:dyDescent="0.3">
      <c r="B35" s="2">
        <f t="shared" si="6"/>
        <v>24</v>
      </c>
      <c r="C35" s="20" t="s">
        <v>230</v>
      </c>
      <c r="D35" s="20" t="s">
        <v>231</v>
      </c>
      <c r="E35" s="20" t="s">
        <v>232</v>
      </c>
      <c r="F35" s="4">
        <f t="shared" ref="F35" si="35">J34</f>
        <v>45902</v>
      </c>
      <c r="G35" s="46">
        <v>10</v>
      </c>
      <c r="H35" s="5">
        <f t="shared" si="31"/>
        <v>19</v>
      </c>
      <c r="I35" s="6">
        <f t="shared" ref="I35" si="36">IFERROR(WORKDAY(F35-1,1,holidays),0)</f>
        <v>45902</v>
      </c>
      <c r="J35" s="6" cm="1">
        <f t="array" ref="J35">FinishDate(I35,G35,holidays)</f>
        <v>45916</v>
      </c>
      <c r="K35" s="44">
        <f t="shared" si="0"/>
        <v>14</v>
      </c>
      <c r="L35" s="16" cm="1">
        <f t="array" aca="1" ref="L35" ca="1">AutoProgress(I35,J35,holidays,$C$5)</f>
        <v>0</v>
      </c>
      <c r="M35" s="17">
        <f t="shared" ca="1" si="30"/>
        <v>0</v>
      </c>
      <c r="N35" s="7">
        <f t="shared" ca="1" si="1"/>
        <v>0</v>
      </c>
      <c r="O35" s="7">
        <f t="shared" ca="1" si="2"/>
        <v>0</v>
      </c>
      <c r="P35" s="7">
        <f t="shared" ca="1" si="3"/>
        <v>0</v>
      </c>
      <c r="Q35" s="7">
        <f t="shared" ca="1" si="4"/>
        <v>14</v>
      </c>
      <c r="R35" s="57" t="str">
        <f t="shared" si="5"/>
        <v>Model Training (HL) (16-Sep)</v>
      </c>
      <c r="S35" s="8" t="str" cm="1">
        <f t="array" aca="1" ref="S35" ca="1">GetProgressLabel(L35,M35)</f>
        <v>0%</v>
      </c>
      <c r="T35" s="59" t="b">
        <v>0</v>
      </c>
      <c r="U35" s="59" t="s">
        <v>70</v>
      </c>
      <c r="V35" s="56">
        <v>1</v>
      </c>
      <c r="W35" s="56">
        <v>1</v>
      </c>
      <c r="X35" s="56">
        <v>7</v>
      </c>
      <c r="Y35" s="56">
        <v>0</v>
      </c>
      <c r="Z35" s="56"/>
      <c r="AA35" s="56"/>
      <c r="AB35" s="56"/>
      <c r="AC35" s="56"/>
      <c r="AD35" s="56"/>
      <c r="AE35" s="108"/>
      <c r="AF35" s="37"/>
    </row>
    <row r="36" spans="2:32" ht="12" customHeight="1" x14ac:dyDescent="0.3">
      <c r="B36" s="2">
        <f t="shared" si="6"/>
        <v>25</v>
      </c>
      <c r="C36" s="20" t="s">
        <v>233</v>
      </c>
      <c r="D36" s="20" t="s">
        <v>234</v>
      </c>
      <c r="E36" s="20" t="s">
        <v>232</v>
      </c>
      <c r="F36" s="4">
        <f>F35</f>
        <v>45902</v>
      </c>
      <c r="G36" s="46">
        <v>10</v>
      </c>
      <c r="H36" s="5">
        <f t="shared" si="31"/>
        <v>19</v>
      </c>
      <c r="I36" s="6">
        <f t="shared" ref="I36" si="37">IFERROR(WORKDAY(F36-1,1,holidays),0)</f>
        <v>45902</v>
      </c>
      <c r="J36" s="6" cm="1">
        <f t="array" ref="J36">FinishDate(I36,G36,holidays)</f>
        <v>45916</v>
      </c>
      <c r="K36" s="44">
        <f t="shared" si="0"/>
        <v>14</v>
      </c>
      <c r="L36" s="16" cm="1">
        <f t="array" aca="1" ref="L36" ca="1">AutoProgress(I36,J36,holidays,$C$5)</f>
        <v>0</v>
      </c>
      <c r="M36" s="17">
        <f t="shared" ca="1" si="30"/>
        <v>0</v>
      </c>
      <c r="N36" s="7">
        <f t="shared" ca="1" si="1"/>
        <v>0</v>
      </c>
      <c r="O36" s="7">
        <f t="shared" ca="1" si="2"/>
        <v>0</v>
      </c>
      <c r="P36" s="7">
        <f t="shared" ca="1" si="3"/>
        <v>0</v>
      </c>
      <c r="Q36" s="7">
        <f t="shared" ca="1" si="4"/>
        <v>14</v>
      </c>
      <c r="R36" s="57" t="str">
        <f t="shared" si="5"/>
        <v>Model Training (CC, XPC) (16-Sep)</v>
      </c>
      <c r="S36" s="8" t="str" cm="1">
        <f t="array" aca="1" ref="S36" ca="1">GetProgressLabel(L36,M36)</f>
        <v>0%</v>
      </c>
      <c r="T36" s="59" t="b">
        <v>0</v>
      </c>
      <c r="U36" s="59" t="s">
        <v>70</v>
      </c>
      <c r="V36" s="56">
        <v>1</v>
      </c>
      <c r="W36" s="56">
        <v>1</v>
      </c>
      <c r="X36" s="56">
        <v>0</v>
      </c>
      <c r="Y36" s="56">
        <v>5</v>
      </c>
      <c r="Z36" s="56"/>
      <c r="AA36" s="56"/>
      <c r="AB36" s="56"/>
      <c r="AC36" s="56"/>
      <c r="AD36" s="56"/>
      <c r="AE36" s="108"/>
      <c r="AF36" s="37"/>
    </row>
    <row r="37" spans="2:32" ht="12" customHeight="1" x14ac:dyDescent="0.3">
      <c r="B37" s="2">
        <f t="shared" si="6"/>
        <v>26</v>
      </c>
      <c r="C37" s="20" t="s">
        <v>235</v>
      </c>
      <c r="D37" s="3" t="s">
        <v>236</v>
      </c>
      <c r="E37" s="20" t="s">
        <v>237</v>
      </c>
      <c r="F37" s="4">
        <f t="shared" ref="F37:F43" si="38">J36</f>
        <v>45916</v>
      </c>
      <c r="G37" s="46">
        <v>10</v>
      </c>
      <c r="H37" s="5">
        <f t="shared" si="31"/>
        <v>19</v>
      </c>
      <c r="I37" s="6">
        <f t="shared" ref="I37" si="39">IFERROR(WORKDAY(F37-1,1,holidays),0)</f>
        <v>45916</v>
      </c>
      <c r="J37" s="6" cm="1">
        <f t="array" ref="J37">FinishDate(I37,G37,holidays)</f>
        <v>45930</v>
      </c>
      <c r="K37" s="44">
        <f t="shared" si="0"/>
        <v>14</v>
      </c>
      <c r="L37" s="16" cm="1">
        <f t="array" aca="1" ref="L37" ca="1">AutoProgress(I37,J37,holidays,$C$5)</f>
        <v>0</v>
      </c>
      <c r="M37" s="17">
        <f t="shared" ca="1" si="30"/>
        <v>0</v>
      </c>
      <c r="N37" s="7">
        <f t="shared" ca="1" si="1"/>
        <v>0</v>
      </c>
      <c r="O37" s="7">
        <f t="shared" ca="1" si="2"/>
        <v>0</v>
      </c>
      <c r="P37" s="7">
        <f t="shared" ca="1" si="3"/>
        <v>0</v>
      </c>
      <c r="Q37" s="7">
        <f t="shared" ca="1" si="4"/>
        <v>14</v>
      </c>
      <c r="R37" s="57" t="str">
        <f t="shared" si="5"/>
        <v>Validation #1 (30-Sep)</v>
      </c>
      <c r="S37" s="8" t="str" cm="1">
        <f t="array" aca="1" ref="S37" ca="1">GetProgressLabel(L37,M37)</f>
        <v>0%</v>
      </c>
      <c r="T37" s="59" t="b">
        <v>1</v>
      </c>
      <c r="U37" s="59" t="s">
        <v>70</v>
      </c>
      <c r="V37" s="56">
        <v>0</v>
      </c>
      <c r="W37" s="56">
        <v>0</v>
      </c>
      <c r="X37" s="56">
        <v>1</v>
      </c>
      <c r="Y37" s="56">
        <v>1</v>
      </c>
      <c r="Z37" s="56"/>
      <c r="AA37" s="56"/>
      <c r="AB37" s="56"/>
      <c r="AC37" s="56"/>
      <c r="AD37" s="56"/>
      <c r="AE37" s="108"/>
      <c r="AF37" s="37"/>
    </row>
    <row r="38" spans="2:32" ht="12" customHeight="1" x14ac:dyDescent="0.3">
      <c r="B38" s="2">
        <f t="shared" si="6"/>
        <v>27</v>
      </c>
      <c r="C38" s="20" t="s">
        <v>215</v>
      </c>
      <c r="D38" s="20" t="s">
        <v>215</v>
      </c>
      <c r="E38" s="20" t="s">
        <v>216</v>
      </c>
      <c r="F38" s="4">
        <f t="shared" si="38"/>
        <v>45930</v>
      </c>
      <c r="G38" s="46">
        <v>15</v>
      </c>
      <c r="H38" s="5">
        <f t="shared" si="31"/>
        <v>19</v>
      </c>
      <c r="I38" s="6">
        <f t="shared" ref="I38" si="40">IFERROR(WORKDAY(F38-1,1,holidays),0)</f>
        <v>45930</v>
      </c>
      <c r="J38" s="6" cm="1">
        <f t="array" ref="J38">FinishDate(I38,G38,holidays)</f>
        <v>45952</v>
      </c>
      <c r="K38" s="44">
        <f t="shared" si="0"/>
        <v>22</v>
      </c>
      <c r="L38" s="16" cm="1">
        <f t="array" aca="1" ref="L38" ca="1">AutoProgress(I38,J38,holidays,$C$5)</f>
        <v>0</v>
      </c>
      <c r="M38" s="17">
        <f t="shared" ca="1" si="30"/>
        <v>0</v>
      </c>
      <c r="N38" s="7">
        <f t="shared" ca="1" si="1"/>
        <v>0</v>
      </c>
      <c r="O38" s="7">
        <f t="shared" ca="1" si="2"/>
        <v>0</v>
      </c>
      <c r="P38" s="7">
        <f t="shared" ca="1" si="3"/>
        <v>0</v>
      </c>
      <c r="Q38" s="7">
        <f t="shared" ca="1" si="4"/>
        <v>22</v>
      </c>
      <c r="R38" s="57" t="str">
        <f t="shared" si="5"/>
        <v>Model Tuning &amp; Re-Evaluation (22-Oct)</v>
      </c>
      <c r="S38" s="8" t="str" cm="1">
        <f t="array" aca="1" ref="S38" ca="1">GetProgressLabel(L38,M38)</f>
        <v>0%</v>
      </c>
      <c r="T38" s="59" t="b">
        <v>0</v>
      </c>
      <c r="U38" s="59" t="s">
        <v>70</v>
      </c>
      <c r="V38" s="56">
        <v>1.5</v>
      </c>
      <c r="W38" s="56">
        <v>0.5</v>
      </c>
      <c r="X38" s="56">
        <v>9</v>
      </c>
      <c r="Y38" s="56">
        <v>6</v>
      </c>
      <c r="Z38" s="56"/>
      <c r="AA38" s="56"/>
      <c r="AB38" s="56"/>
      <c r="AC38" s="56"/>
      <c r="AD38" s="56"/>
      <c r="AE38" s="108"/>
      <c r="AF38" s="37"/>
    </row>
    <row r="39" spans="2:32" ht="12" customHeight="1" x14ac:dyDescent="0.3">
      <c r="B39" s="2">
        <f t="shared" si="6"/>
        <v>28</v>
      </c>
      <c r="C39" s="20" t="s">
        <v>238</v>
      </c>
      <c r="D39" s="3" t="s">
        <v>239</v>
      </c>
      <c r="E39" s="20" t="s">
        <v>240</v>
      </c>
      <c r="F39" s="4">
        <f t="shared" si="38"/>
        <v>45952</v>
      </c>
      <c r="G39" s="46">
        <v>15</v>
      </c>
      <c r="H39" s="5">
        <f t="shared" si="31"/>
        <v>19</v>
      </c>
      <c r="I39" s="6">
        <f t="shared" ref="I39" si="41">IFERROR(WORKDAY(F39-1,1,holidays),0)</f>
        <v>45952</v>
      </c>
      <c r="J39" s="6" cm="1">
        <f t="array" ref="J39">FinishDate(I39,G39,holidays)</f>
        <v>45974</v>
      </c>
      <c r="K39" s="44">
        <f t="shared" si="0"/>
        <v>22</v>
      </c>
      <c r="L39" s="16" cm="1">
        <f t="array" aca="1" ref="L39" ca="1">AutoProgress(I39,J39,holidays,$C$5)</f>
        <v>0</v>
      </c>
      <c r="M39" s="17">
        <f t="shared" ca="1" si="30"/>
        <v>0</v>
      </c>
      <c r="N39" s="7">
        <f t="shared" ca="1" si="1"/>
        <v>0</v>
      </c>
      <c r="O39" s="7">
        <f t="shared" ca="1" si="2"/>
        <v>0</v>
      </c>
      <c r="P39" s="7">
        <f t="shared" ca="1" si="3"/>
        <v>0</v>
      </c>
      <c r="Q39" s="7">
        <f t="shared" ca="1" si="4"/>
        <v>22</v>
      </c>
      <c r="R39" s="57" t="str">
        <f t="shared" si="5"/>
        <v>Validation #2 (13-Nov)</v>
      </c>
      <c r="S39" s="8" t="str" cm="1">
        <f t="array" aca="1" ref="S39" ca="1">GetProgressLabel(L39,M39)</f>
        <v>0%</v>
      </c>
      <c r="T39" s="59" t="b">
        <v>1</v>
      </c>
      <c r="U39" s="59" t="s">
        <v>70</v>
      </c>
      <c r="V39" s="56">
        <v>0</v>
      </c>
      <c r="W39" s="56">
        <v>0</v>
      </c>
      <c r="X39" s="56">
        <v>1</v>
      </c>
      <c r="Y39" s="56">
        <v>1.5</v>
      </c>
      <c r="Z39" s="56"/>
      <c r="AA39" s="56"/>
      <c r="AB39" s="56"/>
      <c r="AC39" s="56"/>
      <c r="AD39" s="56"/>
      <c r="AE39" s="108"/>
      <c r="AF39" s="37"/>
    </row>
    <row r="40" spans="2:32" ht="12" customHeight="1" x14ac:dyDescent="0.3">
      <c r="B40" s="2">
        <f t="shared" si="6"/>
        <v>29</v>
      </c>
      <c r="C40" s="20" t="s">
        <v>220</v>
      </c>
      <c r="D40" s="20" t="s">
        <v>220</v>
      </c>
      <c r="E40" s="105" t="s">
        <v>222</v>
      </c>
      <c r="F40" s="4">
        <f t="shared" si="38"/>
        <v>45974</v>
      </c>
      <c r="G40" s="46">
        <v>2</v>
      </c>
      <c r="H40" s="5">
        <f t="shared" si="31"/>
        <v>19</v>
      </c>
      <c r="I40" s="6">
        <f t="shared" ref="I40" si="42">IFERROR(WORKDAY(F40-1,1,holidays),0)</f>
        <v>45974</v>
      </c>
      <c r="J40" s="6" cm="1">
        <f t="array" ref="J40">FinishDate(I40,G40,holidays)</f>
        <v>45976</v>
      </c>
      <c r="K40" s="44">
        <f t="shared" si="0"/>
        <v>2</v>
      </c>
      <c r="L40" s="16" cm="1">
        <f t="array" aca="1" ref="L40" ca="1">AutoProgress(I40,J40,holidays,$C$5)</f>
        <v>0</v>
      </c>
      <c r="M40" s="17">
        <f t="shared" ca="1" si="30"/>
        <v>0</v>
      </c>
      <c r="N40" s="7">
        <f t="shared" ca="1" si="1"/>
        <v>0</v>
      </c>
      <c r="O40" s="7">
        <f t="shared" ca="1" si="2"/>
        <v>0</v>
      </c>
      <c r="P40" s="7">
        <f t="shared" ca="1" si="3"/>
        <v>0</v>
      </c>
      <c r="Q40" s="7">
        <f t="shared" ca="1" si="4"/>
        <v>2</v>
      </c>
      <c r="R40" s="57" t="str">
        <f t="shared" si="5"/>
        <v>Final Evaluation &amp; Approval  (15-Nov)</v>
      </c>
      <c r="S40" s="8" t="str" cm="1">
        <f t="array" aca="1" ref="S40" ca="1">GetProgressLabel(L40,M40)</f>
        <v>0%</v>
      </c>
      <c r="T40" s="59" t="b">
        <v>0</v>
      </c>
      <c r="U40" s="59" t="s">
        <v>70</v>
      </c>
      <c r="V40" s="56">
        <v>0.5</v>
      </c>
      <c r="W40" s="56">
        <v>0.5</v>
      </c>
      <c r="X40" s="56">
        <v>2</v>
      </c>
      <c r="Y40" s="56">
        <v>0.8</v>
      </c>
      <c r="Z40" s="56"/>
      <c r="AA40" s="56"/>
      <c r="AB40" s="56"/>
      <c r="AC40" s="56"/>
      <c r="AD40" s="56"/>
      <c r="AE40" s="108"/>
      <c r="AF40" s="37"/>
    </row>
    <row r="41" spans="2:32" ht="12" customHeight="1" x14ac:dyDescent="0.3">
      <c r="B41" s="2">
        <f t="shared" si="6"/>
        <v>30</v>
      </c>
      <c r="C41" s="20" t="s">
        <v>241</v>
      </c>
      <c r="D41" s="20" t="s">
        <v>241</v>
      </c>
      <c r="E41" s="105" t="s">
        <v>242</v>
      </c>
      <c r="F41" s="4">
        <f t="shared" si="38"/>
        <v>45976</v>
      </c>
      <c r="G41" s="46">
        <v>2</v>
      </c>
      <c r="H41" s="5">
        <f t="shared" si="31"/>
        <v>19</v>
      </c>
      <c r="I41" s="6">
        <f t="shared" ref="I41" si="43">IFERROR(WORKDAY(F41-1,1,holidays),0)</f>
        <v>45978</v>
      </c>
      <c r="J41" s="6" cm="1">
        <f t="array" ref="J41">FinishDate(I41,G41,holidays)</f>
        <v>45980</v>
      </c>
      <c r="K41" s="44">
        <f t="shared" si="0"/>
        <v>2</v>
      </c>
      <c r="L41" s="16" cm="1">
        <f t="array" aca="1" ref="L41" ca="1">AutoProgress(I41,J41,holidays,$C$5)</f>
        <v>0</v>
      </c>
      <c r="M41" s="17">
        <f t="shared" ca="1" si="30"/>
        <v>0</v>
      </c>
      <c r="N41" s="7">
        <f t="shared" ca="1" si="1"/>
        <v>0</v>
      </c>
      <c r="O41" s="7">
        <f t="shared" ca="1" si="2"/>
        <v>0</v>
      </c>
      <c r="P41" s="7">
        <f t="shared" ca="1" si="3"/>
        <v>0</v>
      </c>
      <c r="Q41" s="7">
        <f t="shared" ca="1" si="4"/>
        <v>2</v>
      </c>
      <c r="R41" s="57" t="str">
        <f t="shared" si="5"/>
        <v>Deployment Planning (19-Nov)</v>
      </c>
      <c r="S41" s="8" t="str" cm="1">
        <f t="array" aca="1" ref="S41" ca="1">GetProgressLabel(L41,M41)</f>
        <v>0%</v>
      </c>
      <c r="T41" s="59" t="b">
        <v>0</v>
      </c>
      <c r="U41" s="59" t="s">
        <v>70</v>
      </c>
      <c r="V41" s="56">
        <v>0.5</v>
      </c>
      <c r="W41" s="56">
        <v>0.5</v>
      </c>
      <c r="X41" s="56">
        <v>0.5</v>
      </c>
      <c r="Y41" s="56">
        <v>0.6</v>
      </c>
      <c r="Z41" s="56"/>
      <c r="AA41" s="56"/>
      <c r="AB41" s="56"/>
      <c r="AC41" s="56"/>
      <c r="AD41" s="56"/>
      <c r="AE41" s="108"/>
      <c r="AF41" s="37"/>
    </row>
    <row r="42" spans="2:32" ht="12" customHeight="1" x14ac:dyDescent="0.3">
      <c r="B42" s="2">
        <f t="shared" si="6"/>
        <v>31</v>
      </c>
      <c r="C42" s="20" t="s">
        <v>243</v>
      </c>
      <c r="D42" s="20" t="s">
        <v>243</v>
      </c>
      <c r="E42" s="105" t="s">
        <v>244</v>
      </c>
      <c r="F42" s="4">
        <f t="shared" si="38"/>
        <v>45980</v>
      </c>
      <c r="G42" s="46">
        <v>5</v>
      </c>
      <c r="H42" s="5">
        <f t="shared" si="31"/>
        <v>19</v>
      </c>
      <c r="I42" s="6">
        <f t="shared" ref="I42" si="44">IFERROR(WORKDAY(F42-1,1,holidays),0)</f>
        <v>45980</v>
      </c>
      <c r="J42" s="6" cm="1">
        <f t="array" ref="J42">FinishDate(I42,G42,holidays)</f>
        <v>45987</v>
      </c>
      <c r="K42" s="44">
        <f t="shared" si="0"/>
        <v>7</v>
      </c>
      <c r="L42" s="16" cm="1">
        <f t="array" aca="1" ref="L42" ca="1">AutoProgress(I42,J42,holidays,$C$5)</f>
        <v>0</v>
      </c>
      <c r="M42" s="17">
        <f t="shared" ca="1" si="30"/>
        <v>0</v>
      </c>
      <c r="N42" s="7">
        <f t="shared" ca="1" si="1"/>
        <v>0</v>
      </c>
      <c r="O42" s="7">
        <f t="shared" ca="1" si="2"/>
        <v>0</v>
      </c>
      <c r="P42" s="7">
        <f t="shared" ca="1" si="3"/>
        <v>0</v>
      </c>
      <c r="Q42" s="7">
        <f t="shared" ca="1" si="4"/>
        <v>7</v>
      </c>
      <c r="R42" s="57" t="str">
        <f t="shared" si="5"/>
        <v>Deployment Execution (26-Nov)</v>
      </c>
      <c r="S42" s="8" t="str" cm="1">
        <f t="array" aca="1" ref="S42" ca="1">GetProgressLabel(L42,M42)</f>
        <v>0%</v>
      </c>
      <c r="T42" s="59" t="b">
        <v>0</v>
      </c>
      <c r="U42" s="59" t="s">
        <v>70</v>
      </c>
      <c r="V42" s="56">
        <v>0.5</v>
      </c>
      <c r="W42" s="56">
        <v>0.5</v>
      </c>
      <c r="X42" s="56">
        <v>1</v>
      </c>
      <c r="Y42" s="56">
        <v>2</v>
      </c>
      <c r="Z42" s="56"/>
      <c r="AA42" s="56"/>
      <c r="AB42" s="56"/>
      <c r="AC42" s="56"/>
      <c r="AD42" s="56"/>
      <c r="AE42" s="108"/>
      <c r="AF42" s="37"/>
    </row>
    <row r="43" spans="2:32" ht="12" customHeight="1" x14ac:dyDescent="0.3">
      <c r="B43" s="9">
        <f t="shared" si="6"/>
        <v>32</v>
      </c>
      <c r="C43" s="21" t="s">
        <v>245</v>
      </c>
      <c r="D43" s="21" t="s">
        <v>245</v>
      </c>
      <c r="E43" s="139" t="s">
        <v>246</v>
      </c>
      <c r="F43" s="111">
        <f t="shared" si="38"/>
        <v>45987</v>
      </c>
      <c r="G43" s="112">
        <v>15</v>
      </c>
      <c r="H43" s="113">
        <f t="shared" si="31"/>
        <v>19</v>
      </c>
      <c r="I43" s="114">
        <f t="shared" ref="I43" si="45">IFERROR(WORKDAY(F43-1,1,holidays),0)</f>
        <v>45987</v>
      </c>
      <c r="J43" s="114" cm="1">
        <f t="array" ref="J43">FinishDate(I43,G43,holidays)</f>
        <v>46010</v>
      </c>
      <c r="K43" s="115">
        <f t="shared" si="0"/>
        <v>23</v>
      </c>
      <c r="L43" s="116" cm="1">
        <f t="array" aca="1" ref="L43" ca="1">AutoProgress(I43,J43,holidays,$C$5)</f>
        <v>0</v>
      </c>
      <c r="M43" s="117">
        <f t="shared" ca="1" si="30"/>
        <v>0</v>
      </c>
      <c r="N43" s="118">
        <f t="shared" ca="1" si="1"/>
        <v>0</v>
      </c>
      <c r="O43" s="118">
        <f t="shared" ca="1" si="2"/>
        <v>0</v>
      </c>
      <c r="P43" s="118">
        <f t="shared" ca="1" si="3"/>
        <v>0</v>
      </c>
      <c r="Q43" s="118">
        <f t="shared" ca="1" si="4"/>
        <v>23</v>
      </c>
      <c r="R43" s="119" t="str">
        <f t="shared" si="5"/>
        <v>Monitoring &amp; Transition (19-Dec)</v>
      </c>
      <c r="S43" s="120" t="str" cm="1">
        <f t="array" aca="1" ref="S43" ca="1">GetProgressLabel(L43,M43)</f>
        <v>0%</v>
      </c>
      <c r="T43" s="121" t="b">
        <v>1</v>
      </c>
      <c r="U43" s="121" t="s">
        <v>70</v>
      </c>
      <c r="V43" s="122">
        <v>2</v>
      </c>
      <c r="W43" s="122">
        <v>1</v>
      </c>
      <c r="X43" s="122">
        <v>6</v>
      </c>
      <c r="Y43" s="122">
        <v>6</v>
      </c>
      <c r="Z43" s="122"/>
      <c r="AA43" s="122"/>
      <c r="AB43" s="122"/>
      <c r="AC43" s="122"/>
      <c r="AD43" s="122"/>
      <c r="AE43" s="123"/>
      <c r="AF43" s="37"/>
    </row>
    <row r="44" spans="2:32" ht="12" customHeight="1" x14ac:dyDescent="0.3">
      <c r="B44" s="125">
        <f t="shared" si="6"/>
        <v>33</v>
      </c>
      <c r="C44" s="126" t="s">
        <v>247</v>
      </c>
      <c r="D44" s="126" t="s">
        <v>247</v>
      </c>
      <c r="E44" s="49" t="s">
        <v>248</v>
      </c>
      <c r="F44" s="127">
        <f>I44</f>
        <v>46010</v>
      </c>
      <c r="G44" s="128">
        <v>5</v>
      </c>
      <c r="H44" s="129">
        <f>B44</f>
        <v>33</v>
      </c>
      <c r="I44" s="127">
        <f>MIN(I45:I46)</f>
        <v>46010</v>
      </c>
      <c r="J44" s="127">
        <f>MAX(J45:J46)</f>
        <v>46017</v>
      </c>
      <c r="K44" s="130">
        <f t="shared" si="0"/>
        <v>7</v>
      </c>
      <c r="L44" s="131" cm="1">
        <f t="array" aca="1" ref="L44" ca="1">WeightedProgress(L45:L46,G45:G46)</f>
        <v>0</v>
      </c>
      <c r="M44" s="132" cm="1">
        <f t="array" aca="1" ref="M44" ca="1">WeightedProgress(M45:M46,G45:G46)</f>
        <v>0</v>
      </c>
      <c r="N44" s="133">
        <f t="shared" ca="1" si="1"/>
        <v>0</v>
      </c>
      <c r="O44" s="133">
        <f t="shared" ca="1" si="2"/>
        <v>0</v>
      </c>
      <c r="P44" s="133">
        <f t="shared" ca="1" si="3"/>
        <v>0</v>
      </c>
      <c r="Q44" s="133">
        <f t="shared" ca="1" si="4"/>
        <v>7</v>
      </c>
      <c r="R44" s="134" t="str">
        <f t="shared" si="5"/>
        <v>Project Closure</v>
      </c>
      <c r="S44" s="135" t="str" cm="1">
        <f t="array" aca="1" ref="S44" ca="1">GetProgressLabel(L44,M44)</f>
        <v>0%</v>
      </c>
      <c r="T44" s="136" t="b">
        <v>1</v>
      </c>
      <c r="U44" s="136" t="s">
        <v>70</v>
      </c>
      <c r="V44" s="137">
        <v>0</v>
      </c>
      <c r="W44" s="137">
        <v>0</v>
      </c>
      <c r="X44" s="137">
        <v>0</v>
      </c>
      <c r="Y44" s="137">
        <v>0</v>
      </c>
      <c r="Z44" s="137"/>
      <c r="AA44" s="137"/>
      <c r="AB44" s="137"/>
      <c r="AC44" s="137"/>
      <c r="AD44" s="137"/>
      <c r="AE44" s="138"/>
      <c r="AF44" s="37"/>
    </row>
    <row r="45" spans="2:32" ht="12" customHeight="1" x14ac:dyDescent="0.3">
      <c r="B45" s="2">
        <f t="shared" si="6"/>
        <v>34</v>
      </c>
      <c r="C45" s="20" t="s">
        <v>249</v>
      </c>
      <c r="D45" s="20" t="s">
        <v>249</v>
      </c>
      <c r="E45" s="20" t="s">
        <v>250</v>
      </c>
      <c r="F45" s="4">
        <f>J43</f>
        <v>46010</v>
      </c>
      <c r="G45" s="46">
        <v>4</v>
      </c>
      <c r="H45" s="5">
        <f>H44</f>
        <v>33</v>
      </c>
      <c r="I45" s="6">
        <f t="shared" ref="I45" si="46">IFERROR(WORKDAY(F45-1,1,holidays),0)</f>
        <v>46010</v>
      </c>
      <c r="J45" s="6" cm="1">
        <f t="array" ref="J45">FinishDate(I45,G45,holidays)</f>
        <v>46016</v>
      </c>
      <c r="K45" s="44">
        <f t="shared" si="0"/>
        <v>6</v>
      </c>
      <c r="L45" s="16" cm="1">
        <f t="array" aca="1" ref="L45" ca="1">AutoProgress(I45,J45,holidays,$C$5)</f>
        <v>0</v>
      </c>
      <c r="M45" s="17">
        <f t="shared" ref="M45:M46" ca="1" si="47">L45</f>
        <v>0</v>
      </c>
      <c r="N45" s="7">
        <f t="shared" ca="1" si="1"/>
        <v>0</v>
      </c>
      <c r="O45" s="7">
        <f t="shared" ca="1" si="2"/>
        <v>0</v>
      </c>
      <c r="P45" s="7">
        <f t="shared" ca="1" si="3"/>
        <v>0</v>
      </c>
      <c r="Q45" s="7">
        <f t="shared" ca="1" si="4"/>
        <v>6</v>
      </c>
      <c r="R45" s="57" t="str">
        <f t="shared" si="5"/>
        <v>Material Preparation (25-Dec)</v>
      </c>
      <c r="S45" s="8" t="str" cm="1">
        <f t="array" aca="1" ref="S45" ca="1">GetProgressLabel(L45,M45)</f>
        <v>0%</v>
      </c>
      <c r="T45" s="59" t="b">
        <v>0</v>
      </c>
      <c r="U45" s="59" t="s">
        <v>70</v>
      </c>
      <c r="V45" s="56">
        <v>1</v>
      </c>
      <c r="W45" s="56">
        <v>0.8</v>
      </c>
      <c r="X45" s="56">
        <v>0.5</v>
      </c>
      <c r="Y45" s="56">
        <v>0.8</v>
      </c>
      <c r="Z45" s="56"/>
      <c r="AA45" s="56"/>
      <c r="AB45" s="56"/>
      <c r="AC45" s="56"/>
      <c r="AD45" s="56"/>
      <c r="AE45" s="108"/>
      <c r="AF45" s="37"/>
    </row>
    <row r="46" spans="2:32" ht="12" customHeight="1" x14ac:dyDescent="0.3">
      <c r="B46" s="10">
        <f t="shared" si="6"/>
        <v>35</v>
      </c>
      <c r="C46" s="22" t="s">
        <v>251</v>
      </c>
      <c r="D46" s="22" t="s">
        <v>251</v>
      </c>
      <c r="E46" s="22" t="s">
        <v>248</v>
      </c>
      <c r="F46" s="11">
        <f>J45</f>
        <v>46016</v>
      </c>
      <c r="G46" s="47">
        <v>1</v>
      </c>
      <c r="H46" s="12">
        <f>H45</f>
        <v>33</v>
      </c>
      <c r="I46" s="13">
        <f t="shared" ref="I46" si="48">IFERROR(WORKDAY(F46-1,1,holidays),0)</f>
        <v>46016</v>
      </c>
      <c r="J46" s="13" cm="1">
        <f t="array" ref="J46">FinishDate(I46,G46,holidays)</f>
        <v>46017</v>
      </c>
      <c r="K46" s="45">
        <f t="shared" si="0"/>
        <v>1</v>
      </c>
      <c r="L46" s="18" cm="1">
        <f t="array" aca="1" ref="L46" ca="1">AutoProgress(I46,J46,holidays,$C$5)</f>
        <v>0</v>
      </c>
      <c r="M46" s="19">
        <f t="shared" ca="1" si="47"/>
        <v>0</v>
      </c>
      <c r="N46" s="14">
        <f t="shared" ca="1" si="1"/>
        <v>0</v>
      </c>
      <c r="O46" s="14">
        <f t="shared" ca="1" si="2"/>
        <v>0</v>
      </c>
      <c r="P46" s="14">
        <f t="shared" ca="1" si="3"/>
        <v>0</v>
      </c>
      <c r="Q46" s="14">
        <f t="shared" ca="1" si="4"/>
        <v>1</v>
      </c>
      <c r="R46" s="58" t="str">
        <f t="shared" si="5"/>
        <v>Project Sign-off meeting (26-Dec)</v>
      </c>
      <c r="S46" s="15" t="str" cm="1">
        <f t="array" aca="1" ref="S46" ca="1">GetProgressLabel(L46,M46)</f>
        <v>0%</v>
      </c>
      <c r="T46" s="60" t="b">
        <v>1</v>
      </c>
      <c r="U46" s="60" t="s">
        <v>70</v>
      </c>
      <c r="V46" s="109">
        <v>0.5</v>
      </c>
      <c r="W46" s="109">
        <v>0.2</v>
      </c>
      <c r="X46" s="109">
        <v>0.25</v>
      </c>
      <c r="Y46" s="109">
        <v>0.2</v>
      </c>
      <c r="Z46" s="109"/>
      <c r="AA46" s="109"/>
      <c r="AB46" s="109"/>
      <c r="AC46" s="109"/>
      <c r="AD46" s="109"/>
      <c r="AE46" s="110"/>
      <c r="AF46" s="37"/>
    </row>
  </sheetData>
  <dataConsolidate/>
  <mergeCells count="16">
    <mergeCell ref="G10:G11"/>
    <mergeCell ref="B10:B11"/>
    <mergeCell ref="C10:C11"/>
    <mergeCell ref="D10:D11"/>
    <mergeCell ref="E10:E11"/>
    <mergeCell ref="F10:F11"/>
    <mergeCell ref="N10:S10"/>
    <mergeCell ref="T10:T11"/>
    <mergeCell ref="U10:U11"/>
    <mergeCell ref="V10:AE10"/>
    <mergeCell ref="H10:H11"/>
    <mergeCell ref="I10:I11"/>
    <mergeCell ref="J10:J11"/>
    <mergeCell ref="K10:K11"/>
    <mergeCell ref="L10:L11"/>
    <mergeCell ref="M10:M11"/>
  </mergeCells>
  <conditionalFormatting sqref="V12:AE46 M12:M46 B12:H46">
    <cfRule type="containsBlanks" dxfId="0" priority="1">
      <formula>LEN(TRIM(B12))=0</formula>
    </cfRule>
  </conditionalFormatting>
  <dataValidations count="7">
    <dataValidation type="date" allowBlank="1" showErrorMessage="1" sqref="J12:K46 N12:S46 V12:AF46" xr:uid="{54B1B322-F4A8-4DF4-9878-D51B94B251AB}">
      <formula1>45292</formula1>
      <formula2>54789</formula2>
    </dataValidation>
    <dataValidation allowBlank="1" showErrorMessage="1" sqref="C5:C8 N12:S46 V12:AF46 I12:L46" xr:uid="{33AC93E4-398F-4DDD-9AEE-4A71745BC1FC}"/>
    <dataValidation type="decimal" allowBlank="1" showErrorMessage="1" sqref="M12:M46" xr:uid="{C7B2EEA5-E8F4-4E9E-8B4B-F2CA11D6C64A}">
      <formula1>0</formula1>
      <formula2>1</formula2>
    </dataValidation>
    <dataValidation type="list" allowBlank="1" showErrorMessage="1" sqref="T12:T46" xr:uid="{4D6FDF08-0BD2-45C4-9642-493A817A5930}">
      <formula1>"TRUE,FALSE"</formula1>
    </dataValidation>
    <dataValidation type="list" allowBlank="1" showErrorMessage="1" sqref="U12:U46" xr:uid="{937F3F1C-B22A-4A54-BF5C-94AFA3EB364D}">
      <formula1>"A,B,C,D,E"</formula1>
    </dataValidation>
    <dataValidation type="whole" allowBlank="1" showErrorMessage="1" sqref="G12:H46" xr:uid="{3F140F05-5DEE-4515-A013-25B84D308858}">
      <formula1>0</formula1>
      <formula2>1000</formula2>
    </dataValidation>
    <dataValidation type="date" allowBlank="1" showErrorMessage="1" sqref="F12:F46" xr:uid="{D5714755-A848-42DE-BED3-2378E2B12BB9}">
      <formula1>36526</formula1>
      <formula2>219148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A612-7C47-4F17-84DA-1AF746FFC1C5}">
  <sheetPr codeName="Sheet10"/>
  <dimension ref="B2:X32"/>
  <sheetViews>
    <sheetView showGridLines="0" tabSelected="1" topLeftCell="A6" zoomScaleNormal="100" workbookViewId="0">
      <selection activeCell="C14" sqref="C14:X15"/>
    </sheetView>
  </sheetViews>
  <sheetFormatPr defaultColWidth="8" defaultRowHeight="13" x14ac:dyDescent="0.3"/>
  <cols>
    <col min="1" max="1" width="3.5" style="1" customWidth="1"/>
    <col min="2" max="2" width="6.5" style="1" customWidth="1"/>
    <col min="3" max="3" width="30.5" style="1" customWidth="1"/>
    <col min="4" max="6" width="10.5" style="1" customWidth="1"/>
    <col min="7" max="24" width="7.5" style="1" customWidth="1"/>
    <col min="25" max="16384" width="8" style="1"/>
  </cols>
  <sheetData>
    <row r="2" spans="2:24" ht="15" customHeight="1" x14ac:dyDescent="0.3">
      <c r="B2" s="23" t="s">
        <v>52</v>
      </c>
    </row>
    <row r="3" spans="2:24" ht="15" customHeight="1" x14ac:dyDescent="0.3">
      <c r="B3" s="61" t="s">
        <v>53</v>
      </c>
      <c r="C3" s="26" t="str">
        <f t="array" ref="C3:C8">WorkSchedule!C3:C8</f>
        <v>PJ2504_0166</v>
      </c>
    </row>
    <row r="4" spans="2:24" ht="15" customHeight="1" x14ac:dyDescent="0.3">
      <c r="B4" s="62" t="s">
        <v>54</v>
      </c>
      <c r="C4" s="30" t="str">
        <v>Online Application Fraud</v>
      </c>
    </row>
    <row r="5" spans="2:24" ht="15" customHeight="1" x14ac:dyDescent="0.3">
      <c r="B5" s="63" t="s">
        <v>55</v>
      </c>
      <c r="C5" s="27">
        <f ca="1"/>
        <v>45842</v>
      </c>
    </row>
    <row r="6" spans="2:24" ht="15" customHeight="1" x14ac:dyDescent="0.3">
      <c r="B6" s="63" t="s">
        <v>39</v>
      </c>
      <c r="C6" s="27">
        <v>45783</v>
      </c>
    </row>
    <row r="7" spans="2:24" ht="15" customHeight="1" x14ac:dyDescent="0.3">
      <c r="B7" s="63" t="s">
        <v>51</v>
      </c>
      <c r="C7" s="27">
        <v>46017</v>
      </c>
    </row>
    <row r="8" spans="2:24" ht="15" customHeight="1" x14ac:dyDescent="0.3">
      <c r="B8" s="64" t="s">
        <v>42</v>
      </c>
      <c r="C8" s="33" t="str">
        <v>234 days</v>
      </c>
    </row>
    <row r="9" spans="2:24" ht="15" customHeight="1" x14ac:dyDescent="0.3"/>
    <row r="10" spans="2:24" ht="15" customHeight="1" x14ac:dyDescent="0.3">
      <c r="B10" s="163" t="s">
        <v>71</v>
      </c>
      <c r="C10" s="143" t="s">
        <v>59</v>
      </c>
      <c r="D10" s="143" t="s">
        <v>60</v>
      </c>
      <c r="E10" s="143" t="s">
        <v>72</v>
      </c>
      <c r="F10" s="154" t="s">
        <v>73</v>
      </c>
      <c r="G10" s="65">
        <v>1</v>
      </c>
      <c r="H10" s="65">
        <f>G10+1</f>
        <v>2</v>
      </c>
      <c r="I10" s="65">
        <f t="shared" ref="I10:X10" si="0">H10+1</f>
        <v>3</v>
      </c>
      <c r="J10" s="65">
        <f t="shared" si="0"/>
        <v>4</v>
      </c>
      <c r="K10" s="65">
        <f t="shared" si="0"/>
        <v>5</v>
      </c>
      <c r="L10" s="65">
        <f t="shared" si="0"/>
        <v>6</v>
      </c>
      <c r="M10" s="65">
        <f t="shared" si="0"/>
        <v>7</v>
      </c>
      <c r="N10" s="65">
        <f t="shared" si="0"/>
        <v>8</v>
      </c>
      <c r="O10" s="65">
        <f t="shared" si="0"/>
        <v>9</v>
      </c>
      <c r="P10" s="65">
        <f t="shared" si="0"/>
        <v>10</v>
      </c>
      <c r="Q10" s="65">
        <f t="shared" si="0"/>
        <v>11</v>
      </c>
      <c r="R10" s="65">
        <f t="shared" si="0"/>
        <v>12</v>
      </c>
      <c r="S10" s="65">
        <f t="shared" si="0"/>
        <v>13</v>
      </c>
      <c r="T10" s="65">
        <f t="shared" si="0"/>
        <v>14</v>
      </c>
      <c r="U10" s="65">
        <f t="shared" si="0"/>
        <v>15</v>
      </c>
      <c r="V10" s="65">
        <f t="shared" si="0"/>
        <v>16</v>
      </c>
      <c r="W10" s="65">
        <f t="shared" si="0"/>
        <v>17</v>
      </c>
      <c r="X10" s="66">
        <f t="shared" si="0"/>
        <v>18</v>
      </c>
    </row>
    <row r="11" spans="2:24" ht="15" customHeight="1" x14ac:dyDescent="0.3">
      <c r="B11" s="164"/>
      <c r="C11" s="144"/>
      <c r="D11" s="144"/>
      <c r="E11" s="144"/>
      <c r="F11" s="155"/>
      <c r="G11" s="67">
        <f ca="1">IFERROR(DATE(YEAR($C$6),MONTH($C$6),1),DATE(YEAR(TODAY()),MONTH(TODAY()),1))</f>
        <v>45778</v>
      </c>
      <c r="H11" s="67">
        <f ca="1">EOMONTH(G11,0)+1</f>
        <v>45809</v>
      </c>
      <c r="I11" s="67">
        <f t="shared" ref="I11:X11" ca="1" si="1">EOMONTH(H11,0)+1</f>
        <v>45839</v>
      </c>
      <c r="J11" s="67">
        <f t="shared" ca="1" si="1"/>
        <v>45870</v>
      </c>
      <c r="K11" s="67">
        <f t="shared" ca="1" si="1"/>
        <v>45901</v>
      </c>
      <c r="L11" s="67">
        <f t="shared" ca="1" si="1"/>
        <v>45931</v>
      </c>
      <c r="M11" s="67">
        <f t="shared" ca="1" si="1"/>
        <v>45962</v>
      </c>
      <c r="N11" s="67">
        <f t="shared" ca="1" si="1"/>
        <v>45992</v>
      </c>
      <c r="O11" s="67">
        <f t="shared" ca="1" si="1"/>
        <v>46023</v>
      </c>
      <c r="P11" s="67">
        <f t="shared" ca="1" si="1"/>
        <v>46054</v>
      </c>
      <c r="Q11" s="67">
        <f t="shared" ca="1" si="1"/>
        <v>46082</v>
      </c>
      <c r="R11" s="67">
        <f t="shared" ca="1" si="1"/>
        <v>46113</v>
      </c>
      <c r="S11" s="67">
        <f t="shared" ca="1" si="1"/>
        <v>46143</v>
      </c>
      <c r="T11" s="67">
        <f t="shared" ca="1" si="1"/>
        <v>46174</v>
      </c>
      <c r="U11" s="67">
        <f t="shared" ca="1" si="1"/>
        <v>46204</v>
      </c>
      <c r="V11" s="67">
        <f t="shared" ca="1" si="1"/>
        <v>46235</v>
      </c>
      <c r="W11" s="67">
        <f t="shared" ca="1" si="1"/>
        <v>46266</v>
      </c>
      <c r="X11" s="68">
        <f t="shared" ca="1" si="1"/>
        <v>46296</v>
      </c>
    </row>
    <row r="12" spans="2:24" ht="14" customHeight="1" x14ac:dyDescent="0.3">
      <c r="B12" s="48">
        <v>1</v>
      </c>
      <c r="C12" s="49" t="s">
        <v>108</v>
      </c>
      <c r="D12" s="69" t="s">
        <v>109</v>
      </c>
      <c r="E12" s="70" t="s">
        <v>110</v>
      </c>
      <c r="F12" s="50">
        <f t="shared" ref="F12:F21" si="2">SUM(G12:X12)</f>
        <v>29.499929999999996</v>
      </c>
      <c r="G12" s="52">
        <f t="shared" ref="G12:P21" si="3">IFERROR(SUMPRODUCT(_xlfn.CHOOSECOLS(contribution,$B12),_xlfn.CHOOSECOLS(workingdays,G$10)),0)</f>
        <v>7.9571100000000001</v>
      </c>
      <c r="H12" s="52">
        <f t="shared" si="3"/>
        <v>5.4428200000000002</v>
      </c>
      <c r="I12" s="52">
        <f t="shared" si="3"/>
        <v>2.1</v>
      </c>
      <c r="J12" s="52">
        <f t="shared" si="3"/>
        <v>3.8</v>
      </c>
      <c r="K12" s="52">
        <f t="shared" si="3"/>
        <v>3.8000500000000001</v>
      </c>
      <c r="L12" s="52">
        <f t="shared" si="3"/>
        <v>1.4000000000000001</v>
      </c>
      <c r="M12" s="52">
        <f t="shared" si="3"/>
        <v>1.8999900000000001</v>
      </c>
      <c r="N12" s="52">
        <f t="shared" si="3"/>
        <v>3.0999600000000003</v>
      </c>
      <c r="O12" s="52">
        <f t="shared" si="3"/>
        <v>0</v>
      </c>
      <c r="P12" s="52">
        <f t="shared" si="3"/>
        <v>0</v>
      </c>
      <c r="Q12" s="52">
        <f t="shared" ref="Q12:X21" si="4">IFERROR(SUMPRODUCT(_xlfn.CHOOSECOLS(contribution,$B12),_xlfn.CHOOSECOLS(workingdays,Q$10)),0)</f>
        <v>0</v>
      </c>
      <c r="R12" s="52">
        <f t="shared" si="4"/>
        <v>0</v>
      </c>
      <c r="S12" s="52">
        <f t="shared" si="4"/>
        <v>0</v>
      </c>
      <c r="T12" s="52">
        <f t="shared" si="4"/>
        <v>0</v>
      </c>
      <c r="U12" s="52">
        <f t="shared" si="4"/>
        <v>0</v>
      </c>
      <c r="V12" s="52">
        <f t="shared" si="4"/>
        <v>0</v>
      </c>
      <c r="W12" s="52">
        <f t="shared" si="4"/>
        <v>0</v>
      </c>
      <c r="X12" s="53">
        <f t="shared" si="4"/>
        <v>0</v>
      </c>
    </row>
    <row r="13" spans="2:24" ht="13" customHeight="1" x14ac:dyDescent="0.3">
      <c r="B13" s="2">
        <v>2</v>
      </c>
      <c r="C13" s="20" t="s">
        <v>252</v>
      </c>
      <c r="D13" s="71" t="s">
        <v>253</v>
      </c>
      <c r="E13" s="72" t="s">
        <v>110</v>
      </c>
      <c r="F13" s="46">
        <f t="shared" si="2"/>
        <v>28.749979999999997</v>
      </c>
      <c r="G13" s="52">
        <f t="shared" si="3"/>
        <v>7.9571100000000001</v>
      </c>
      <c r="H13" s="52">
        <f t="shared" si="3"/>
        <v>5.24282</v>
      </c>
      <c r="I13" s="52">
        <f t="shared" si="3"/>
        <v>4.05</v>
      </c>
      <c r="J13" s="52">
        <f t="shared" si="3"/>
        <v>3.85</v>
      </c>
      <c r="K13" s="52">
        <f t="shared" si="3"/>
        <v>3.6833800000000001</v>
      </c>
      <c r="L13" s="52">
        <f t="shared" si="3"/>
        <v>0.46661999999999998</v>
      </c>
      <c r="M13" s="52">
        <f t="shared" si="3"/>
        <v>1.70001</v>
      </c>
      <c r="N13" s="52">
        <f t="shared" si="3"/>
        <v>1.8000399999999999</v>
      </c>
      <c r="O13" s="52">
        <f t="shared" si="3"/>
        <v>0</v>
      </c>
      <c r="P13" s="52">
        <f t="shared" si="3"/>
        <v>0</v>
      </c>
      <c r="Q13" s="52">
        <f t="shared" si="4"/>
        <v>0</v>
      </c>
      <c r="R13" s="52">
        <f t="shared" si="4"/>
        <v>0</v>
      </c>
      <c r="S13" s="52">
        <f t="shared" si="4"/>
        <v>0</v>
      </c>
      <c r="T13" s="52">
        <f t="shared" si="4"/>
        <v>0</v>
      </c>
      <c r="U13" s="52">
        <f t="shared" si="4"/>
        <v>0</v>
      </c>
      <c r="V13" s="52">
        <f t="shared" si="4"/>
        <v>0</v>
      </c>
      <c r="W13" s="52">
        <f t="shared" si="4"/>
        <v>0</v>
      </c>
      <c r="X13" s="53">
        <f t="shared" si="4"/>
        <v>0</v>
      </c>
    </row>
    <row r="14" spans="2:24" ht="13" customHeight="1" x14ac:dyDescent="0.3">
      <c r="B14" s="2">
        <v>3</v>
      </c>
      <c r="C14" s="20" t="s">
        <v>254</v>
      </c>
      <c r="D14" s="71" t="s">
        <v>255</v>
      </c>
      <c r="E14" s="72" t="s">
        <v>256</v>
      </c>
      <c r="F14" s="46">
        <f t="shared" si="2"/>
        <v>68.250050000000002</v>
      </c>
      <c r="G14" s="52">
        <f t="shared" si="3"/>
        <v>1.6</v>
      </c>
      <c r="H14" s="52">
        <f t="shared" si="3"/>
        <v>9</v>
      </c>
      <c r="I14" s="52">
        <f t="shared" si="3"/>
        <v>8.4</v>
      </c>
      <c r="J14" s="52">
        <f t="shared" si="3"/>
        <v>12.2</v>
      </c>
      <c r="K14" s="52">
        <f t="shared" si="3"/>
        <v>17.400000000000002</v>
      </c>
      <c r="L14" s="52">
        <f t="shared" si="3"/>
        <v>8.8666900000000002</v>
      </c>
      <c r="M14" s="52">
        <f t="shared" si="3"/>
        <v>5.2333600000000002</v>
      </c>
      <c r="N14" s="52">
        <f t="shared" si="3"/>
        <v>5.5500000000000007</v>
      </c>
      <c r="O14" s="52">
        <f t="shared" si="3"/>
        <v>0</v>
      </c>
      <c r="P14" s="52">
        <f t="shared" si="3"/>
        <v>0</v>
      </c>
      <c r="Q14" s="52">
        <f t="shared" si="4"/>
        <v>0</v>
      </c>
      <c r="R14" s="52">
        <f t="shared" si="4"/>
        <v>0</v>
      </c>
      <c r="S14" s="52">
        <f t="shared" si="4"/>
        <v>0</v>
      </c>
      <c r="T14" s="52">
        <f t="shared" si="4"/>
        <v>0</v>
      </c>
      <c r="U14" s="52">
        <f t="shared" si="4"/>
        <v>0</v>
      </c>
      <c r="V14" s="52">
        <f t="shared" si="4"/>
        <v>0</v>
      </c>
      <c r="W14" s="52">
        <f t="shared" si="4"/>
        <v>0</v>
      </c>
      <c r="X14" s="53">
        <f t="shared" si="4"/>
        <v>0</v>
      </c>
    </row>
    <row r="15" spans="2:24" x14ac:dyDescent="0.3">
      <c r="B15" s="2">
        <f t="shared" ref="B15:B21" si="5">B14+1</f>
        <v>4</v>
      </c>
      <c r="C15" s="20" t="s">
        <v>257</v>
      </c>
      <c r="D15" s="71" t="s">
        <v>255</v>
      </c>
      <c r="E15" s="72" t="s">
        <v>256</v>
      </c>
      <c r="F15" s="46">
        <f t="shared" si="2"/>
        <v>67.900000000000006</v>
      </c>
      <c r="G15" s="52">
        <f t="shared" si="3"/>
        <v>2.6</v>
      </c>
      <c r="H15" s="52">
        <f t="shared" si="3"/>
        <v>9</v>
      </c>
      <c r="I15" s="52">
        <f t="shared" si="3"/>
        <v>10.4</v>
      </c>
      <c r="J15" s="52">
        <f t="shared" si="3"/>
        <v>13.2</v>
      </c>
      <c r="K15" s="52">
        <f t="shared" si="3"/>
        <v>15.200000000000001</v>
      </c>
      <c r="L15" s="52">
        <f t="shared" si="3"/>
        <v>6.3000000000000007</v>
      </c>
      <c r="M15" s="52">
        <f t="shared" si="3"/>
        <v>5.4</v>
      </c>
      <c r="N15" s="52">
        <f t="shared" si="3"/>
        <v>5.8000000000000007</v>
      </c>
      <c r="O15" s="52">
        <f t="shared" si="3"/>
        <v>0</v>
      </c>
      <c r="P15" s="52">
        <f t="shared" si="3"/>
        <v>0</v>
      </c>
      <c r="Q15" s="52">
        <f t="shared" si="4"/>
        <v>0</v>
      </c>
      <c r="R15" s="52">
        <f t="shared" si="4"/>
        <v>0</v>
      </c>
      <c r="S15" s="52">
        <f t="shared" si="4"/>
        <v>0</v>
      </c>
      <c r="T15" s="52">
        <f t="shared" si="4"/>
        <v>0</v>
      </c>
      <c r="U15" s="52">
        <f t="shared" si="4"/>
        <v>0</v>
      </c>
      <c r="V15" s="52">
        <f t="shared" si="4"/>
        <v>0</v>
      </c>
      <c r="W15" s="52">
        <f t="shared" si="4"/>
        <v>0</v>
      </c>
      <c r="X15" s="53">
        <f t="shared" si="4"/>
        <v>0</v>
      </c>
    </row>
    <row r="16" spans="2:24" x14ac:dyDescent="0.3">
      <c r="B16" s="2">
        <f t="shared" si="5"/>
        <v>5</v>
      </c>
      <c r="C16" s="20"/>
      <c r="D16" s="71"/>
      <c r="E16" s="72"/>
      <c r="F16" s="46">
        <f t="shared" si="2"/>
        <v>0</v>
      </c>
      <c r="G16" s="52">
        <f t="shared" si="3"/>
        <v>0</v>
      </c>
      <c r="H16" s="52">
        <f t="shared" si="3"/>
        <v>0</v>
      </c>
      <c r="I16" s="52">
        <f t="shared" si="3"/>
        <v>0</v>
      </c>
      <c r="J16" s="52">
        <f t="shared" si="3"/>
        <v>0</v>
      </c>
      <c r="K16" s="52">
        <f t="shared" si="3"/>
        <v>0</v>
      </c>
      <c r="L16" s="52">
        <f t="shared" si="3"/>
        <v>0</v>
      </c>
      <c r="M16" s="52">
        <f t="shared" si="3"/>
        <v>0</v>
      </c>
      <c r="N16" s="52">
        <f t="shared" si="3"/>
        <v>0</v>
      </c>
      <c r="O16" s="52">
        <f t="shared" si="3"/>
        <v>0</v>
      </c>
      <c r="P16" s="52">
        <f t="shared" si="3"/>
        <v>0</v>
      </c>
      <c r="Q16" s="52">
        <f t="shared" si="4"/>
        <v>0</v>
      </c>
      <c r="R16" s="52">
        <f t="shared" si="4"/>
        <v>0</v>
      </c>
      <c r="S16" s="52">
        <f t="shared" si="4"/>
        <v>0</v>
      </c>
      <c r="T16" s="52">
        <f t="shared" si="4"/>
        <v>0</v>
      </c>
      <c r="U16" s="52">
        <f t="shared" si="4"/>
        <v>0</v>
      </c>
      <c r="V16" s="52">
        <f t="shared" si="4"/>
        <v>0</v>
      </c>
      <c r="W16" s="52">
        <f t="shared" si="4"/>
        <v>0</v>
      </c>
      <c r="X16" s="53">
        <f t="shared" si="4"/>
        <v>0</v>
      </c>
    </row>
    <row r="17" spans="2:24" x14ac:dyDescent="0.3">
      <c r="B17" s="2">
        <f t="shared" si="5"/>
        <v>6</v>
      </c>
      <c r="C17" s="20"/>
      <c r="D17" s="71"/>
      <c r="E17" s="72"/>
      <c r="F17" s="46">
        <f t="shared" si="2"/>
        <v>0</v>
      </c>
      <c r="G17" s="52">
        <f t="shared" si="3"/>
        <v>0</v>
      </c>
      <c r="H17" s="52">
        <f t="shared" si="3"/>
        <v>0</v>
      </c>
      <c r="I17" s="52">
        <f t="shared" si="3"/>
        <v>0</v>
      </c>
      <c r="J17" s="52">
        <f t="shared" si="3"/>
        <v>0</v>
      </c>
      <c r="K17" s="52">
        <f t="shared" si="3"/>
        <v>0</v>
      </c>
      <c r="L17" s="52">
        <f t="shared" si="3"/>
        <v>0</v>
      </c>
      <c r="M17" s="52">
        <f t="shared" si="3"/>
        <v>0</v>
      </c>
      <c r="N17" s="52">
        <f t="shared" si="3"/>
        <v>0</v>
      </c>
      <c r="O17" s="52">
        <f t="shared" si="3"/>
        <v>0</v>
      </c>
      <c r="P17" s="52">
        <f t="shared" si="3"/>
        <v>0</v>
      </c>
      <c r="Q17" s="52">
        <f t="shared" si="4"/>
        <v>0</v>
      </c>
      <c r="R17" s="52">
        <f t="shared" si="4"/>
        <v>0</v>
      </c>
      <c r="S17" s="52">
        <f t="shared" si="4"/>
        <v>0</v>
      </c>
      <c r="T17" s="52">
        <f t="shared" si="4"/>
        <v>0</v>
      </c>
      <c r="U17" s="52">
        <f t="shared" si="4"/>
        <v>0</v>
      </c>
      <c r="V17" s="52">
        <f t="shared" si="4"/>
        <v>0</v>
      </c>
      <c r="W17" s="52">
        <f t="shared" si="4"/>
        <v>0</v>
      </c>
      <c r="X17" s="53">
        <f t="shared" si="4"/>
        <v>0</v>
      </c>
    </row>
    <row r="18" spans="2:24" x14ac:dyDescent="0.3">
      <c r="B18" s="2">
        <f t="shared" si="5"/>
        <v>7</v>
      </c>
      <c r="C18" s="20"/>
      <c r="D18" s="71"/>
      <c r="E18" s="72"/>
      <c r="F18" s="46">
        <f t="shared" si="2"/>
        <v>0</v>
      </c>
      <c r="G18" s="52">
        <f t="shared" si="3"/>
        <v>0</v>
      </c>
      <c r="H18" s="52">
        <f t="shared" si="3"/>
        <v>0</v>
      </c>
      <c r="I18" s="52">
        <f t="shared" si="3"/>
        <v>0</v>
      </c>
      <c r="J18" s="52">
        <f t="shared" si="3"/>
        <v>0</v>
      </c>
      <c r="K18" s="52">
        <f t="shared" si="3"/>
        <v>0</v>
      </c>
      <c r="L18" s="52">
        <f t="shared" si="3"/>
        <v>0</v>
      </c>
      <c r="M18" s="52">
        <f t="shared" si="3"/>
        <v>0</v>
      </c>
      <c r="N18" s="52">
        <f t="shared" si="3"/>
        <v>0</v>
      </c>
      <c r="O18" s="52">
        <f t="shared" si="3"/>
        <v>0</v>
      </c>
      <c r="P18" s="52">
        <f t="shared" si="3"/>
        <v>0</v>
      </c>
      <c r="Q18" s="52">
        <f t="shared" si="4"/>
        <v>0</v>
      </c>
      <c r="R18" s="52">
        <f t="shared" si="4"/>
        <v>0</v>
      </c>
      <c r="S18" s="52">
        <f t="shared" si="4"/>
        <v>0</v>
      </c>
      <c r="T18" s="52">
        <f t="shared" si="4"/>
        <v>0</v>
      </c>
      <c r="U18" s="52">
        <f t="shared" si="4"/>
        <v>0</v>
      </c>
      <c r="V18" s="52">
        <f t="shared" si="4"/>
        <v>0</v>
      </c>
      <c r="W18" s="52">
        <f t="shared" si="4"/>
        <v>0</v>
      </c>
      <c r="X18" s="53">
        <f t="shared" si="4"/>
        <v>0</v>
      </c>
    </row>
    <row r="19" spans="2:24" x14ac:dyDescent="0.3">
      <c r="B19" s="2">
        <f t="shared" si="5"/>
        <v>8</v>
      </c>
      <c r="C19" s="20"/>
      <c r="D19" s="71"/>
      <c r="E19" s="72"/>
      <c r="F19" s="46">
        <f t="shared" si="2"/>
        <v>0</v>
      </c>
      <c r="G19" s="52">
        <f t="shared" si="3"/>
        <v>0</v>
      </c>
      <c r="H19" s="52">
        <f t="shared" si="3"/>
        <v>0</v>
      </c>
      <c r="I19" s="52">
        <f t="shared" si="3"/>
        <v>0</v>
      </c>
      <c r="J19" s="52">
        <f t="shared" si="3"/>
        <v>0</v>
      </c>
      <c r="K19" s="52">
        <f t="shared" si="3"/>
        <v>0</v>
      </c>
      <c r="L19" s="52">
        <f t="shared" si="3"/>
        <v>0</v>
      </c>
      <c r="M19" s="52">
        <f t="shared" si="3"/>
        <v>0</v>
      </c>
      <c r="N19" s="52">
        <f t="shared" si="3"/>
        <v>0</v>
      </c>
      <c r="O19" s="52">
        <f t="shared" si="3"/>
        <v>0</v>
      </c>
      <c r="P19" s="52">
        <f t="shared" si="3"/>
        <v>0</v>
      </c>
      <c r="Q19" s="52">
        <f t="shared" si="4"/>
        <v>0</v>
      </c>
      <c r="R19" s="52">
        <f t="shared" si="4"/>
        <v>0</v>
      </c>
      <c r="S19" s="52">
        <f t="shared" si="4"/>
        <v>0</v>
      </c>
      <c r="T19" s="52">
        <f t="shared" si="4"/>
        <v>0</v>
      </c>
      <c r="U19" s="52">
        <f t="shared" si="4"/>
        <v>0</v>
      </c>
      <c r="V19" s="52">
        <f t="shared" si="4"/>
        <v>0</v>
      </c>
      <c r="W19" s="52">
        <f t="shared" si="4"/>
        <v>0</v>
      </c>
      <c r="X19" s="53">
        <f t="shared" si="4"/>
        <v>0</v>
      </c>
    </row>
    <row r="20" spans="2:24" x14ac:dyDescent="0.3">
      <c r="B20" s="2">
        <f t="shared" si="5"/>
        <v>9</v>
      </c>
      <c r="C20" s="20"/>
      <c r="D20" s="71"/>
      <c r="E20" s="72"/>
      <c r="F20" s="46">
        <f t="shared" si="2"/>
        <v>0</v>
      </c>
      <c r="G20" s="52">
        <f t="shared" si="3"/>
        <v>0</v>
      </c>
      <c r="H20" s="52">
        <f t="shared" si="3"/>
        <v>0</v>
      </c>
      <c r="I20" s="52">
        <f t="shared" si="3"/>
        <v>0</v>
      </c>
      <c r="J20" s="52">
        <f t="shared" si="3"/>
        <v>0</v>
      </c>
      <c r="K20" s="52">
        <f t="shared" si="3"/>
        <v>0</v>
      </c>
      <c r="L20" s="52">
        <f t="shared" si="3"/>
        <v>0</v>
      </c>
      <c r="M20" s="52">
        <f t="shared" si="3"/>
        <v>0</v>
      </c>
      <c r="N20" s="52">
        <f t="shared" si="3"/>
        <v>0</v>
      </c>
      <c r="O20" s="52">
        <f t="shared" si="3"/>
        <v>0</v>
      </c>
      <c r="P20" s="52">
        <f t="shared" si="3"/>
        <v>0</v>
      </c>
      <c r="Q20" s="52">
        <f t="shared" si="4"/>
        <v>0</v>
      </c>
      <c r="R20" s="52">
        <f t="shared" si="4"/>
        <v>0</v>
      </c>
      <c r="S20" s="52">
        <f t="shared" si="4"/>
        <v>0</v>
      </c>
      <c r="T20" s="52">
        <f t="shared" si="4"/>
        <v>0</v>
      </c>
      <c r="U20" s="52">
        <f t="shared" si="4"/>
        <v>0</v>
      </c>
      <c r="V20" s="52">
        <f t="shared" si="4"/>
        <v>0</v>
      </c>
      <c r="W20" s="52">
        <f t="shared" si="4"/>
        <v>0</v>
      </c>
      <c r="X20" s="53">
        <f t="shared" si="4"/>
        <v>0</v>
      </c>
    </row>
    <row r="21" spans="2:24" x14ac:dyDescent="0.3">
      <c r="B21" s="10">
        <f t="shared" si="5"/>
        <v>10</v>
      </c>
      <c r="C21" s="22"/>
      <c r="D21" s="73"/>
      <c r="E21" s="74"/>
      <c r="F21" s="47">
        <f t="shared" si="2"/>
        <v>0</v>
      </c>
      <c r="G21" s="54">
        <f t="shared" si="3"/>
        <v>0</v>
      </c>
      <c r="H21" s="54">
        <f t="shared" si="3"/>
        <v>0</v>
      </c>
      <c r="I21" s="54">
        <f t="shared" si="3"/>
        <v>0</v>
      </c>
      <c r="J21" s="54">
        <f t="shared" si="3"/>
        <v>0</v>
      </c>
      <c r="K21" s="54">
        <f t="shared" si="3"/>
        <v>0</v>
      </c>
      <c r="L21" s="54">
        <f t="shared" si="3"/>
        <v>0</v>
      </c>
      <c r="M21" s="54">
        <f t="shared" si="3"/>
        <v>0</v>
      </c>
      <c r="N21" s="54">
        <f t="shared" si="3"/>
        <v>0</v>
      </c>
      <c r="O21" s="54">
        <f t="shared" si="3"/>
        <v>0</v>
      </c>
      <c r="P21" s="54">
        <f t="shared" si="3"/>
        <v>0</v>
      </c>
      <c r="Q21" s="54">
        <f t="shared" si="4"/>
        <v>0</v>
      </c>
      <c r="R21" s="54">
        <f t="shared" si="4"/>
        <v>0</v>
      </c>
      <c r="S21" s="54">
        <f t="shared" si="4"/>
        <v>0</v>
      </c>
      <c r="T21" s="54">
        <f t="shared" si="4"/>
        <v>0</v>
      </c>
      <c r="U21" s="54">
        <f t="shared" si="4"/>
        <v>0</v>
      </c>
      <c r="V21" s="54">
        <f t="shared" si="4"/>
        <v>0</v>
      </c>
      <c r="W21" s="54">
        <f t="shared" si="4"/>
        <v>0</v>
      </c>
      <c r="X21" s="55">
        <f t="shared" si="4"/>
        <v>0</v>
      </c>
    </row>
    <row r="22" spans="2:24" x14ac:dyDescent="0.3">
      <c r="B22" s="156" t="s">
        <v>74</v>
      </c>
      <c r="C22" s="157"/>
      <c r="D22" s="157"/>
      <c r="E22" s="158"/>
      <c r="F22" s="75">
        <f>SUM(F12:F21)</f>
        <v>194.39995999999999</v>
      </c>
      <c r="G22" s="76">
        <f>SUM(G12:G21)</f>
        <v>20.114220000000003</v>
      </c>
      <c r="H22" s="76">
        <f t="shared" ref="H22:X22" si="6">SUM(H12:H21)</f>
        <v>28.685639999999999</v>
      </c>
      <c r="I22" s="76">
        <f t="shared" si="6"/>
        <v>24.950000000000003</v>
      </c>
      <c r="J22" s="76">
        <f t="shared" si="6"/>
        <v>33.049999999999997</v>
      </c>
      <c r="K22" s="76">
        <f t="shared" si="6"/>
        <v>40.083430000000007</v>
      </c>
      <c r="L22" s="76">
        <f t="shared" si="6"/>
        <v>17.03331</v>
      </c>
      <c r="M22" s="76">
        <f t="shared" si="6"/>
        <v>14.233360000000001</v>
      </c>
      <c r="N22" s="76">
        <f t="shared" si="6"/>
        <v>16.25</v>
      </c>
      <c r="O22" s="76">
        <f t="shared" si="6"/>
        <v>0</v>
      </c>
      <c r="P22" s="76">
        <f t="shared" si="6"/>
        <v>0</v>
      </c>
      <c r="Q22" s="76">
        <f t="shared" si="6"/>
        <v>0</v>
      </c>
      <c r="R22" s="76">
        <f t="shared" si="6"/>
        <v>0</v>
      </c>
      <c r="S22" s="76">
        <f t="shared" si="6"/>
        <v>0</v>
      </c>
      <c r="T22" s="76">
        <f t="shared" si="6"/>
        <v>0</v>
      </c>
      <c r="U22" s="76">
        <f t="shared" si="6"/>
        <v>0</v>
      </c>
      <c r="V22" s="76">
        <f t="shared" si="6"/>
        <v>0</v>
      </c>
      <c r="W22" s="76">
        <f t="shared" si="6"/>
        <v>0</v>
      </c>
      <c r="X22" s="77">
        <f t="shared" si="6"/>
        <v>0</v>
      </c>
    </row>
    <row r="23" spans="2:24" x14ac:dyDescent="0.3">
      <c r="G23" s="78"/>
    </row>
    <row r="24" spans="2:24" x14ac:dyDescent="0.3">
      <c r="B24" s="79" t="s">
        <v>75</v>
      </c>
      <c r="C24" s="79"/>
      <c r="D24" s="79"/>
      <c r="G24" s="78"/>
    </row>
    <row r="25" spans="2:24" ht="15" customHeight="1" x14ac:dyDescent="0.3">
      <c r="B25" s="80" t="s">
        <v>76</v>
      </c>
      <c r="C25" s="51" t="s">
        <v>37</v>
      </c>
      <c r="D25" s="81" t="s">
        <v>77</v>
      </c>
      <c r="E25" s="82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</row>
    <row r="26" spans="2:24" ht="14" customHeight="1" x14ac:dyDescent="0.3">
      <c r="B26" s="48" t="s">
        <v>78</v>
      </c>
      <c r="C26" s="49" t="s">
        <v>79</v>
      </c>
      <c r="D26" s="84" cm="1">
        <f t="array" ref="D26">IFERROR(SUM(_xlfn._xlws.FILTER(manday,effort="A")),0)</f>
        <v>14</v>
      </c>
      <c r="E26" s="85"/>
      <c r="F26" s="85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</row>
    <row r="27" spans="2:24" ht="13" customHeight="1" x14ac:dyDescent="0.3">
      <c r="B27" s="2" t="s">
        <v>70</v>
      </c>
      <c r="C27" s="20" t="s">
        <v>80</v>
      </c>
      <c r="D27" s="87" cm="1">
        <f t="array" ref="D27">IFERROR(SUM(_xlfn._xlws.FILTER(_xlfn.CHOOSECOLS(manday,_xlfn._xlws.FILTER(members,EffortType="Implement")),effort="B")),0)</f>
        <v>136.14999999999998</v>
      </c>
      <c r="E27" s="88"/>
      <c r="F27" s="88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</row>
    <row r="28" spans="2:24" ht="13" customHeight="1" x14ac:dyDescent="0.3">
      <c r="B28" s="2" t="s">
        <v>81</v>
      </c>
      <c r="C28" s="20" t="s">
        <v>82</v>
      </c>
      <c r="D28" s="87" cm="1">
        <f t="array" ref="D28">IFERROR(SUM(_xlfn._xlws.FILTER(_xlfn.CHOOSECOLS(manday,_xlfn._xlws.FILTER(members,EffortType="Manage")),effort&lt;&gt;"A")),0)</f>
        <v>44.25</v>
      </c>
      <c r="E28" s="88"/>
      <c r="F28" s="88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</row>
    <row r="29" spans="2:24" x14ac:dyDescent="0.3">
      <c r="B29" s="2" t="s">
        <v>69</v>
      </c>
      <c r="C29" s="20" t="s">
        <v>83</v>
      </c>
      <c r="D29" s="87" cm="1">
        <f t="array" ref="D29">IFERROR(SUM(_xlfn._xlws.FILTER(_xlfn.CHOOSECOLS(manday,_xlfn._xlws.FILTER(members,EffortType="Implement")),effort="D")),0)</f>
        <v>0</v>
      </c>
      <c r="E29" s="88"/>
      <c r="F29" s="88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</row>
    <row r="30" spans="2:24" x14ac:dyDescent="0.3">
      <c r="B30" s="9" t="s">
        <v>84</v>
      </c>
      <c r="C30" s="21" t="s">
        <v>85</v>
      </c>
      <c r="D30" s="89" cm="1">
        <f t="array" ref="D30">IFERROR(SUM(_xlfn._xlws.FILTER(_xlfn.CHOOSECOLS(manday,_xlfn._xlws.FILTER(members,EffortType="Implement")),effort="E")),0)</f>
        <v>0</v>
      </c>
      <c r="E30" s="88"/>
      <c r="F30" s="88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</row>
    <row r="31" spans="2:24" ht="14" customHeight="1" x14ac:dyDescent="0.3">
      <c r="B31" s="159" t="s">
        <v>86</v>
      </c>
      <c r="C31" s="160"/>
      <c r="D31" s="90">
        <f>SUM(D26:D30)</f>
        <v>194.39999999999998</v>
      </c>
      <c r="E31" s="88"/>
      <c r="F31" s="88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</row>
    <row r="32" spans="2:24" ht="14" customHeight="1" x14ac:dyDescent="0.3">
      <c r="B32" s="161" t="s">
        <v>87</v>
      </c>
      <c r="C32" s="162"/>
      <c r="D32" s="91">
        <f>SUM(D26:D30)</f>
        <v>194.39999999999998</v>
      </c>
      <c r="E32" s="88"/>
      <c r="F32" s="88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E32 G25:X32 F26:F32" xr:uid="{D66BB42A-CBAD-406E-B165-695518FB9536}"/>
    <dataValidation type="date" allowBlank="1" showErrorMessage="1" sqref="D12 D26" xr:uid="{5CDAFEA4-1BD0-42F4-910D-77119FF150BE}">
      <formula1>45292</formula1>
      <formula2>54789</formula2>
    </dataValidation>
    <dataValidation type="whole" allowBlank="1" showErrorMessage="1" sqref="F12:F21" xr:uid="{D486FB90-9816-4ADB-8E29-0EA81EB2F218}">
      <formula1>0</formula1>
      <formula2>1000</formula2>
    </dataValidation>
    <dataValidation type="list" allowBlank="1" showInputMessage="1" showErrorMessage="1" sqref="E12:E21" xr:uid="{7BC0B769-934C-4A62-ACFC-4E53658066A9}">
      <formula1>"Manage,Implement"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B88D-68E8-48DD-9D2A-47788D92CF92}">
  <sheetPr codeName="Sheet1"/>
  <dimension ref="A1:Y31"/>
  <sheetViews>
    <sheetView workbookViewId="0">
      <selection activeCell="E25" sqref="E25"/>
    </sheetView>
  </sheetViews>
  <sheetFormatPr defaultColWidth="8.6640625" defaultRowHeight="13" x14ac:dyDescent="0.3"/>
  <cols>
    <col min="1" max="16384" width="8.6640625" style="124"/>
  </cols>
  <sheetData>
    <row r="1" spans="1:25" x14ac:dyDescent="0.3">
      <c r="A1" s="124" t="s">
        <v>140</v>
      </c>
      <c r="B1" s="124" t="s">
        <v>135</v>
      </c>
    </row>
    <row r="2" spans="1:25" x14ac:dyDescent="0.3">
      <c r="A2" s="124" t="s">
        <v>132</v>
      </c>
      <c r="B2" s="124">
        <v>1</v>
      </c>
      <c r="C2" s="124">
        <v>1</v>
      </c>
      <c r="D2" s="124" t="b">
        <v>0</v>
      </c>
      <c r="E2" s="124" t="s">
        <v>133</v>
      </c>
      <c r="F2" s="124" t="s">
        <v>141</v>
      </c>
      <c r="G2" s="124" t="s">
        <v>142</v>
      </c>
      <c r="H2" s="124" t="s">
        <v>143</v>
      </c>
      <c r="I2" s="124" t="s">
        <v>144</v>
      </c>
      <c r="J2" s="124" t="s">
        <v>145</v>
      </c>
      <c r="K2" s="124" t="s">
        <v>134</v>
      </c>
      <c r="L2" s="124" t="s">
        <v>146</v>
      </c>
      <c r="M2" s="124" t="s">
        <v>147</v>
      </c>
      <c r="N2" s="124" t="s">
        <v>148</v>
      </c>
      <c r="O2" s="124" t="s">
        <v>149</v>
      </c>
      <c r="P2" s="124" t="s">
        <v>150</v>
      </c>
      <c r="Q2" s="124" t="s">
        <v>138</v>
      </c>
    </row>
    <row r="3" spans="1:25" x14ac:dyDescent="0.3">
      <c r="A3" s="124" t="s">
        <v>132</v>
      </c>
      <c r="B3" s="124">
        <v>1</v>
      </c>
      <c r="C3" s="124">
        <v>2</v>
      </c>
      <c r="D3" s="124" t="b">
        <v>0</v>
      </c>
      <c r="E3" s="124" t="s">
        <v>133</v>
      </c>
      <c r="F3" s="124" t="s">
        <v>141</v>
      </c>
      <c r="G3" s="124" t="s">
        <v>142</v>
      </c>
      <c r="H3" s="124" t="s">
        <v>143</v>
      </c>
      <c r="I3" s="124" t="s">
        <v>144</v>
      </c>
      <c r="J3" s="124" t="s">
        <v>145</v>
      </c>
      <c r="K3" s="124" t="s">
        <v>134</v>
      </c>
      <c r="L3" s="124" t="s">
        <v>146</v>
      </c>
      <c r="M3" s="124" t="s">
        <v>147</v>
      </c>
      <c r="N3" s="124" t="s">
        <v>148</v>
      </c>
      <c r="O3" s="124" t="s">
        <v>149</v>
      </c>
      <c r="P3" s="124" t="s">
        <v>150</v>
      </c>
      <c r="Q3" s="124" t="s">
        <v>138</v>
      </c>
    </row>
    <row r="4" spans="1:25" x14ac:dyDescent="0.3">
      <c r="A4" s="124" t="s">
        <v>132</v>
      </c>
      <c r="B4" s="124">
        <v>2</v>
      </c>
      <c r="C4" s="124">
        <v>1</v>
      </c>
      <c r="D4" s="124" t="b">
        <v>0</v>
      </c>
      <c r="E4" s="124" t="s">
        <v>133</v>
      </c>
      <c r="F4" s="124" t="s">
        <v>141</v>
      </c>
      <c r="G4" s="124" t="s">
        <v>142</v>
      </c>
      <c r="H4" s="124" t="s">
        <v>143</v>
      </c>
      <c r="I4" s="124" t="s">
        <v>144</v>
      </c>
      <c r="J4" s="124" t="s">
        <v>145</v>
      </c>
      <c r="K4" s="124" t="s">
        <v>134</v>
      </c>
      <c r="L4" s="124" t="s">
        <v>146</v>
      </c>
      <c r="M4" s="124" t="s">
        <v>147</v>
      </c>
      <c r="N4" s="124" t="s">
        <v>148</v>
      </c>
      <c r="O4" s="124" t="s">
        <v>149</v>
      </c>
      <c r="P4" s="124" t="s">
        <v>150</v>
      </c>
      <c r="Q4" s="124" t="s">
        <v>138</v>
      </c>
    </row>
    <row r="5" spans="1:25" x14ac:dyDescent="0.3">
      <c r="A5" s="124" t="s">
        <v>132</v>
      </c>
      <c r="B5" s="124">
        <v>2</v>
      </c>
      <c r="C5" s="124">
        <v>2</v>
      </c>
      <c r="D5" s="124" t="b">
        <v>0</v>
      </c>
      <c r="E5" s="124" t="s">
        <v>133</v>
      </c>
      <c r="F5" s="124" t="s">
        <v>141</v>
      </c>
      <c r="G5" s="124" t="s">
        <v>142</v>
      </c>
      <c r="H5" s="124" t="s">
        <v>143</v>
      </c>
      <c r="I5" s="124" t="s">
        <v>144</v>
      </c>
      <c r="J5" s="124" t="s">
        <v>145</v>
      </c>
      <c r="K5" s="124" t="s">
        <v>134</v>
      </c>
      <c r="L5" s="124" t="s">
        <v>146</v>
      </c>
      <c r="M5" s="124" t="s">
        <v>147</v>
      </c>
      <c r="N5" s="124" t="s">
        <v>148</v>
      </c>
      <c r="O5" s="124" t="s">
        <v>149</v>
      </c>
      <c r="P5" s="124" t="s">
        <v>150</v>
      </c>
      <c r="Q5" s="124" t="s">
        <v>138</v>
      </c>
    </row>
    <row r="6" spans="1:25" x14ac:dyDescent="0.3">
      <c r="A6" s="124" t="s">
        <v>120</v>
      </c>
      <c r="B6" s="124" t="s">
        <v>258</v>
      </c>
      <c r="C6" s="124" t="s">
        <v>259</v>
      </c>
      <c r="D6" s="124" t="s">
        <v>121</v>
      </c>
      <c r="E6" s="124" t="s">
        <v>122</v>
      </c>
    </row>
    <row r="7" spans="1:25" x14ac:dyDescent="0.3">
      <c r="A7" s="124" t="s">
        <v>123</v>
      </c>
      <c r="B7" s="124" t="s">
        <v>124</v>
      </c>
      <c r="C7" s="124" t="s">
        <v>125</v>
      </c>
      <c r="D7" s="124" t="s">
        <v>260</v>
      </c>
      <c r="E7" s="124" t="s">
        <v>261</v>
      </c>
      <c r="F7" s="124" t="s">
        <v>126</v>
      </c>
      <c r="G7" s="124" t="s">
        <v>127</v>
      </c>
    </row>
    <row r="8" spans="1:25" x14ac:dyDescent="0.3">
      <c r="A8" s="124" t="s">
        <v>112</v>
      </c>
      <c r="B8" s="124" t="s">
        <v>128</v>
      </c>
      <c r="C8" s="124">
        <v>1</v>
      </c>
      <c r="D8" s="124" t="s">
        <v>262</v>
      </c>
      <c r="E8" s="124" t="s">
        <v>263</v>
      </c>
      <c r="F8" s="124" t="s">
        <v>264</v>
      </c>
      <c r="G8" s="124" t="s">
        <v>129</v>
      </c>
      <c r="H8" s="124" t="s">
        <v>151</v>
      </c>
      <c r="I8" s="124" t="s">
        <v>165</v>
      </c>
      <c r="J8" s="124" t="s">
        <v>164</v>
      </c>
      <c r="K8" s="124" t="s">
        <v>152</v>
      </c>
      <c r="L8" s="124" t="s">
        <v>130</v>
      </c>
      <c r="M8" s="124" t="s">
        <v>115</v>
      </c>
      <c r="N8" s="124" t="s">
        <v>139</v>
      </c>
      <c r="O8" s="124" t="s">
        <v>137</v>
      </c>
      <c r="P8" s="124" t="s">
        <v>153</v>
      </c>
      <c r="Q8" s="124" t="s">
        <v>154</v>
      </c>
      <c r="R8" s="124" t="s">
        <v>155</v>
      </c>
      <c r="S8" s="124" t="s">
        <v>156</v>
      </c>
      <c r="T8" s="124" t="s">
        <v>157</v>
      </c>
      <c r="U8" s="124" t="s">
        <v>158</v>
      </c>
      <c r="V8" s="124" t="s">
        <v>159</v>
      </c>
      <c r="W8" s="124" t="s">
        <v>160</v>
      </c>
      <c r="X8" s="124" t="s">
        <v>161</v>
      </c>
      <c r="Y8" s="124" t="s">
        <v>162</v>
      </c>
    </row>
    <row r="9" spans="1:25" x14ac:dyDescent="0.3">
      <c r="A9" s="124" t="s">
        <v>112</v>
      </c>
      <c r="B9" s="124" t="s">
        <v>128</v>
      </c>
      <c r="C9" s="124">
        <v>2</v>
      </c>
      <c r="D9" s="124" t="s">
        <v>265</v>
      </c>
      <c r="E9" s="124" t="s">
        <v>266</v>
      </c>
      <c r="F9" s="124" t="s">
        <v>131</v>
      </c>
      <c r="G9" s="124" t="s">
        <v>129</v>
      </c>
      <c r="H9" s="124" t="s">
        <v>151</v>
      </c>
      <c r="I9" s="124" t="s">
        <v>165</v>
      </c>
      <c r="J9" s="124" t="s">
        <v>164</v>
      </c>
      <c r="K9" s="124" t="s">
        <v>152</v>
      </c>
      <c r="L9" s="124" t="s">
        <v>130</v>
      </c>
      <c r="M9" s="124" t="s">
        <v>115</v>
      </c>
      <c r="N9" s="124" t="s">
        <v>139</v>
      </c>
      <c r="O9" s="124" t="s">
        <v>137</v>
      </c>
      <c r="P9" s="124" t="s">
        <v>153</v>
      </c>
      <c r="Q9" s="124" t="s">
        <v>154</v>
      </c>
      <c r="R9" s="124" t="s">
        <v>155</v>
      </c>
      <c r="S9" s="124" t="s">
        <v>156</v>
      </c>
      <c r="T9" s="124" t="s">
        <v>157</v>
      </c>
      <c r="U9" s="124" t="s">
        <v>158</v>
      </c>
      <c r="V9" s="124" t="s">
        <v>159</v>
      </c>
      <c r="W9" s="124" t="s">
        <v>160</v>
      </c>
      <c r="X9" s="124" t="s">
        <v>161</v>
      </c>
      <c r="Y9" s="124" t="s">
        <v>162</v>
      </c>
    </row>
    <row r="10" spans="1:25" x14ac:dyDescent="0.3">
      <c r="A10" s="124" t="s">
        <v>112</v>
      </c>
      <c r="B10" s="124" t="s">
        <v>128</v>
      </c>
      <c r="C10" s="124">
        <v>3</v>
      </c>
      <c r="D10" s="124" t="s">
        <v>267</v>
      </c>
      <c r="E10" s="124" t="s">
        <v>268</v>
      </c>
      <c r="F10" s="124" t="s">
        <v>269</v>
      </c>
      <c r="G10" s="124" t="s">
        <v>129</v>
      </c>
      <c r="H10" s="124" t="s">
        <v>151</v>
      </c>
      <c r="I10" s="124" t="s">
        <v>165</v>
      </c>
      <c r="J10" s="124" t="s">
        <v>164</v>
      </c>
      <c r="K10" s="124" t="s">
        <v>152</v>
      </c>
      <c r="L10" s="124" t="s">
        <v>130</v>
      </c>
      <c r="M10" s="124" t="s">
        <v>115</v>
      </c>
      <c r="N10" s="124" t="s">
        <v>139</v>
      </c>
      <c r="O10" s="124" t="s">
        <v>137</v>
      </c>
      <c r="P10" s="124" t="s">
        <v>153</v>
      </c>
      <c r="Q10" s="124" t="s">
        <v>154</v>
      </c>
      <c r="R10" s="124" t="s">
        <v>155</v>
      </c>
      <c r="S10" s="124" t="s">
        <v>156</v>
      </c>
      <c r="T10" s="124" t="s">
        <v>157</v>
      </c>
      <c r="U10" s="124" t="s">
        <v>158</v>
      </c>
      <c r="V10" s="124" t="s">
        <v>159</v>
      </c>
      <c r="W10" s="124" t="s">
        <v>160</v>
      </c>
      <c r="X10" s="124" t="s">
        <v>161</v>
      </c>
      <c r="Y10" s="124" t="s">
        <v>162</v>
      </c>
    </row>
    <row r="11" spans="1:25" x14ac:dyDescent="0.3">
      <c r="A11" s="124" t="s">
        <v>112</v>
      </c>
      <c r="B11" s="124" t="s">
        <v>128</v>
      </c>
      <c r="C11" s="124">
        <v>4</v>
      </c>
      <c r="D11" s="124" t="s">
        <v>270</v>
      </c>
      <c r="E11" s="124" t="s">
        <v>271</v>
      </c>
      <c r="F11" s="124" t="s">
        <v>269</v>
      </c>
      <c r="G11" s="124" t="s">
        <v>129</v>
      </c>
      <c r="H11" s="124" t="s">
        <v>151</v>
      </c>
      <c r="I11" s="124" t="s">
        <v>165</v>
      </c>
      <c r="J11" s="124" t="s">
        <v>164</v>
      </c>
      <c r="K11" s="124" t="s">
        <v>152</v>
      </c>
      <c r="L11" s="124" t="s">
        <v>130</v>
      </c>
      <c r="M11" s="124" t="s">
        <v>115</v>
      </c>
      <c r="N11" s="124" t="s">
        <v>139</v>
      </c>
      <c r="O11" s="124" t="s">
        <v>137</v>
      </c>
      <c r="P11" s="124" t="s">
        <v>153</v>
      </c>
      <c r="Q11" s="124" t="s">
        <v>154</v>
      </c>
      <c r="R11" s="124" t="s">
        <v>155</v>
      </c>
      <c r="S11" s="124" t="s">
        <v>156</v>
      </c>
      <c r="T11" s="124" t="s">
        <v>157</v>
      </c>
      <c r="U11" s="124" t="s">
        <v>158</v>
      </c>
      <c r="V11" s="124" t="s">
        <v>159</v>
      </c>
      <c r="W11" s="124" t="s">
        <v>160</v>
      </c>
      <c r="X11" s="124" t="s">
        <v>161</v>
      </c>
      <c r="Y11" s="124" t="s">
        <v>162</v>
      </c>
    </row>
    <row r="12" spans="1:25" x14ac:dyDescent="0.3">
      <c r="A12" s="124" t="s">
        <v>112</v>
      </c>
      <c r="B12" s="124" t="s">
        <v>111</v>
      </c>
      <c r="C12" s="124">
        <v>1</v>
      </c>
      <c r="D12" s="124" t="s">
        <v>272</v>
      </c>
      <c r="E12" s="124" t="s">
        <v>273</v>
      </c>
      <c r="F12" s="124" t="s">
        <v>274</v>
      </c>
      <c r="G12" s="124" t="s">
        <v>113</v>
      </c>
      <c r="H12" s="124" t="s">
        <v>151</v>
      </c>
      <c r="I12" s="124" t="s">
        <v>165</v>
      </c>
      <c r="J12" s="124" t="s">
        <v>164</v>
      </c>
      <c r="K12" s="124" t="s">
        <v>152</v>
      </c>
      <c r="L12" s="124" t="s">
        <v>114</v>
      </c>
      <c r="M12" s="124" t="s">
        <v>115</v>
      </c>
      <c r="N12" s="124" t="s">
        <v>139</v>
      </c>
      <c r="O12" s="124" t="s">
        <v>137</v>
      </c>
      <c r="P12" s="124" t="s">
        <v>153</v>
      </c>
      <c r="Q12" s="124" t="s">
        <v>154</v>
      </c>
      <c r="R12" s="124" t="s">
        <v>155</v>
      </c>
      <c r="S12" s="124" t="s">
        <v>156</v>
      </c>
      <c r="T12" s="124" t="s">
        <v>157</v>
      </c>
      <c r="U12" s="124" t="s">
        <v>158</v>
      </c>
      <c r="V12" s="124" t="s">
        <v>159</v>
      </c>
      <c r="W12" s="124" t="s">
        <v>160</v>
      </c>
      <c r="X12" s="124" t="s">
        <v>161</v>
      </c>
      <c r="Y12" s="124" t="s">
        <v>162</v>
      </c>
    </row>
    <row r="13" spans="1:25" x14ac:dyDescent="0.3">
      <c r="A13" s="124" t="s">
        <v>112</v>
      </c>
      <c r="B13" s="124" t="s">
        <v>111</v>
      </c>
      <c r="C13" s="124">
        <v>5</v>
      </c>
      <c r="D13" s="124" t="s">
        <v>275</v>
      </c>
      <c r="E13" s="124" t="s">
        <v>276</v>
      </c>
      <c r="F13" s="124" t="s">
        <v>277</v>
      </c>
      <c r="G13" s="124" t="s">
        <v>278</v>
      </c>
      <c r="H13" s="124" t="s">
        <v>151</v>
      </c>
      <c r="I13" s="124" t="s">
        <v>165</v>
      </c>
      <c r="J13" s="124" t="s">
        <v>164</v>
      </c>
      <c r="K13" s="124" t="s">
        <v>152</v>
      </c>
      <c r="L13" s="124" t="s">
        <v>117</v>
      </c>
      <c r="M13" s="124" t="s">
        <v>118</v>
      </c>
      <c r="N13" s="124" t="s">
        <v>139</v>
      </c>
      <c r="O13" s="124" t="s">
        <v>137</v>
      </c>
      <c r="P13" s="124" t="s">
        <v>153</v>
      </c>
      <c r="Q13" s="124" t="s">
        <v>154</v>
      </c>
      <c r="R13" s="124" t="s">
        <v>155</v>
      </c>
      <c r="S13" s="124" t="s">
        <v>156</v>
      </c>
      <c r="T13" s="124" t="s">
        <v>157</v>
      </c>
      <c r="U13" s="124" t="s">
        <v>158</v>
      </c>
      <c r="V13" s="124" t="s">
        <v>159</v>
      </c>
      <c r="W13" s="124" t="s">
        <v>160</v>
      </c>
      <c r="X13" s="124" t="s">
        <v>161</v>
      </c>
      <c r="Y13" s="124" t="s">
        <v>162</v>
      </c>
    </row>
    <row r="14" spans="1:25" x14ac:dyDescent="0.3">
      <c r="A14" s="124" t="s">
        <v>112</v>
      </c>
      <c r="B14" s="124" t="s">
        <v>111</v>
      </c>
      <c r="C14" s="124">
        <v>6</v>
      </c>
      <c r="D14" s="124" t="s">
        <v>279</v>
      </c>
      <c r="E14" s="124" t="s">
        <v>280</v>
      </c>
      <c r="F14" s="124" t="s">
        <v>281</v>
      </c>
      <c r="G14" s="124" t="s">
        <v>282</v>
      </c>
      <c r="H14" s="124" t="s">
        <v>151</v>
      </c>
      <c r="I14" s="124" t="s">
        <v>165</v>
      </c>
      <c r="J14" s="124" t="s">
        <v>164</v>
      </c>
      <c r="K14" s="124" t="s">
        <v>152</v>
      </c>
      <c r="L14" s="124" t="s">
        <v>117</v>
      </c>
      <c r="M14" s="124" t="s">
        <v>118</v>
      </c>
      <c r="N14" s="124" t="s">
        <v>139</v>
      </c>
      <c r="O14" s="124" t="s">
        <v>137</v>
      </c>
      <c r="P14" s="124" t="s">
        <v>153</v>
      </c>
      <c r="Q14" s="124" t="s">
        <v>154</v>
      </c>
      <c r="R14" s="124" t="s">
        <v>155</v>
      </c>
      <c r="S14" s="124" t="s">
        <v>156</v>
      </c>
      <c r="T14" s="124" t="s">
        <v>157</v>
      </c>
      <c r="U14" s="124" t="s">
        <v>158</v>
      </c>
      <c r="V14" s="124" t="s">
        <v>159</v>
      </c>
      <c r="W14" s="124" t="s">
        <v>160</v>
      </c>
      <c r="X14" s="124" t="s">
        <v>161</v>
      </c>
      <c r="Y14" s="124" t="s">
        <v>162</v>
      </c>
    </row>
    <row r="15" spans="1:25" x14ac:dyDescent="0.3">
      <c r="A15" s="124" t="s">
        <v>112</v>
      </c>
      <c r="B15" s="124" t="s">
        <v>111</v>
      </c>
      <c r="C15" s="124">
        <v>7</v>
      </c>
      <c r="D15" s="124" t="s">
        <v>283</v>
      </c>
      <c r="E15" s="124" t="s">
        <v>284</v>
      </c>
      <c r="F15" s="124" t="s">
        <v>285</v>
      </c>
      <c r="G15" s="124" t="s">
        <v>113</v>
      </c>
      <c r="H15" s="124" t="s">
        <v>151</v>
      </c>
      <c r="I15" s="124" t="s">
        <v>165</v>
      </c>
      <c r="J15" s="124" t="s">
        <v>164</v>
      </c>
      <c r="K15" s="124" t="s">
        <v>152</v>
      </c>
      <c r="L15" s="124" t="s">
        <v>114</v>
      </c>
      <c r="M15" s="124" t="s">
        <v>115</v>
      </c>
      <c r="N15" s="124" t="s">
        <v>139</v>
      </c>
      <c r="O15" s="124" t="s">
        <v>137</v>
      </c>
      <c r="P15" s="124" t="s">
        <v>153</v>
      </c>
      <c r="Q15" s="124" t="s">
        <v>154</v>
      </c>
      <c r="R15" s="124" t="s">
        <v>155</v>
      </c>
      <c r="S15" s="124" t="s">
        <v>156</v>
      </c>
      <c r="T15" s="124" t="s">
        <v>157</v>
      </c>
      <c r="U15" s="124" t="s">
        <v>158</v>
      </c>
      <c r="V15" s="124" t="s">
        <v>159</v>
      </c>
      <c r="W15" s="124" t="s">
        <v>160</v>
      </c>
      <c r="X15" s="124" t="s">
        <v>161</v>
      </c>
      <c r="Y15" s="124" t="s">
        <v>162</v>
      </c>
    </row>
    <row r="16" spans="1:25" x14ac:dyDescent="0.3">
      <c r="A16" s="124" t="s">
        <v>112</v>
      </c>
      <c r="B16" s="124" t="s">
        <v>111</v>
      </c>
      <c r="C16" s="124">
        <v>14</v>
      </c>
      <c r="D16" s="124" t="s">
        <v>286</v>
      </c>
      <c r="E16" s="124" t="s">
        <v>287</v>
      </c>
      <c r="F16" s="124" t="s">
        <v>288</v>
      </c>
      <c r="G16" s="124" t="s">
        <v>289</v>
      </c>
      <c r="H16" s="124" t="s">
        <v>151</v>
      </c>
      <c r="I16" s="124" t="s">
        <v>165</v>
      </c>
      <c r="J16" s="124" t="s">
        <v>164</v>
      </c>
      <c r="K16" s="124" t="s">
        <v>152</v>
      </c>
      <c r="L16" s="124" t="s">
        <v>117</v>
      </c>
      <c r="M16" s="124" t="s">
        <v>118</v>
      </c>
      <c r="N16" s="124" t="s">
        <v>139</v>
      </c>
      <c r="O16" s="124" t="s">
        <v>137</v>
      </c>
      <c r="P16" s="124" t="s">
        <v>153</v>
      </c>
      <c r="Q16" s="124" t="s">
        <v>154</v>
      </c>
      <c r="R16" s="124" t="s">
        <v>155</v>
      </c>
      <c r="S16" s="124" t="s">
        <v>156</v>
      </c>
      <c r="T16" s="124" t="s">
        <v>157</v>
      </c>
      <c r="U16" s="124" t="s">
        <v>158</v>
      </c>
      <c r="V16" s="124" t="s">
        <v>159</v>
      </c>
      <c r="W16" s="124" t="s">
        <v>160</v>
      </c>
      <c r="X16" s="124" t="s">
        <v>161</v>
      </c>
      <c r="Y16" s="124" t="s">
        <v>162</v>
      </c>
    </row>
    <row r="17" spans="1:25" x14ac:dyDescent="0.3">
      <c r="A17" s="124" t="s">
        <v>112</v>
      </c>
      <c r="B17" s="124" t="s">
        <v>111</v>
      </c>
      <c r="C17" s="124">
        <v>16</v>
      </c>
      <c r="D17" s="124" t="s">
        <v>290</v>
      </c>
      <c r="E17" s="124" t="s">
        <v>291</v>
      </c>
      <c r="F17" s="124" t="s">
        <v>292</v>
      </c>
      <c r="G17" s="124" t="s">
        <v>293</v>
      </c>
      <c r="H17" s="124" t="s">
        <v>151</v>
      </c>
      <c r="I17" s="124" t="s">
        <v>165</v>
      </c>
      <c r="J17" s="124" t="s">
        <v>164</v>
      </c>
      <c r="K17" s="124" t="s">
        <v>152</v>
      </c>
      <c r="L17" s="124" t="s">
        <v>117</v>
      </c>
      <c r="M17" s="124" t="s">
        <v>118</v>
      </c>
      <c r="N17" s="124" t="s">
        <v>139</v>
      </c>
      <c r="O17" s="124" t="s">
        <v>137</v>
      </c>
      <c r="P17" s="124" t="s">
        <v>153</v>
      </c>
      <c r="Q17" s="124" t="s">
        <v>154</v>
      </c>
      <c r="R17" s="124" t="s">
        <v>155</v>
      </c>
      <c r="S17" s="124" t="s">
        <v>156</v>
      </c>
      <c r="T17" s="124" t="s">
        <v>157</v>
      </c>
      <c r="U17" s="124" t="s">
        <v>158</v>
      </c>
      <c r="V17" s="124" t="s">
        <v>159</v>
      </c>
      <c r="W17" s="124" t="s">
        <v>160</v>
      </c>
      <c r="X17" s="124" t="s">
        <v>161</v>
      </c>
      <c r="Y17" s="124" t="s">
        <v>162</v>
      </c>
    </row>
    <row r="18" spans="1:25" x14ac:dyDescent="0.3">
      <c r="A18" s="124" t="s">
        <v>112</v>
      </c>
      <c r="B18" s="124" t="s">
        <v>111</v>
      </c>
      <c r="C18" s="124">
        <v>17</v>
      </c>
      <c r="D18" s="124" t="s">
        <v>294</v>
      </c>
      <c r="E18" s="124" t="s">
        <v>295</v>
      </c>
      <c r="F18" s="124" t="s">
        <v>296</v>
      </c>
      <c r="G18" s="124" t="s">
        <v>297</v>
      </c>
      <c r="H18" s="124" t="s">
        <v>151</v>
      </c>
      <c r="I18" s="124" t="s">
        <v>165</v>
      </c>
      <c r="J18" s="124" t="s">
        <v>164</v>
      </c>
      <c r="K18" s="124" t="s">
        <v>152</v>
      </c>
      <c r="L18" s="124" t="s">
        <v>117</v>
      </c>
      <c r="M18" s="124" t="s">
        <v>118</v>
      </c>
      <c r="N18" s="124" t="s">
        <v>139</v>
      </c>
      <c r="O18" s="124" t="s">
        <v>137</v>
      </c>
      <c r="P18" s="124" t="s">
        <v>153</v>
      </c>
      <c r="Q18" s="124" t="s">
        <v>154</v>
      </c>
      <c r="R18" s="124" t="s">
        <v>155</v>
      </c>
      <c r="S18" s="124" t="s">
        <v>156</v>
      </c>
      <c r="T18" s="124" t="s">
        <v>157</v>
      </c>
      <c r="U18" s="124" t="s">
        <v>158</v>
      </c>
      <c r="V18" s="124" t="s">
        <v>159</v>
      </c>
      <c r="W18" s="124" t="s">
        <v>160</v>
      </c>
      <c r="X18" s="124" t="s">
        <v>161</v>
      </c>
      <c r="Y18" s="124" t="s">
        <v>162</v>
      </c>
    </row>
    <row r="19" spans="1:25" x14ac:dyDescent="0.3">
      <c r="A19" s="124" t="s">
        <v>112</v>
      </c>
      <c r="B19" s="124" t="s">
        <v>111</v>
      </c>
      <c r="C19" s="124">
        <v>18</v>
      </c>
      <c r="D19" s="124" t="s">
        <v>298</v>
      </c>
      <c r="E19" s="124" t="s">
        <v>299</v>
      </c>
      <c r="F19" s="124" t="s">
        <v>300</v>
      </c>
      <c r="G19" s="124" t="s">
        <v>116</v>
      </c>
      <c r="H19" s="124" t="s">
        <v>151</v>
      </c>
      <c r="I19" s="124" t="s">
        <v>165</v>
      </c>
      <c r="J19" s="124" t="s">
        <v>164</v>
      </c>
      <c r="K19" s="124" t="s">
        <v>152</v>
      </c>
      <c r="L19" s="124" t="s">
        <v>117</v>
      </c>
      <c r="M19" s="124" t="s">
        <v>118</v>
      </c>
      <c r="N19" s="124" t="s">
        <v>139</v>
      </c>
      <c r="O19" s="124" t="s">
        <v>137</v>
      </c>
      <c r="P19" s="124" t="s">
        <v>153</v>
      </c>
      <c r="Q19" s="124" t="s">
        <v>154</v>
      </c>
      <c r="R19" s="124" t="s">
        <v>155</v>
      </c>
      <c r="S19" s="124" t="s">
        <v>156</v>
      </c>
      <c r="T19" s="124" t="s">
        <v>157</v>
      </c>
      <c r="U19" s="124" t="s">
        <v>158</v>
      </c>
      <c r="V19" s="124" t="s">
        <v>159</v>
      </c>
      <c r="W19" s="124" t="s">
        <v>160</v>
      </c>
      <c r="X19" s="124" t="s">
        <v>161</v>
      </c>
      <c r="Y19" s="124" t="s">
        <v>162</v>
      </c>
    </row>
    <row r="20" spans="1:25" x14ac:dyDescent="0.3">
      <c r="A20" s="124" t="s">
        <v>112</v>
      </c>
      <c r="B20" s="124" t="s">
        <v>111</v>
      </c>
      <c r="C20" s="124">
        <v>19</v>
      </c>
      <c r="D20" s="124" t="s">
        <v>301</v>
      </c>
      <c r="E20" s="124" t="s">
        <v>302</v>
      </c>
      <c r="F20" s="124" t="s">
        <v>303</v>
      </c>
      <c r="G20" s="124" t="s">
        <v>304</v>
      </c>
      <c r="H20" s="124" t="s">
        <v>151</v>
      </c>
      <c r="I20" s="124" t="s">
        <v>165</v>
      </c>
      <c r="J20" s="124" t="s">
        <v>164</v>
      </c>
      <c r="K20" s="124" t="s">
        <v>152</v>
      </c>
      <c r="L20" s="124" t="s">
        <v>114</v>
      </c>
      <c r="M20" s="124" t="s">
        <v>115</v>
      </c>
      <c r="N20" s="124" t="s">
        <v>139</v>
      </c>
      <c r="O20" s="124" t="s">
        <v>137</v>
      </c>
      <c r="P20" s="124" t="s">
        <v>153</v>
      </c>
      <c r="Q20" s="124" t="s">
        <v>154</v>
      </c>
      <c r="R20" s="124" t="s">
        <v>155</v>
      </c>
      <c r="S20" s="124" t="s">
        <v>156</v>
      </c>
      <c r="T20" s="124" t="s">
        <v>157</v>
      </c>
      <c r="U20" s="124" t="s">
        <v>158</v>
      </c>
      <c r="V20" s="124" t="s">
        <v>159</v>
      </c>
      <c r="W20" s="124" t="s">
        <v>160</v>
      </c>
      <c r="X20" s="124" t="s">
        <v>161</v>
      </c>
      <c r="Y20" s="124" t="s">
        <v>162</v>
      </c>
    </row>
    <row r="21" spans="1:25" x14ac:dyDescent="0.3">
      <c r="A21" s="124" t="s">
        <v>112</v>
      </c>
      <c r="B21" s="124" t="s">
        <v>111</v>
      </c>
      <c r="C21" s="124">
        <v>26</v>
      </c>
      <c r="D21" s="124" t="s">
        <v>305</v>
      </c>
      <c r="E21" s="124" t="s">
        <v>306</v>
      </c>
      <c r="F21" s="124" t="s">
        <v>307</v>
      </c>
      <c r="G21" s="124" t="s">
        <v>308</v>
      </c>
      <c r="H21" s="124" t="s">
        <v>151</v>
      </c>
      <c r="I21" s="124" t="s">
        <v>165</v>
      </c>
      <c r="J21" s="124" t="s">
        <v>164</v>
      </c>
      <c r="K21" s="124" t="s">
        <v>152</v>
      </c>
      <c r="L21" s="124" t="s">
        <v>117</v>
      </c>
      <c r="M21" s="124" t="s">
        <v>118</v>
      </c>
      <c r="N21" s="124" t="s">
        <v>139</v>
      </c>
      <c r="O21" s="124" t="s">
        <v>137</v>
      </c>
      <c r="P21" s="124" t="s">
        <v>153</v>
      </c>
      <c r="Q21" s="124" t="s">
        <v>154</v>
      </c>
      <c r="R21" s="124" t="s">
        <v>155</v>
      </c>
      <c r="S21" s="124" t="s">
        <v>156</v>
      </c>
      <c r="T21" s="124" t="s">
        <v>157</v>
      </c>
      <c r="U21" s="124" t="s">
        <v>158</v>
      </c>
      <c r="V21" s="124" t="s">
        <v>159</v>
      </c>
      <c r="W21" s="124" t="s">
        <v>160</v>
      </c>
      <c r="X21" s="124" t="s">
        <v>161</v>
      </c>
      <c r="Y21" s="124" t="s">
        <v>162</v>
      </c>
    </row>
    <row r="22" spans="1:25" x14ac:dyDescent="0.3">
      <c r="A22" s="124" t="s">
        <v>112</v>
      </c>
      <c r="B22" s="124" t="s">
        <v>111</v>
      </c>
      <c r="C22" s="124">
        <v>28</v>
      </c>
      <c r="D22" s="124" t="s">
        <v>309</v>
      </c>
      <c r="E22" s="124" t="s">
        <v>310</v>
      </c>
      <c r="F22" s="124" t="s">
        <v>311</v>
      </c>
      <c r="G22" s="124" t="s">
        <v>293</v>
      </c>
      <c r="H22" s="124" t="s">
        <v>151</v>
      </c>
      <c r="I22" s="124" t="s">
        <v>165</v>
      </c>
      <c r="J22" s="124" t="s">
        <v>164</v>
      </c>
      <c r="K22" s="124" t="s">
        <v>152</v>
      </c>
      <c r="L22" s="124" t="s">
        <v>117</v>
      </c>
      <c r="M22" s="124" t="s">
        <v>118</v>
      </c>
      <c r="N22" s="124" t="s">
        <v>139</v>
      </c>
      <c r="O22" s="124" t="s">
        <v>137</v>
      </c>
      <c r="P22" s="124" t="s">
        <v>153</v>
      </c>
      <c r="Q22" s="124" t="s">
        <v>154</v>
      </c>
      <c r="R22" s="124" t="s">
        <v>155</v>
      </c>
      <c r="S22" s="124" t="s">
        <v>156</v>
      </c>
      <c r="T22" s="124" t="s">
        <v>157</v>
      </c>
      <c r="U22" s="124" t="s">
        <v>158</v>
      </c>
      <c r="V22" s="124" t="s">
        <v>159</v>
      </c>
      <c r="W22" s="124" t="s">
        <v>160</v>
      </c>
      <c r="X22" s="124" t="s">
        <v>161</v>
      </c>
      <c r="Y22" s="124" t="s">
        <v>162</v>
      </c>
    </row>
    <row r="23" spans="1:25" x14ac:dyDescent="0.3">
      <c r="A23" s="124" t="s">
        <v>112</v>
      </c>
      <c r="B23" s="124" t="s">
        <v>111</v>
      </c>
      <c r="C23" s="124">
        <v>32</v>
      </c>
      <c r="D23" s="124" t="s">
        <v>312</v>
      </c>
      <c r="E23" s="124" t="s">
        <v>313</v>
      </c>
      <c r="F23" s="124" t="s">
        <v>314</v>
      </c>
      <c r="G23" s="124" t="s">
        <v>119</v>
      </c>
      <c r="H23" s="124" t="s">
        <v>151</v>
      </c>
      <c r="I23" s="124" t="s">
        <v>165</v>
      </c>
      <c r="J23" s="124" t="s">
        <v>164</v>
      </c>
      <c r="K23" s="124" t="s">
        <v>152</v>
      </c>
      <c r="L23" s="124" t="s">
        <v>117</v>
      </c>
      <c r="M23" s="124" t="s">
        <v>118</v>
      </c>
      <c r="N23" s="124" t="s">
        <v>139</v>
      </c>
      <c r="O23" s="124" t="s">
        <v>137</v>
      </c>
      <c r="P23" s="124" t="s">
        <v>153</v>
      </c>
      <c r="Q23" s="124" t="s">
        <v>154</v>
      </c>
      <c r="R23" s="124" t="s">
        <v>155</v>
      </c>
      <c r="S23" s="124" t="s">
        <v>156</v>
      </c>
      <c r="T23" s="124" t="s">
        <v>157</v>
      </c>
      <c r="U23" s="124" t="s">
        <v>158</v>
      </c>
      <c r="V23" s="124" t="s">
        <v>159</v>
      </c>
      <c r="W23" s="124" t="s">
        <v>160</v>
      </c>
      <c r="X23" s="124" t="s">
        <v>161</v>
      </c>
      <c r="Y23" s="124" t="s">
        <v>162</v>
      </c>
    </row>
    <row r="24" spans="1:25" x14ac:dyDescent="0.3">
      <c r="A24" s="124" t="s">
        <v>112</v>
      </c>
      <c r="B24" s="124" t="s">
        <v>111</v>
      </c>
      <c r="C24" s="124">
        <v>33</v>
      </c>
      <c r="D24" s="124" t="s">
        <v>315</v>
      </c>
      <c r="E24" s="124" t="s">
        <v>316</v>
      </c>
      <c r="F24" s="124" t="s">
        <v>317</v>
      </c>
      <c r="G24" s="124" t="s">
        <v>113</v>
      </c>
      <c r="H24" s="124" t="s">
        <v>151</v>
      </c>
      <c r="I24" s="124" t="s">
        <v>165</v>
      </c>
      <c r="J24" s="124" t="s">
        <v>164</v>
      </c>
      <c r="K24" s="124" t="s">
        <v>152</v>
      </c>
      <c r="L24" s="124" t="s">
        <v>114</v>
      </c>
      <c r="M24" s="124" t="s">
        <v>115</v>
      </c>
      <c r="N24" s="124" t="s">
        <v>139</v>
      </c>
      <c r="O24" s="124" t="s">
        <v>137</v>
      </c>
      <c r="P24" s="124" t="s">
        <v>153</v>
      </c>
      <c r="Q24" s="124" t="s">
        <v>154</v>
      </c>
      <c r="R24" s="124" t="s">
        <v>155</v>
      </c>
      <c r="S24" s="124" t="s">
        <v>156</v>
      </c>
      <c r="T24" s="124" t="s">
        <v>157</v>
      </c>
      <c r="U24" s="124" t="s">
        <v>158</v>
      </c>
      <c r="V24" s="124" t="s">
        <v>159</v>
      </c>
      <c r="W24" s="124" t="s">
        <v>160</v>
      </c>
      <c r="X24" s="124" t="s">
        <v>161</v>
      </c>
      <c r="Y24" s="124" t="s">
        <v>162</v>
      </c>
    </row>
    <row r="25" spans="1:25" x14ac:dyDescent="0.3">
      <c r="A25" s="124" t="s">
        <v>112</v>
      </c>
      <c r="B25" s="124" t="s">
        <v>111</v>
      </c>
      <c r="C25" s="124">
        <v>35</v>
      </c>
      <c r="D25" s="124" t="s">
        <v>318</v>
      </c>
      <c r="E25" s="124" t="s">
        <v>319</v>
      </c>
      <c r="F25" s="124" t="s">
        <v>320</v>
      </c>
      <c r="G25" s="124" t="s">
        <v>297</v>
      </c>
      <c r="H25" s="124" t="s">
        <v>151</v>
      </c>
      <c r="I25" s="124" t="s">
        <v>165</v>
      </c>
      <c r="J25" s="124" t="s">
        <v>164</v>
      </c>
      <c r="K25" s="124" t="s">
        <v>152</v>
      </c>
      <c r="L25" s="124" t="s">
        <v>117</v>
      </c>
      <c r="M25" s="124" t="s">
        <v>118</v>
      </c>
      <c r="N25" s="124" t="s">
        <v>139</v>
      </c>
      <c r="O25" s="124" t="s">
        <v>137</v>
      </c>
      <c r="P25" s="124" t="s">
        <v>153</v>
      </c>
      <c r="Q25" s="124" t="s">
        <v>154</v>
      </c>
      <c r="R25" s="124" t="s">
        <v>155</v>
      </c>
      <c r="S25" s="124" t="s">
        <v>156</v>
      </c>
      <c r="T25" s="124" t="s">
        <v>157</v>
      </c>
      <c r="U25" s="124" t="s">
        <v>158</v>
      </c>
      <c r="V25" s="124" t="s">
        <v>159</v>
      </c>
      <c r="W25" s="124" t="s">
        <v>160</v>
      </c>
      <c r="X25" s="124" t="s">
        <v>161</v>
      </c>
      <c r="Y25" s="124" t="s">
        <v>162</v>
      </c>
    </row>
    <row r="26" spans="1:25" x14ac:dyDescent="0.3">
      <c r="A26" s="124" t="s">
        <v>163</v>
      </c>
      <c r="B26" s="124" t="s">
        <v>136</v>
      </c>
    </row>
    <row r="27" spans="1:25" x14ac:dyDescent="0.3">
      <c r="A27" s="124" t="s">
        <v>166</v>
      </c>
      <c r="B27" s="124" t="s">
        <v>167</v>
      </c>
      <c r="C27" s="124" t="s">
        <v>168</v>
      </c>
      <c r="D27" s="124" t="s">
        <v>169</v>
      </c>
      <c r="E27" s="124" t="s">
        <v>170</v>
      </c>
      <c r="F27" s="124" t="s">
        <v>171</v>
      </c>
      <c r="G27" s="124" t="s">
        <v>172</v>
      </c>
      <c r="H27" s="124" t="s">
        <v>173</v>
      </c>
      <c r="I27" s="124" t="s">
        <v>174</v>
      </c>
    </row>
    <row r="28" spans="1:25" x14ac:dyDescent="0.3">
      <c r="A28" s="124" t="s">
        <v>166</v>
      </c>
      <c r="B28" s="124" t="s">
        <v>43</v>
      </c>
      <c r="C28" s="124" t="s">
        <v>175</v>
      </c>
      <c r="D28" s="124" t="s">
        <v>176</v>
      </c>
      <c r="E28" s="124" t="s">
        <v>177</v>
      </c>
      <c r="F28" s="124" t="s">
        <v>178</v>
      </c>
      <c r="G28" s="124" t="s">
        <v>179</v>
      </c>
      <c r="H28" s="124" t="s">
        <v>180</v>
      </c>
      <c r="I28" s="124" t="s">
        <v>181</v>
      </c>
    </row>
    <row r="29" spans="1:25" x14ac:dyDescent="0.3">
      <c r="A29" s="124" t="s">
        <v>166</v>
      </c>
      <c r="B29" s="124" t="s">
        <v>44</v>
      </c>
      <c r="C29" s="124" t="s">
        <v>175</v>
      </c>
      <c r="D29" s="124" t="s">
        <v>176</v>
      </c>
      <c r="E29" s="124" t="s">
        <v>182</v>
      </c>
      <c r="F29" s="124" t="s">
        <v>178</v>
      </c>
      <c r="G29" s="124" t="s">
        <v>179</v>
      </c>
      <c r="H29" s="124" t="s">
        <v>180</v>
      </c>
      <c r="I29" s="124" t="s">
        <v>181</v>
      </c>
    </row>
    <row r="30" spans="1:25" x14ac:dyDescent="0.3">
      <c r="A30" s="124" t="s">
        <v>166</v>
      </c>
      <c r="B30" s="124" t="s">
        <v>47</v>
      </c>
      <c r="C30" s="124" t="s">
        <v>175</v>
      </c>
      <c r="D30" s="124" t="s">
        <v>176</v>
      </c>
      <c r="E30" s="124" t="s">
        <v>184</v>
      </c>
      <c r="F30" s="124" t="s">
        <v>178</v>
      </c>
      <c r="G30" s="124" t="s">
        <v>179</v>
      </c>
      <c r="H30" s="124" t="s">
        <v>180</v>
      </c>
      <c r="I30" s="124" t="s">
        <v>181</v>
      </c>
    </row>
    <row r="31" spans="1:25" x14ac:dyDescent="0.3">
      <c r="A31" s="124" t="s">
        <v>166</v>
      </c>
      <c r="B31" s="124" t="s">
        <v>46</v>
      </c>
      <c r="C31" s="124" t="s">
        <v>175</v>
      </c>
      <c r="D31" s="124" t="s">
        <v>176</v>
      </c>
      <c r="E31" s="124" t="s">
        <v>183</v>
      </c>
      <c r="F31" s="124" t="s">
        <v>178</v>
      </c>
      <c r="G31" s="124" t="s">
        <v>179</v>
      </c>
      <c r="H31" s="124" t="s">
        <v>180</v>
      </c>
      <c r="I31" s="124" t="s">
        <v>181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gantt-chart" Type="http://schemas.openxmlformats.org/officeDocument/2006/relationships/image" Target="images/gantt-chart.png"/></Relationships>
</file>

<file path=customUI/customUI14.xml><?xml version="1.0" encoding="utf-8"?>
<customUI xmlns="http://schemas.microsoft.com/office/2009/07/customui">
  <ribbon>
    <tabs>
      <tab id="customTab" label="Gantt Chart">
        <group id="creategantt" label="Create/Update Chart">
          <button id="btnCreateGantt" label="Create Gantt Charts" onAction="ExecCommand.CreateNewChart" imageMso="Chart3DBarChart" supertip="Creates two Gantt-style charts: one detailed (GanttChart) and one summary view (Summary)."/>
          <button id="btnUpdateSummary" label="Update Summary" onAction="ExecCommand.UpdateSummaryChart" imageMso="Refresh" supertip="Updates the 'Summary' Gantt chart, refreshing marker color and layout of scatter plots."/>
          <button id="btnUpdateManDay" label="Update Man-day" onAction="ExecCommand.UpdateNames" imageMso="DistributionListUpdateMembers" supertip="Updates named ranges used for man-day calculation or scheduling."/>
        </group>
        <group id="charttemplate" label="Chart Template">
          <button id="btnSaveTemplate" label="Save as Template" onAction="ExecCommand.SaveChartTemplate" imageMso="ChartSaveTemplates" supertip="Saves the selected chart’s style and layout as a reusable template."/>
          <button id="btnApplyTemplate" label="Apply Template" onAction="ExecCommand.ApplyTemplateToChart" imageMso="GroupChartStyles" supertip="Applies a previously saved chart template to the selected cha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PublicHolidays</vt:lpstr>
      <vt:lpstr>WorkSchedule</vt:lpstr>
      <vt:lpstr>MandaySchedule</vt:lpstr>
      <vt:lpstr>Summary</vt:lpstr>
      <vt:lpstr>duration</vt:lpstr>
      <vt:lpstr>effort</vt:lpstr>
      <vt:lpstr>MandaySchedule!EffortType</vt:lpstr>
      <vt:lpstr>holidays</vt:lpstr>
      <vt:lpstr>manday</vt:lpstr>
      <vt:lpstr>MandaySchedule!members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2025-07-04T10:39:19Z</dcterms:modified>
</cp:coreProperties>
</file>