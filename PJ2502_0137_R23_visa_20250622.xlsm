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Default Extension="png" ContentType="image/.P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python.xml" ContentType="application/vnd.ms-excel.python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microsoft.com/office/2007/relationships/ui/extensibility" Target="/customUI/customUI14.xml" Id="Rbdb477a40efa4ce6" 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cky\Desktop\"/>
    </mc:Choice>
  </mc:AlternateContent>
  <xr:revisionPtr revIDLastSave="0" documentId="13_ncr:1_{DEA491D8-5FD5-41D0-B5AC-51FD52B2C90D}" xr6:coauthVersionLast="47" xr6:coauthVersionMax="47" xr10:uidLastSave="{00000000-0000-0000-0000-000000000000}"/>
  <bookViews>
    <workbookView xWindow="-28920" yWindow="8505" windowWidth="29040" windowHeight="15720" firstSheet="1" activeTab="2" xr2:uid="{3AAFA5A8-BE87-48E4-8D01-8808AB85EB7F}"/>
  </bookViews>
  <sheets>
    <sheet name="PublicHolidays" sheetId="1" state="hidden" r:id="rId1"/>
    <sheet name="Summary" sheetId="42" r:id="rId2"/>
    <sheet name="WorkSchedule" sheetId="20" r:id="rId3"/>
    <sheet name="MandaySchedule" sheetId="24" r:id="rId4"/>
    <sheet name="ChartProperties" sheetId="32" state="veryHidden" r:id="rId5"/>
  </sheets>
  <functionGroups builtInGroupCount="19"/>
  <definedNames>
    <definedName name="_xleta.AND" hidden="1" xlm="1">#NAME?</definedName>
    <definedName name="_xleta.COLUMN" hidden="1" xlm="1">#NAME?</definedName>
    <definedName name="_xleta.FIND" hidden="1" xlm="1">#NAME?</definedName>
    <definedName name="_xleta.MIN" hidden="1" xlm="1">#NAME?</definedName>
    <definedName name="_xleta.ROW" hidden="1" xlm="1">#NAME?</definedName>
    <definedName name="_xleta.WORKDAY" hidden="1" xlm="1">#NAME?</definedName>
    <definedName name="contribution">{0,0,0,0,0,0,0,0,0,0;0.02778,0,0,0,0,0,0,0,0,0;0.02222,0,0,0,0,0,0,0,0,0;0.04444,0,0,0,0,0,0,0,0,0;0.15385,0,0,0,0,0,0,0,0,0;0.05556,0,0,0,0,0,0,0,0,0;0,0,0,0,0,0,0,0,0,0;0,0,0,0,0,0,0,0,0,0;0.33333,0,0,0,0,0,0,0,0,0;0.33333,0,0,0,0,0,0,0,0,0;0.33333,0,0,0,0,0,0,0,0,0;0.33333,0,0,0,0,0,0,0,0,0;0.33333,0,0,0,0,0,0,0,0,0;0.33333,0,0,0,0,0,0,0,0,0;0.33333,0,0,0,0,0,0,0,0,0;0.33333,0,0,0,0,0,0,0,0,0;0.33333,0,0,0,0,0,0,0,0,0;0.33333,0,0,0,0,0,0,0,0,0;0.33333,0,0,0,0,0,0,0,0,0;0.33333,0,0,0,0,0,0,0,0,0;0,0,0,0,0,0,0,0,0,0;0.25,0,0,0,0,0,0,0,0,0;0.25,0,0,0,0,0,0,0,0,0;0,0,0,0,0,0,0,0,0,0;0.25,0,0,0,0,0,0,0,0,0;0.125,0,0,0,0,0,0,0,0,0;0.125,0,0,0,0,0,0,0,0,0;0.25,0,0,0,0,0,0,0,0,0;0.25,0,0,0,0,0,0,0,0,0;0,0,0,0,0,0,0,0,0,0;0.25,0,0,0,0,0,0,0,0,0;1,0,0,0,0,0,0,0,0,0;1,0,0,0,0,0,0,0,0,0;1,0,0,0,0,0,0,0,0,0;0,0,0,0,0,0,0,0,0,0;0.25,0,0,0,0,0,0,0,0,0;1,0,0,0,0,0,0,0,0,0;1,0,0,0,0,0,0,0,0,0;0.25,0,0,0,0,0,0,0,0,0;0.25,0,0,0,0,0,0,0,0,0;0.25,0,0,0,0,0,0,0,0,0;0,0,0,0,0,0,0,0,0,0;0.25,0,0,0,0,0,0,0,0,0;1,0,0,0,0,0,0,0,0,0;1,0,0,0,0,0,0,0,0,0;1,0,0,0,0,0,0,0,0,0;1,0,0,0,0,0,0,0,0,0;0,0,0,0,0,0,0,0,0,0;0.875,0,0,0,0,0,0,0,0,0;0.25,0,0,0,0,0,0,0,0,0;0.25,0,0,0,0,0,0,0,0,0;0.3,0,0,0,0,0,0,0,0,0;0.25,0,0,0,0,0,0,0,0,0}</definedName>
    <definedName name="duration">WorkSchedule!$G$12:$G$64</definedName>
    <definedName name="effort">WorkSchedule!$U$12:$U$64</definedName>
    <definedName name="EffortType">MandaySchedule!$E$12:$E$21</definedName>
    <definedName name="faceid_2008">#REF!</definedName>
    <definedName name="faceid_2296">#REF!</definedName>
    <definedName name="faceid_68">#REF!</definedName>
    <definedName name="holidays">PublicHolidays!$B$2:$B$74</definedName>
    <definedName name="manday">WorkSchedule!$V$12:$AE$64</definedName>
    <definedName name="members">MandaySchedule!$B$12:$B$21</definedName>
    <definedName name="workingdays">{0,0,21,19,19,4,0,0,0,0,0,0;0,0,21,15,0,0,0,0,0,0,0,0;0,0,21,19,5,0,0,0,0,0,0,0;0,0,21,19,5,0,0,0,0,0,0,0;0,0,0,0,13,0,0,0,0,0,0,0;0,0,0,0,14,4,0,0,0,0,0,0;16,19,21,19,19,19,21,19,22,21,20,9;16,19,21,19,19,19,21,19,22,21,20,9;3,0,0,0,0,0,0,0,0,0,0,0;0,3,0,0,0,0,0,0,0,0,0,0;0,0,3,0,0,0,0,0,0,0,0,0;0,0,0,3,0,0,0,0,0,0,0,0;0,0,0,0,3,0,0,0,0,0,0,0;0,0,0,0,0,3,0,0,0,0,0,0;0,0,0,0,0,0,3,0,0,0,0,0;0,0,0,0,0,0,0,3,0,0,0,0;0,0,0,0,0,0,0,0,3,0,0,0;0,0,0,0,0,0,0,0,0,3,0,0;0,0,0,0,0,0,0,0,0,0,3,0;0,0,0,0,0,0,0,0,0,0,0,3;0,0,11,18,0,0,0,0,0,0,0,0;0,0,2,0,0,0,0,0,0,0,0,0;0,0,0,2,0,0,0,0,0,0,0,0;0,0,11,19,19,19,10,0,0,0,0,0;0,0,2,0,0,0,0,0,0,0,0,0;0,0,0,0,5,5,0,0,0,0,0,0;0,0,0,0,0,10,0,0,0,0,0,0;0,0,0,0,0,1,0,0,0,0,0,0;0,0,0,0,0,0,1,0,0,0,0,0;0,19,21,19,19,13,0,0,0,0,0,0;0,2,0,0,0,0,0,0,0,0,0,0;0,0,2,0,0,0,0,0,0,0,0,0;0,0,0,0,4,0,0,0,0,0,0,0;0,0,0,0,0,1,0,0,0,0,0,0;0,19,21,19,19,19,21,11,0,0,0,0;0,2,0,0,0,0,0,0,0,0,0,0;0,0,0,4,0,0,0,0,0,0,0,0;0,0,0,0,5,0,0,0,0,0,0,0;0,0,0,0,0,2,0,0,0,0,0,0;0,0,0,0,0,1,19,0,0,0,0,0;0,0,0,0,0,0,9,11,0,0,0,0;0,19,21,19,19,19,21,19,22,3,0,0;0,2,0,0,0,0,0,0,0,0,0,0;0,0,2,0,0,0,0,0,0,0,0,0;0,0,0,0,1,0,0,0,0,0,0,0;0,0,0,0,0,0,5,0,0,0,0,0;0,0,0,0,0,0,0,0,0,3,0,0;0,0,21,19,19,19,16,0,0,0,0,0;0,0,10,0,0,0,0,0,0,0,0,0;0,0,0,0,5,0,0,0,0,0,0,0;0,0,0,0,0,2,0,0,0,0,0,0;0,0,0,0,0,10,0,0,0,0,0,0;0,0,0,0,0,4,16,0,0,0,0,0}</definedName>
  </definedNames>
  <calcPr calcId="191029"/>
  <extLst>
    <ext xmlns:x14="http://schemas.microsoft.com/office/spreadsheetml/2009/9/main" uri="{8193D73E-4604-4355-AFF4-8A2333D13BE4}">
      <x14:definedNames>
        <x14:definedName name="AutoProgress">
          <x14:argumentDescriptions count="4">
            <x14:argumentDescription index="0">is a serial date number that represents the start date</x14:argumentDescription>
            <x14:argumentDescription index="1">is a serial date number that represents the end date</x14:argumentDescription>
            <x14:argumentDescription index="2">is an optional array of one or more serial date numbers to  exclude from the working calendar, such as state and  federal holidays and floating holidays</x14:argumentDescription>
            <x14:argumentDescription index="3">is an optional serial date number that represents the  reference date (default=TODAY())</x14:argumentDescription>
          </x14:argumentDescriptions>
        </x14:definedName>
        <x14:definedName name="CompoundInterest">
          <x14:argumentDescriptions count="3">
            <x14:argumentDescription index="0">Principal: the starting amount of money</x14:argumentDescription>
            <x14:argumentDescription index="1">Rate: the annual interest rate (e.g., 0.05 for 5%)</x14:argumentDescription>
            <x14:argumentDescription index="2">Periods: number of periods to compound</x14:argumentDescription>
          </x14:argumentDescriptions>
        </x14:definedName>
        <x14:definedName name="CountWorkday">
          <x14:argumentDescriptions count="3">
            <x14:argumentDescription index="0">is a serial date number that represents the start date</x14:argumentDescription>
            <x14:argumentDescription index="1">is a serial date number that represents the end date</x14:argumentDescription>
            <x14:argumentDescription index="2">is an optional array of one or more serial date numbers to  exclude from the working calendar, such as state and  federal holidays and floating holidays</x14:argumentDescription>
          </x14:argumentDescriptions>
        </x14:definedName>
        <x14:definedName name="FinishDate">
          <x14:argumentDescriptions count="3">
            <x14:argumentDescription index="0">is a serial date number that represents the start date</x14:argumentDescription>
            <x14:argumentDescription index="1">is a serial date number that represents the start date</x14:argumentDescription>
            <x14:argumentDescription index="2">is an optional array of one or more serial date numbers to  exclude from the working calendar, such as state and  federal holidays and floating holidays</x14:argumentDescription>
          </x14:argumentDescriptions>
        </x14:definedName>
        <x14:definedName name="GetUsedRangeDown">
          <x14:argumentDescriptions count="2">
            <x14:argumentDescription index="0">is a row index</x14:argumentDescription>
            <x14:argumentDescription index="1">is a column index</x14:argumentDescription>
          </x14:argumentDescriptions>
        </x14:definedName>
        <x14:definedName name="startdate">
          <x14:argumentDescriptions count="3">
            <x14:argumentDescription index="0">is a serial date number that represents the start date</x14:argumentDescription>
            <x14:argumentDescription index="1">is an optional array of one or more serial date numbers to  exclude from the working calendar, such as state and  federal holidays and floating holidays</x14:argumentDescription>
            <x14:argumentDescription index="2">is an optional maximum number of calendar days or search  limit (default=365)</x14:argumentDescription>
          </x14:argumentDescriptions>
        </x14:definedName>
        <x14:definedName name="WeightedProgress">
          <x14:argumentDescriptions count="2">
            <x14:argumentDescription index="0">is a range containing percent progress of respective tasks</x14:argumentDescription>
            <x14:argumentDescription index="1">is a range containing number of working days of respective tasks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5" i="20" l="1"/>
  <c r="H32" i="20"/>
  <c r="H19" i="20"/>
  <c r="B19" i="20"/>
  <c r="B18" i="20"/>
  <c r="H18" i="20" s="1"/>
  <c r="R18" i="20" s="1"/>
  <c r="I50" i="20"/>
  <c r="J50" i="20" a="1"/>
  <c r="J50" i="20" l="1"/>
  <c r="F14" i="20"/>
  <c r="F15" i="20" s="1"/>
  <c r="K50" i="20" l="1"/>
  <c r="F51" i="20"/>
  <c r="H12" i="20"/>
  <c r="H13" i="20" s="1"/>
  <c r="H14" i="20" s="1"/>
  <c r="H15" i="20" s="1"/>
  <c r="H16" i="20" s="1"/>
  <c r="H17" i="20" s="1"/>
  <c r="I47" i="20"/>
  <c r="I34" i="20"/>
  <c r="I33" i="20"/>
  <c r="I45" i="20"/>
  <c r="I44" i="20"/>
  <c r="I43" i="20"/>
  <c r="I42" i="20"/>
  <c r="I31" i="20"/>
  <c r="I30" i="20"/>
  <c r="I29" i="20"/>
  <c r="I28" i="20"/>
  <c r="I27" i="20"/>
  <c r="I26" i="20"/>
  <c r="I25" i="20"/>
  <c r="I24" i="20"/>
  <c r="I23" i="20"/>
  <c r="I22" i="20"/>
  <c r="I21" i="20"/>
  <c r="I20" i="20"/>
  <c r="I15" i="20"/>
  <c r="I14" i="20"/>
  <c r="I13" i="20"/>
  <c r="I58" i="20"/>
  <c r="I57" i="20"/>
  <c r="I56" i="20"/>
  <c r="I55" i="20"/>
  <c r="I54" i="20"/>
  <c r="I40" i="20"/>
  <c r="I39" i="20"/>
  <c r="I38" i="20"/>
  <c r="I37" i="20"/>
  <c r="I36" i="20"/>
  <c r="I49" i="20"/>
  <c r="I48" i="20"/>
  <c r="I62" i="20"/>
  <c r="I61" i="20"/>
  <c r="I60" i="20"/>
  <c r="J58" i="20" a="1"/>
  <c r="J21" i="20" a="1"/>
  <c r="J62" i="20" a="1"/>
  <c r="J24" i="20" a="1"/>
  <c r="J39" i="20" a="1"/>
  <c r="J44" i="20" a="1"/>
  <c r="J31" i="20" a="1"/>
  <c r="J22" i="20" a="1"/>
  <c r="J30" i="20" a="1"/>
  <c r="J29" i="20" a="1"/>
  <c r="J57" i="20" a="1"/>
  <c r="J28" i="20" a="1"/>
  <c r="J47" i="20" a="1"/>
  <c r="J48" i="20" a="1"/>
  <c r="J36" i="20" a="1"/>
  <c r="J37" i="20" a="1"/>
  <c r="J33" i="20" a="1"/>
  <c r="J38" i="20" a="1"/>
  <c r="J56" i="20" a="1"/>
  <c r="J27" i="20" a="1"/>
  <c r="J14" i="20" a="1"/>
  <c r="J61" i="20" a="1"/>
  <c r="J55" i="20" a="1"/>
  <c r="J15" i="20" a="1"/>
  <c r="J60" i="20" a="1"/>
  <c r="J34" i="20" a="1"/>
  <c r="J45" i="20" a="1"/>
  <c r="J43" i="20" a="1"/>
  <c r="J20" i="20" a="1"/>
  <c r="J54" i="20" a="1"/>
  <c r="J23" i="20" a="1"/>
  <c r="J49" i="20" a="1"/>
  <c r="J26" i="20" a="1"/>
  <c r="J40" i="20" a="1"/>
  <c r="J42" i="20" a="1"/>
  <c r="J25" i="20" a="1"/>
  <c r="J13" i="20" a="1"/>
  <c r="I51" i="20" l="1"/>
  <c r="F52" i="20"/>
  <c r="I52" i="20" s="1"/>
  <c r="I32" i="20"/>
  <c r="I53" i="20"/>
  <c r="I19" i="20"/>
  <c r="I18" i="20" s="1"/>
  <c r="F18" i="20" s="1"/>
  <c r="I35" i="20"/>
  <c r="I41" i="20"/>
  <c r="J22" i="20"/>
  <c r="K22" i="20" s="1"/>
  <c r="J31" i="20"/>
  <c r="K31" i="20" s="1"/>
  <c r="J13" i="20"/>
  <c r="J23" i="20"/>
  <c r="K23" i="20" s="1"/>
  <c r="J30" i="20"/>
  <c r="K30" i="20" s="1"/>
  <c r="J34" i="20"/>
  <c r="K34" i="20" s="1"/>
  <c r="J21" i="20"/>
  <c r="K21" i="20" s="1"/>
  <c r="J33" i="20"/>
  <c r="J14" i="20"/>
  <c r="K14" i="20" s="1"/>
  <c r="J29" i="20"/>
  <c r="K29" i="20" s="1"/>
  <c r="J20" i="20"/>
  <c r="J28" i="20"/>
  <c r="K28" i="20" s="1"/>
  <c r="J45" i="20"/>
  <c r="K45" i="20" s="1"/>
  <c r="J27" i="20"/>
  <c r="K27" i="20" s="1"/>
  <c r="J44" i="20"/>
  <c r="K44" i="20" s="1"/>
  <c r="J26" i="20"/>
  <c r="K26" i="20" s="1"/>
  <c r="J43" i="20"/>
  <c r="K43" i="20" s="1"/>
  <c r="J25" i="20"/>
  <c r="K25" i="20" s="1"/>
  <c r="J42" i="20"/>
  <c r="J47" i="20"/>
  <c r="J15" i="20"/>
  <c r="J24" i="20"/>
  <c r="K24" i="20" s="1"/>
  <c r="B13" i="20"/>
  <c r="J39" i="20"/>
  <c r="K39" i="20" s="1"/>
  <c r="J38" i="20"/>
  <c r="K38" i="20" s="1"/>
  <c r="J58" i="20"/>
  <c r="K58" i="20" s="1"/>
  <c r="J49" i="20"/>
  <c r="K49" i="20" s="1"/>
  <c r="J37" i="20"/>
  <c r="K37" i="20" s="1"/>
  <c r="J57" i="20"/>
  <c r="K57" i="20" s="1"/>
  <c r="J54" i="20"/>
  <c r="J48" i="20"/>
  <c r="K48" i="20" s="1"/>
  <c r="J36" i="20"/>
  <c r="J56" i="20"/>
  <c r="K56" i="20" s="1"/>
  <c r="J40" i="20"/>
  <c r="K40" i="20" s="1"/>
  <c r="J55" i="20"/>
  <c r="K55" i="20" s="1"/>
  <c r="J62" i="20"/>
  <c r="F63" i="20" s="1"/>
  <c r="I63" i="20" s="1"/>
  <c r="J61" i="20"/>
  <c r="J60" i="20"/>
  <c r="D30" i="24" a="1"/>
  <c r="D30" i="24" s="1"/>
  <c r="D29" i="24" a="1"/>
  <c r="D29" i="24" s="1"/>
  <c r="D28" i="24" a="1"/>
  <c r="D28" i="24" s="1"/>
  <c r="D27" i="24" a="1"/>
  <c r="D27" i="24" s="1"/>
  <c r="D26" i="24" a="1"/>
  <c r="D26" i="24" s="1"/>
  <c r="H15" i="24"/>
  <c r="G15" i="24"/>
  <c r="B15" i="24"/>
  <c r="H14" i="24"/>
  <c r="G14" i="24"/>
  <c r="G13" i="24"/>
  <c r="H12" i="24"/>
  <c r="G12" i="24"/>
  <c r="I10" i="24"/>
  <c r="I12" i="24" s="1"/>
  <c r="H10" i="24"/>
  <c r="H13" i="24" s="1"/>
  <c r="J63" i="20" a="1"/>
  <c r="J51" i="20" a="1"/>
  <c r="J52" i="20" a="1"/>
  <c r="I46" i="20" l="1"/>
  <c r="J52" i="20"/>
  <c r="K52" i="20" s="1"/>
  <c r="J51" i="20"/>
  <c r="K51" i="20" s="1"/>
  <c r="K36" i="20"/>
  <c r="J35" i="20"/>
  <c r="K35" i="20" s="1"/>
  <c r="K33" i="20"/>
  <c r="J32" i="20"/>
  <c r="K54" i="20"/>
  <c r="J53" i="20"/>
  <c r="K53" i="20" s="1"/>
  <c r="K42" i="20"/>
  <c r="J41" i="20"/>
  <c r="K20" i="20"/>
  <c r="J19" i="20"/>
  <c r="K47" i="20"/>
  <c r="K13" i="20"/>
  <c r="J63" i="20"/>
  <c r="F64" i="20" s="1"/>
  <c r="I64" i="20" s="1"/>
  <c r="I59" i="20" s="1"/>
  <c r="K15" i="20"/>
  <c r="F16" i="20"/>
  <c r="B14" i="20"/>
  <c r="R13" i="20"/>
  <c r="K61" i="20"/>
  <c r="K60" i="20"/>
  <c r="K62" i="20"/>
  <c r="D32" i="24"/>
  <c r="D31" i="24"/>
  <c r="I15" i="24"/>
  <c r="B16" i="24"/>
  <c r="I13" i="24"/>
  <c r="I14" i="24"/>
  <c r="J10" i="24"/>
  <c r="C5" i="20"/>
  <c r="J64" i="20" a="1"/>
  <c r="L47" i="20" a="1"/>
  <c r="L31" i="20" a="1"/>
  <c r="L15" i="20" a="1"/>
  <c r="L40" i="20" a="1"/>
  <c r="L38" i="20" a="1"/>
  <c r="L44" i="20" a="1"/>
  <c r="L23" i="20" a="1"/>
  <c r="L49" i="20" a="1"/>
  <c r="L13" i="20" a="1"/>
  <c r="L28" i="20" a="1"/>
  <c r="L43" i="20" a="1"/>
  <c r="L26" i="20" a="1"/>
  <c r="L48" i="20" a="1"/>
  <c r="L33" i="20" a="1"/>
  <c r="L51" i="20" a="1"/>
  <c r="L63" i="20" a="1"/>
  <c r="L37" i="20" a="1"/>
  <c r="L50" i="20" a="1"/>
  <c r="L55" i="20" a="1"/>
  <c r="L29" i="20" a="1"/>
  <c r="L27" i="20" a="1"/>
  <c r="L57" i="20" a="1"/>
  <c r="L42" i="20" a="1"/>
  <c r="L22" i="20" a="1"/>
  <c r="L34" i="20" a="1"/>
  <c r="L54" i="20" a="1"/>
  <c r="L56" i="20" a="1"/>
  <c r="L25" i="20" a="1"/>
  <c r="L24" i="20" a="1"/>
  <c r="L21" i="20" a="1"/>
  <c r="L30" i="20" a="1"/>
  <c r="L58" i="20" a="1"/>
  <c r="L45" i="20" a="1"/>
  <c r="L36" i="20" a="1"/>
  <c r="L14" i="20" a="1"/>
  <c r="L62" i="20" a="1"/>
  <c r="L39" i="20" a="1"/>
  <c r="L20" i="20" a="1"/>
  <c r="L60" i="20" a="1"/>
  <c r="L52" i="20" a="1"/>
  <c r="L61" i="20" a="1"/>
  <c r="K19" i="20" l="1"/>
  <c r="J18" i="20"/>
  <c r="J46" i="20"/>
  <c r="K46" i="20" s="1"/>
  <c r="K63" i="20"/>
  <c r="L51" i="20"/>
  <c r="M51" i="20" s="1"/>
  <c r="L50" i="20"/>
  <c r="M50" i="20" s="1"/>
  <c r="J64" i="20"/>
  <c r="J59" i="20" s="1"/>
  <c r="K59" i="20" s="1"/>
  <c r="F17" i="20"/>
  <c r="I17" i="20" s="1"/>
  <c r="I16" i="20"/>
  <c r="L44" i="20"/>
  <c r="M44" i="20" s="1"/>
  <c r="L27" i="20"/>
  <c r="M27" i="20" s="1"/>
  <c r="L21" i="20"/>
  <c r="M21" i="20" s="1"/>
  <c r="L45" i="20"/>
  <c r="M45" i="20" s="1"/>
  <c r="L28" i="20"/>
  <c r="M28" i="20" s="1"/>
  <c r="L20" i="20"/>
  <c r="L29" i="20"/>
  <c r="M29" i="20" s="1"/>
  <c r="L33" i="20"/>
  <c r="L30" i="20"/>
  <c r="M30" i="20" s="1"/>
  <c r="L22" i="20"/>
  <c r="M22" i="20" s="1"/>
  <c r="L13" i="20"/>
  <c r="L34" i="20"/>
  <c r="M34" i="20" s="1"/>
  <c r="L31" i="20"/>
  <c r="M31" i="20" s="1"/>
  <c r="L23" i="20"/>
  <c r="M23" i="20" s="1"/>
  <c r="L43" i="20"/>
  <c r="M43" i="20" s="1"/>
  <c r="L25" i="20"/>
  <c r="M25" i="20" s="1"/>
  <c r="L26" i="20"/>
  <c r="M26" i="20" s="1"/>
  <c r="L42" i="20"/>
  <c r="L24" i="20"/>
  <c r="M24" i="20" s="1"/>
  <c r="L47" i="20"/>
  <c r="L15" i="20"/>
  <c r="M15" i="20" s="1"/>
  <c r="L14" i="20"/>
  <c r="M14" i="20" s="1"/>
  <c r="B15" i="20"/>
  <c r="R14" i="20"/>
  <c r="L58" i="20"/>
  <c r="M58" i="20" s="1"/>
  <c r="L38" i="20"/>
  <c r="M38" i="20" s="1"/>
  <c r="L56" i="20"/>
  <c r="M56" i="20" s="1"/>
  <c r="L39" i="20"/>
  <c r="M39" i="20" s="1"/>
  <c r="L40" i="20"/>
  <c r="M40" i="20" s="1"/>
  <c r="L48" i="20"/>
  <c r="M48" i="20" s="1"/>
  <c r="L49" i="20"/>
  <c r="M49" i="20" s="1"/>
  <c r="L55" i="20"/>
  <c r="M55" i="20" s="1"/>
  <c r="L57" i="20"/>
  <c r="M57" i="20" s="1"/>
  <c r="L54" i="20"/>
  <c r="L52" i="20"/>
  <c r="M52" i="20" s="1"/>
  <c r="L36" i="20"/>
  <c r="L37" i="20"/>
  <c r="M37" i="20" s="1"/>
  <c r="L62" i="20"/>
  <c r="M62" i="20" s="1"/>
  <c r="L63" i="20"/>
  <c r="M63" i="20" s="1"/>
  <c r="L61" i="20"/>
  <c r="M61" i="20" s="1"/>
  <c r="L60" i="20"/>
  <c r="J12" i="24"/>
  <c r="J14" i="24"/>
  <c r="K10" i="24"/>
  <c r="J13" i="24"/>
  <c r="J15" i="24"/>
  <c r="K16" i="24"/>
  <c r="J16" i="24"/>
  <c r="G16" i="24"/>
  <c r="B17" i="24"/>
  <c r="I16" i="24"/>
  <c r="H16" i="24"/>
  <c r="J16" i="20" a="1"/>
  <c r="J17" i="20" a="1"/>
  <c r="L19" i="20" a="1"/>
  <c r="S39" i="20" a="1"/>
  <c r="S24" i="20" a="1"/>
  <c r="L64" i="20" a="1"/>
  <c r="S22" i="20" a="1"/>
  <c r="S34" i="20" a="1"/>
  <c r="S56" i="20" a="1"/>
  <c r="S27" i="20" a="1"/>
  <c r="S37" i="20" a="1"/>
  <c r="S15" i="20" a="1"/>
  <c r="S28" i="20" a="1"/>
  <c r="S44" i="20" a="1"/>
  <c r="S23" i="20" a="1"/>
  <c r="L35" i="20" a="1"/>
  <c r="S30" i="20" a="1"/>
  <c r="S40" i="20" a="1"/>
  <c r="S57" i="20" a="1"/>
  <c r="S49" i="20" a="1"/>
  <c r="S52" i="20" a="1"/>
  <c r="S48" i="20" a="1"/>
  <c r="S29" i="20" a="1"/>
  <c r="S45" i="20" a="1"/>
  <c r="S25" i="20" a="1"/>
  <c r="L53" i="20" a="1"/>
  <c r="S51" i="20" a="1"/>
  <c r="S50" i="20" a="1"/>
  <c r="S61" i="20" a="1"/>
  <c r="S58" i="20" a="1"/>
  <c r="S26" i="20" a="1"/>
  <c r="S21" i="20" a="1"/>
  <c r="S14" i="20" a="1"/>
  <c r="L41" i="20" a="1"/>
  <c r="S31" i="20" a="1"/>
  <c r="S43" i="20" a="1"/>
  <c r="S63" i="20" a="1"/>
  <c r="S55" i="20" a="1"/>
  <c r="S38" i="20" a="1"/>
  <c r="S62" i="20" a="1"/>
  <c r="L46" i="20" a="1"/>
  <c r="L32" i="20" a="1"/>
  <c r="G18" i="20" l="1"/>
  <c r="K18" i="20"/>
  <c r="S50" i="20"/>
  <c r="S51" i="20"/>
  <c r="O50" i="20"/>
  <c r="P50" i="20"/>
  <c r="N50" i="20"/>
  <c r="O51" i="20"/>
  <c r="P51" i="20"/>
  <c r="N51" i="20"/>
  <c r="I12" i="20"/>
  <c r="M60" i="20"/>
  <c r="O60" i="20" s="1"/>
  <c r="L53" i="20"/>
  <c r="M54" i="20"/>
  <c r="L35" i="20"/>
  <c r="M36" i="20"/>
  <c r="N36" i="20" s="1"/>
  <c r="L46" i="20"/>
  <c r="M47" i="20"/>
  <c r="L32" i="20"/>
  <c r="M33" i="20"/>
  <c r="L41" i="20"/>
  <c r="M42" i="20"/>
  <c r="O42" i="20" s="1"/>
  <c r="M13" i="20"/>
  <c r="L19" i="20"/>
  <c r="M20" i="20"/>
  <c r="P20" i="20" s="1"/>
  <c r="L64" i="20"/>
  <c r="K64" i="20"/>
  <c r="J17" i="20"/>
  <c r="J16" i="20"/>
  <c r="S24" i="20"/>
  <c r="S34" i="20"/>
  <c r="S28" i="20"/>
  <c r="S45" i="20"/>
  <c r="S31" i="20"/>
  <c r="S14" i="20"/>
  <c r="S26" i="20"/>
  <c r="S22" i="20"/>
  <c r="S21" i="20"/>
  <c r="S25" i="20"/>
  <c r="S15" i="20"/>
  <c r="S30" i="20"/>
  <c r="S43" i="20"/>
  <c r="S27" i="20"/>
  <c r="S23" i="20"/>
  <c r="S29" i="20"/>
  <c r="S44" i="20"/>
  <c r="P24" i="20"/>
  <c r="O24" i="20"/>
  <c r="N24" i="20"/>
  <c r="O34" i="20"/>
  <c r="N34" i="20"/>
  <c r="P34" i="20"/>
  <c r="P28" i="20"/>
  <c r="O28" i="20"/>
  <c r="N28" i="20"/>
  <c r="P45" i="20"/>
  <c r="O45" i="20"/>
  <c r="N45" i="20"/>
  <c r="O31" i="20"/>
  <c r="N31" i="20"/>
  <c r="P31" i="20"/>
  <c r="O14" i="20"/>
  <c r="N14" i="20"/>
  <c r="P14" i="20"/>
  <c r="P26" i="20"/>
  <c r="O26" i="20"/>
  <c r="N26" i="20"/>
  <c r="N22" i="20"/>
  <c r="P22" i="20"/>
  <c r="O22" i="20"/>
  <c r="O21" i="20"/>
  <c r="P21" i="20"/>
  <c r="N21" i="20"/>
  <c r="B16" i="20"/>
  <c r="R15" i="20"/>
  <c r="O25" i="20"/>
  <c r="P25" i="20"/>
  <c r="N25" i="20"/>
  <c r="P15" i="20"/>
  <c r="O15" i="20"/>
  <c r="N15" i="20"/>
  <c r="N30" i="20"/>
  <c r="P30" i="20"/>
  <c r="O30" i="20"/>
  <c r="P43" i="20"/>
  <c r="O43" i="20"/>
  <c r="N43" i="20"/>
  <c r="P27" i="20"/>
  <c r="O27" i="20"/>
  <c r="N27" i="20"/>
  <c r="O23" i="20"/>
  <c r="N23" i="20"/>
  <c r="P23" i="20"/>
  <c r="O29" i="20"/>
  <c r="N29" i="20"/>
  <c r="P29" i="20"/>
  <c r="P44" i="20"/>
  <c r="O44" i="20"/>
  <c r="N44" i="20"/>
  <c r="S37" i="20"/>
  <c r="S48" i="20"/>
  <c r="S40" i="20"/>
  <c r="S52" i="20"/>
  <c r="S39" i="20"/>
  <c r="S57" i="20"/>
  <c r="S56" i="20"/>
  <c r="S55" i="20"/>
  <c r="S49" i="20"/>
  <c r="S38" i="20"/>
  <c r="S58" i="20"/>
  <c r="P37" i="20"/>
  <c r="O37" i="20"/>
  <c r="N37" i="20"/>
  <c r="P48" i="20"/>
  <c r="N48" i="20"/>
  <c r="O48" i="20"/>
  <c r="P40" i="20"/>
  <c r="O40" i="20"/>
  <c r="N40" i="20"/>
  <c r="O52" i="20"/>
  <c r="N52" i="20"/>
  <c r="P52" i="20"/>
  <c r="N39" i="20"/>
  <c r="P39" i="20"/>
  <c r="O39" i="20"/>
  <c r="P57" i="20"/>
  <c r="O57" i="20"/>
  <c r="N57" i="20"/>
  <c r="P56" i="20"/>
  <c r="O56" i="20"/>
  <c r="N56" i="20"/>
  <c r="P55" i="20"/>
  <c r="O55" i="20"/>
  <c r="N55" i="20"/>
  <c r="N49" i="20"/>
  <c r="P49" i="20"/>
  <c r="O49" i="20"/>
  <c r="N38" i="20"/>
  <c r="P38" i="20"/>
  <c r="O38" i="20"/>
  <c r="N58" i="20"/>
  <c r="P58" i="20"/>
  <c r="O58" i="20"/>
  <c r="S63" i="20"/>
  <c r="S62" i="20"/>
  <c r="S61" i="20"/>
  <c r="N63" i="20"/>
  <c r="O63" i="20"/>
  <c r="P63" i="20"/>
  <c r="O62" i="20"/>
  <c r="N62" i="20"/>
  <c r="P62" i="20"/>
  <c r="P61" i="20"/>
  <c r="O61" i="20"/>
  <c r="N61" i="20"/>
  <c r="K14" i="24"/>
  <c r="K15" i="24"/>
  <c r="K13" i="24"/>
  <c r="L10" i="24"/>
  <c r="L17" i="24" s="1"/>
  <c r="K12" i="24"/>
  <c r="G17" i="24"/>
  <c r="J17" i="24"/>
  <c r="K17" i="24"/>
  <c r="B18" i="24"/>
  <c r="I17" i="24"/>
  <c r="H17" i="24"/>
  <c r="S42" i="20" a="1"/>
  <c r="M19" i="20" a="1"/>
  <c r="S13" i="20" a="1"/>
  <c r="S54" i="20" a="1"/>
  <c r="L16" i="20" a="1"/>
  <c r="M32" i="20" a="1"/>
  <c r="M35" i="20" a="1"/>
  <c r="L59" i="20" a="1"/>
  <c r="S36" i="20" a="1"/>
  <c r="S33" i="20" a="1"/>
  <c r="M53" i="20" a="1"/>
  <c r="S60" i="20" a="1"/>
  <c r="M41" i="20" a="1"/>
  <c r="S47" i="20" a="1"/>
  <c r="L17" i="20" a="1"/>
  <c r="M46" i="20" a="1"/>
  <c r="S20" i="20" a="1"/>
  <c r="Q51" i="20" l="1"/>
  <c r="Q50" i="20"/>
  <c r="J12" i="20"/>
  <c r="N60" i="20"/>
  <c r="S60" i="20"/>
  <c r="L59" i="20"/>
  <c r="P60" i="20"/>
  <c r="M64" i="20"/>
  <c r="O64" i="20" s="1"/>
  <c r="M53" i="20"/>
  <c r="S54" i="20"/>
  <c r="P54" i="20"/>
  <c r="N54" i="20"/>
  <c r="O54" i="20"/>
  <c r="M35" i="20"/>
  <c r="O36" i="20"/>
  <c r="P36" i="20"/>
  <c r="S36" i="20"/>
  <c r="M46" i="20"/>
  <c r="N47" i="20"/>
  <c r="S47" i="20"/>
  <c r="O47" i="20"/>
  <c r="P47" i="20"/>
  <c r="M32" i="20"/>
  <c r="P33" i="20"/>
  <c r="O33" i="20"/>
  <c r="N33" i="20"/>
  <c r="S33" i="20"/>
  <c r="P42" i="20"/>
  <c r="O20" i="20"/>
  <c r="M41" i="20"/>
  <c r="S42" i="20"/>
  <c r="N42" i="20"/>
  <c r="N20" i="20"/>
  <c r="S13" i="20"/>
  <c r="O13" i="20"/>
  <c r="P13" i="20"/>
  <c r="N13" i="20"/>
  <c r="M19" i="20"/>
  <c r="S20" i="20"/>
  <c r="L16" i="20"/>
  <c r="L17" i="20"/>
  <c r="M17" i="20" s="1"/>
  <c r="Q44" i="20"/>
  <c r="K16" i="20"/>
  <c r="K17" i="20"/>
  <c r="Q23" i="20"/>
  <c r="Q27" i="20"/>
  <c r="Q34" i="20"/>
  <c r="Q24" i="20"/>
  <c r="Q29" i="20"/>
  <c r="Q15" i="20"/>
  <c r="Q26" i="20"/>
  <c r="R16" i="20"/>
  <c r="B17" i="20"/>
  <c r="Q21" i="20"/>
  <c r="Q31" i="20"/>
  <c r="Q14" i="20"/>
  <c r="Q45" i="20"/>
  <c r="Q43" i="20"/>
  <c r="Q30" i="20"/>
  <c r="Q25" i="20"/>
  <c r="Q22" i="20"/>
  <c r="Q28" i="20"/>
  <c r="Q56" i="20"/>
  <c r="Q55" i="20"/>
  <c r="Q40" i="20"/>
  <c r="Q37" i="20"/>
  <c r="Q57" i="20"/>
  <c r="Q52" i="20"/>
  <c r="Q58" i="20"/>
  <c r="Q39" i="20"/>
  <c r="Q49" i="20"/>
  <c r="Q48" i="20"/>
  <c r="Q38" i="20"/>
  <c r="Q63" i="20"/>
  <c r="Q62" i="20"/>
  <c r="Q61" i="20"/>
  <c r="K18" i="24"/>
  <c r="J18" i="24"/>
  <c r="G18" i="24"/>
  <c r="B19" i="24"/>
  <c r="I18" i="24"/>
  <c r="H18" i="24"/>
  <c r="L18" i="24"/>
  <c r="L12" i="24"/>
  <c r="M10" i="24"/>
  <c r="L13" i="24"/>
  <c r="L15" i="24"/>
  <c r="L14" i="24"/>
  <c r="L16" i="24"/>
  <c r="S17" i="20" a="1"/>
  <c r="S64" i="20" a="1"/>
  <c r="M59" i="20" a="1"/>
  <c r="L12" i="20" a="1"/>
  <c r="G12" i="20" l="1"/>
  <c r="C7" i="20"/>
  <c r="C6" i="20"/>
  <c r="Q36" i="20"/>
  <c r="N64" i="20"/>
  <c r="Q60" i="20"/>
  <c r="Q54" i="20"/>
  <c r="M59" i="20"/>
  <c r="S64" i="20"/>
  <c r="P64" i="20"/>
  <c r="Q47" i="20"/>
  <c r="Q33" i="20"/>
  <c r="Q42" i="20"/>
  <c r="Q20" i="20"/>
  <c r="Q13" i="20"/>
  <c r="L12" i="20"/>
  <c r="M16" i="20"/>
  <c r="O16" i="20" s="1"/>
  <c r="S17" i="20"/>
  <c r="P17" i="20"/>
  <c r="O17" i="20"/>
  <c r="N17" i="20"/>
  <c r="R17" i="20"/>
  <c r="H20" i="20"/>
  <c r="N10" i="24"/>
  <c r="M12" i="24"/>
  <c r="M13" i="24"/>
  <c r="M14" i="24"/>
  <c r="M15" i="24"/>
  <c r="M16" i="24"/>
  <c r="M17" i="24"/>
  <c r="M18" i="24"/>
  <c r="G19" i="24"/>
  <c r="J19" i="24"/>
  <c r="N19" i="24"/>
  <c r="K19" i="24"/>
  <c r="M19" i="24"/>
  <c r="L19" i="24"/>
  <c r="B20" i="24"/>
  <c r="I19" i="24"/>
  <c r="H19" i="24"/>
  <c r="M12" i="20" a="1"/>
  <c r="S16" i="20" a="1"/>
  <c r="H21" i="20" l="1"/>
  <c r="Q64" i="20"/>
  <c r="P16" i="20"/>
  <c r="M12" i="20"/>
  <c r="S16" i="20"/>
  <c r="N16" i="20"/>
  <c r="Q17" i="20"/>
  <c r="B20" i="20"/>
  <c r="R20" i="20" s="1"/>
  <c r="N13" i="24"/>
  <c r="N15" i="24"/>
  <c r="N12" i="24"/>
  <c r="N14" i="24"/>
  <c r="O10" i="24"/>
  <c r="N16" i="24"/>
  <c r="N17" i="24"/>
  <c r="N18" i="24"/>
  <c r="K20" i="24"/>
  <c r="N20" i="24"/>
  <c r="J20" i="24"/>
  <c r="O20" i="24"/>
  <c r="G20" i="24"/>
  <c r="B21" i="24"/>
  <c r="I20" i="24"/>
  <c r="H20" i="24"/>
  <c r="M20" i="24"/>
  <c r="L20" i="24"/>
  <c r="H22" i="20" l="1"/>
  <c r="Q16" i="20"/>
  <c r="B21" i="20"/>
  <c r="O21" i="24"/>
  <c r="G21" i="24"/>
  <c r="N21" i="24"/>
  <c r="N22" i="24" s="1"/>
  <c r="K21" i="24"/>
  <c r="K22" i="24" s="1"/>
  <c r="M21" i="24"/>
  <c r="M22" i="24" s="1"/>
  <c r="J21" i="24"/>
  <c r="J22" i="24" s="1"/>
  <c r="L21" i="24"/>
  <c r="L22" i="24" s="1"/>
  <c r="I21" i="24"/>
  <c r="I22" i="24" s="1"/>
  <c r="P21" i="24"/>
  <c r="H21" i="24"/>
  <c r="H22" i="24" s="1"/>
  <c r="O15" i="24"/>
  <c r="O12" i="24"/>
  <c r="O14" i="24"/>
  <c r="O13" i="24"/>
  <c r="P10" i="24"/>
  <c r="O16" i="24"/>
  <c r="O17" i="24"/>
  <c r="O18" i="24"/>
  <c r="O19" i="24"/>
  <c r="R21" i="20" l="1"/>
  <c r="B22" i="20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H23" i="20"/>
  <c r="R22" i="20"/>
  <c r="G22" i="24"/>
  <c r="P12" i="24"/>
  <c r="Q10" i="24"/>
  <c r="P14" i="24"/>
  <c r="P13" i="24"/>
  <c r="P15" i="24"/>
  <c r="P16" i="24"/>
  <c r="P17" i="24"/>
  <c r="P18" i="24"/>
  <c r="P19" i="24"/>
  <c r="P20" i="24"/>
  <c r="O22" i="24"/>
  <c r="H24" i="20" l="1"/>
  <c r="R23" i="20"/>
  <c r="Q12" i="24"/>
  <c r="R10" i="24"/>
  <c r="Q14" i="24"/>
  <c r="Q13" i="24"/>
  <c r="Q15" i="24"/>
  <c r="Q16" i="24"/>
  <c r="Q17" i="24"/>
  <c r="Q18" i="24"/>
  <c r="Q19" i="24"/>
  <c r="Q20" i="24"/>
  <c r="Q21" i="24"/>
  <c r="P22" i="24"/>
  <c r="H25" i="20" l="1"/>
  <c r="R24" i="20"/>
  <c r="R13" i="24"/>
  <c r="R15" i="24"/>
  <c r="R14" i="24"/>
  <c r="S10" i="24"/>
  <c r="R12" i="24"/>
  <c r="R16" i="24"/>
  <c r="R17" i="24"/>
  <c r="R18" i="24"/>
  <c r="R19" i="24"/>
  <c r="R20" i="24"/>
  <c r="R21" i="24"/>
  <c r="Q22" i="24"/>
  <c r="H26" i="20" l="1"/>
  <c r="R22" i="24"/>
  <c r="S14" i="24"/>
  <c r="S13" i="24"/>
  <c r="T10" i="24"/>
  <c r="S15" i="24"/>
  <c r="S12" i="24"/>
  <c r="S16" i="24"/>
  <c r="S17" i="24"/>
  <c r="S18" i="24"/>
  <c r="S19" i="24"/>
  <c r="S20" i="24"/>
  <c r="S21" i="24"/>
  <c r="H27" i="20" l="1"/>
  <c r="R26" i="20"/>
  <c r="R25" i="20"/>
  <c r="H41" i="20"/>
  <c r="H42" i="20" s="1"/>
  <c r="H43" i="20" s="1"/>
  <c r="H44" i="20" s="1"/>
  <c r="H45" i="20" s="1"/>
  <c r="S22" i="24"/>
  <c r="U10" i="24"/>
  <c r="T13" i="24"/>
  <c r="T12" i="24"/>
  <c r="T15" i="24"/>
  <c r="T14" i="24"/>
  <c r="T16" i="24"/>
  <c r="T17" i="24"/>
  <c r="T18" i="24"/>
  <c r="T19" i="24"/>
  <c r="T20" i="24"/>
  <c r="T21" i="24"/>
  <c r="H28" i="20" l="1"/>
  <c r="R27" i="20"/>
  <c r="T22" i="24"/>
  <c r="V10" i="24"/>
  <c r="U13" i="24"/>
  <c r="U12" i="24"/>
  <c r="U14" i="24"/>
  <c r="U15" i="24"/>
  <c r="U16" i="24"/>
  <c r="U17" i="24"/>
  <c r="U18" i="24"/>
  <c r="U19" i="24"/>
  <c r="U20" i="24"/>
  <c r="U21" i="24"/>
  <c r="H29" i="20" l="1"/>
  <c r="R28" i="20"/>
  <c r="H33" i="20"/>
  <c r="H34" i="20" s="1"/>
  <c r="V13" i="24"/>
  <c r="V14" i="24"/>
  <c r="V15" i="24"/>
  <c r="V12" i="24"/>
  <c r="W10" i="24"/>
  <c r="V16" i="24"/>
  <c r="V17" i="24"/>
  <c r="V18" i="24"/>
  <c r="V19" i="24"/>
  <c r="V20" i="24"/>
  <c r="V21" i="24"/>
  <c r="U22" i="24"/>
  <c r="H30" i="20" l="1"/>
  <c r="R29" i="20"/>
  <c r="H46" i="20"/>
  <c r="H47" i="20" s="1"/>
  <c r="H48" i="20" s="1"/>
  <c r="H49" i="20" s="1"/>
  <c r="H50" i="20" s="1"/>
  <c r="W15" i="24"/>
  <c r="W14" i="24"/>
  <c r="W12" i="24"/>
  <c r="X10" i="24"/>
  <c r="W13" i="24"/>
  <c r="W16" i="24"/>
  <c r="W17" i="24"/>
  <c r="W18" i="24"/>
  <c r="W19" i="24"/>
  <c r="W20" i="24"/>
  <c r="W21" i="24"/>
  <c r="V22" i="24"/>
  <c r="H31" i="20" l="1"/>
  <c r="R31" i="20" s="1"/>
  <c r="R30" i="20"/>
  <c r="H51" i="20"/>
  <c r="R51" i="20" s="1"/>
  <c r="R50" i="20"/>
  <c r="R48" i="20"/>
  <c r="H52" i="20"/>
  <c r="R49" i="20"/>
  <c r="X12" i="24"/>
  <c r="X14" i="24"/>
  <c r="F14" i="24" s="1"/>
  <c r="X13" i="24"/>
  <c r="F13" i="24" s="1"/>
  <c r="X15" i="24"/>
  <c r="F15" i="24" s="1"/>
  <c r="X16" i="24"/>
  <c r="F16" i="24" s="1"/>
  <c r="X17" i="24"/>
  <c r="F17" i="24" s="1"/>
  <c r="X18" i="24"/>
  <c r="F18" i="24" s="1"/>
  <c r="X19" i="24"/>
  <c r="F19" i="24" s="1"/>
  <c r="X20" i="24"/>
  <c r="F20" i="24" s="1"/>
  <c r="X21" i="24"/>
  <c r="F21" i="24" s="1"/>
  <c r="W22" i="24"/>
  <c r="H36" i="20" l="1"/>
  <c r="R52" i="20"/>
  <c r="X22" i="24"/>
  <c r="F12" i="24"/>
  <c r="F22" i="24" s="1"/>
  <c r="H37" i="20" l="1"/>
  <c r="R36" i="20"/>
  <c r="H38" i="20" l="1"/>
  <c r="R37" i="20"/>
  <c r="H39" i="20" l="1"/>
  <c r="R38" i="20"/>
  <c r="H53" i="20"/>
  <c r="R42" i="20"/>
  <c r="H40" i="20" l="1"/>
  <c r="R39" i="20"/>
  <c r="R43" i="20"/>
  <c r="H54" i="20" l="1"/>
  <c r="H55" i="20" s="1"/>
  <c r="H56" i="20" s="1"/>
  <c r="H57" i="20" s="1"/>
  <c r="H58" i="20" s="1"/>
  <c r="R40" i="20"/>
  <c r="R44" i="20"/>
  <c r="R54" i="20" l="1"/>
  <c r="R55" i="20"/>
  <c r="R45" i="20"/>
  <c r="R56" i="20" l="1"/>
  <c r="R57" i="20" l="1"/>
  <c r="R33" i="20"/>
  <c r="R58" i="20" l="1"/>
  <c r="R34" i="20"/>
  <c r="H59" i="20" l="1"/>
  <c r="H60" i="20" s="1"/>
  <c r="H61" i="20" s="1"/>
  <c r="H62" i="20" s="1"/>
  <c r="H63" i="20" s="1"/>
  <c r="H64" i="20" s="1"/>
  <c r="R47" i="20"/>
  <c r="R60" i="20" l="1"/>
  <c r="R61" i="20" l="1"/>
  <c r="B63" i="20" l="1"/>
  <c r="R62" i="20"/>
  <c r="B64" i="20" l="1"/>
  <c r="R63" i="20"/>
  <c r="R64" i="20" l="1"/>
  <c r="R12" i="20" l="1"/>
  <c r="K12" i="20" l="1"/>
  <c r="F12" i="20"/>
  <c r="S12" i="20" a="1"/>
  <c r="S12" i="20" l="1"/>
  <c r="P12" i="20"/>
  <c r="O12" i="20"/>
  <c r="N12" i="20"/>
  <c r="F19" i="20"/>
  <c r="P19" i="20"/>
  <c r="N19" i="20"/>
  <c r="O19" i="20"/>
  <c r="S19" i="20" a="1"/>
  <c r="Q12" i="20" l="1"/>
  <c r="S19" i="20"/>
  <c r="R19" i="20"/>
  <c r="G19" i="20"/>
  <c r="Q19" i="20"/>
  <c r="F41" i="20"/>
  <c r="R41" i="20" l="1"/>
  <c r="G41" i="20"/>
  <c r="K41" i="20"/>
  <c r="O41" i="20" l="1"/>
  <c r="N41" i="20"/>
  <c r="P41" i="20"/>
  <c r="S41" i="20" a="1"/>
  <c r="Q41" i="20" l="1"/>
  <c r="S41" i="20"/>
  <c r="F32" i="20"/>
  <c r="K32" i="20"/>
  <c r="R32" i="20"/>
  <c r="G32" i="20"/>
  <c r="N32" i="20"/>
  <c r="S32" i="20" a="1"/>
  <c r="S32" i="20" l="1"/>
  <c r="O32" i="20"/>
  <c r="P32" i="20"/>
  <c r="N46" i="20"/>
  <c r="P46" i="20"/>
  <c r="O46" i="20"/>
  <c r="S46" i="20" a="1"/>
  <c r="Q32" i="20" l="1"/>
  <c r="S46" i="20"/>
  <c r="Q46" i="20"/>
  <c r="G46" i="20"/>
  <c r="R46" i="20"/>
  <c r="F46" i="20"/>
  <c r="O35" i="20"/>
  <c r="P35" i="20"/>
  <c r="N35" i="20"/>
  <c r="S35" i="20" a="1"/>
  <c r="S35" i="20" l="1"/>
  <c r="R35" i="20"/>
  <c r="G35" i="20"/>
  <c r="Q35" i="20"/>
  <c r="F35" i="20"/>
  <c r="P53" i="20"/>
  <c r="O53" i="20"/>
  <c r="N53" i="20"/>
  <c r="M18" i="20" a="1"/>
  <c r="L18" i="20" a="1"/>
  <c r="S53" i="20" a="1"/>
  <c r="L18" i="20" l="1"/>
  <c r="M18" i="20"/>
  <c r="S53" i="20"/>
  <c r="Q53" i="20"/>
  <c r="F53" i="20"/>
  <c r="G53" i="20"/>
  <c r="R53" i="20"/>
  <c r="F59" i="20"/>
  <c r="R59" i="20"/>
  <c r="S18" i="20" a="1"/>
  <c r="S59" i="20" a="1"/>
  <c r="S18" i="20" l="1"/>
  <c r="O18" i="20"/>
  <c r="P18" i="20"/>
  <c r="N18" i="20"/>
  <c r="S59" i="20"/>
  <c r="C8" i="20"/>
  <c r="P59" i="20"/>
  <c r="O59" i="20"/>
  <c r="G59" i="20"/>
  <c r="N59" i="20"/>
  <c r="Q18" i="20" l="1"/>
  <c r="C3" i="24" a="1"/>
  <c r="Q59" i="20"/>
  <c r="C5" i="24" l="1"/>
  <c r="C4" i="24"/>
  <c r="C3" i="24"/>
  <c r="C7" i="24"/>
  <c r="C6" i="24"/>
  <c r="G11" i="24" s="1"/>
  <c r="H11" i="24" s="1"/>
  <c r="I11" i="24" s="1"/>
  <c r="J11" i="24" s="1"/>
  <c r="K11" i="24" s="1"/>
  <c r="L11" i="24" s="1"/>
  <c r="M11" i="24" s="1"/>
  <c r="N11" i="24" s="1"/>
  <c r="O11" i="24" s="1"/>
  <c r="P11" i="24" s="1"/>
  <c r="Q11" i="24" s="1"/>
  <c r="R11" i="24" s="1"/>
  <c r="S11" i="24" s="1"/>
  <c r="T11" i="24" s="1"/>
  <c r="U11" i="24" s="1"/>
  <c r="V11" i="24" s="1"/>
  <c r="W11" i="24" s="1"/>
  <c r="X11" i="24" s="1"/>
  <c r="C8" i="2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Danusorn Sitdhirasdr</author>
  </authors>
  <commentList>
    <comment ref="F10" authorId="0" shapeId="0" xr:uid="{E5A0AF8F-82C7-43E8-886A-01998CF02B97}">
      <text>
        <r>
          <rPr>
            <b/>
            <sz val="10"/>
            <color indexed="81"/>
            <rFont val="Tahoma"/>
            <family val="2"/>
          </rPr>
          <t>Expected Starting Date</t>
        </r>
        <r>
          <rPr>
            <sz val="10"/>
            <color indexed="81"/>
            <rFont val="Tahoma"/>
            <family val="2"/>
          </rPr>
          <t xml:space="preserve">
"exp_start" represents the starting time, occurring in the morning of the specified date. This date will be adjusted if it falls on a weekend or holiday.</t>
        </r>
      </text>
    </comment>
    <comment ref="G10" authorId="0" shapeId="0" xr:uid="{20C6FBAD-2033-474F-B6A0-68F41F34ABF8}">
      <text>
        <r>
          <rPr>
            <sz val="10"/>
            <color indexed="81"/>
            <rFont val="Tahoma"/>
            <family val="2"/>
          </rPr>
          <t>Number of working days</t>
        </r>
      </text>
    </comment>
    <comment ref="I10" authorId="0" shapeId="0" xr:uid="{8E8362D5-6C57-485D-9BAB-AB1AC6014ECF}">
      <text>
        <r>
          <rPr>
            <b/>
            <sz val="10"/>
            <color indexed="81"/>
            <rFont val="Tahoma"/>
            <family val="2"/>
          </rPr>
          <t>Starting Date</t>
        </r>
        <r>
          <rPr>
            <sz val="10"/>
            <color indexed="81"/>
            <rFont val="Tahoma"/>
            <family val="2"/>
          </rPr>
          <t xml:space="preserve">
"start" represents the adjusted start time, taking both weekends and holidays into account.</t>
        </r>
      </text>
    </comment>
    <comment ref="J10" authorId="0" shapeId="0" xr:uid="{8B12946E-23C2-4766-B987-C033C5516594}">
      <text>
        <r>
          <rPr>
            <b/>
            <sz val="10"/>
            <color indexed="81"/>
            <rFont val="Tahoma"/>
            <family val="2"/>
          </rPr>
          <t>Finishing Date</t>
        </r>
        <r>
          <rPr>
            <sz val="10"/>
            <color indexed="81"/>
            <rFont val="Tahoma"/>
            <family val="2"/>
          </rPr>
          <t xml:space="preserve">
"Finish" represents the finishing time, which occurs in the morning of the specified date.</t>
        </r>
      </text>
    </comment>
    <comment ref="L10" authorId="0" shapeId="0" xr:uid="{638469C7-CDC9-43CA-A70D-DE723E96F71C}">
      <text>
        <r>
          <rPr>
            <sz val="10"/>
            <color indexed="81"/>
            <rFont val="Tahoma"/>
            <family val="2"/>
          </rPr>
          <t>Percent target completion (%)</t>
        </r>
      </text>
    </comment>
    <comment ref="M10" authorId="0" shapeId="0" xr:uid="{DFAF4069-95A8-431E-8A77-CBCA17EBA91C}">
      <text>
        <r>
          <rPr>
            <sz val="10"/>
            <color indexed="81"/>
            <rFont val="Tahoma"/>
            <family val="2"/>
          </rPr>
          <t>Percent actual completion (%)</t>
        </r>
      </text>
    </comment>
    <comment ref="U10" authorId="0" shapeId="0" xr:uid="{749A26B6-D0A5-4DAB-9E03-AADD3C363ACC}">
      <text>
        <r>
          <rPr>
            <b/>
            <sz val="10"/>
            <color indexed="81"/>
            <rFont val="Calibri"/>
            <family val="2"/>
          </rPr>
          <t>Break-down effort estimation</t>
        </r>
        <r>
          <rPr>
            <sz val="10"/>
            <color indexed="81"/>
            <rFont val="Calibri"/>
            <family val="2"/>
          </rPr>
          <t xml:space="preserve"> 
(A) Pre-implementation: Initial Analysis
(B) Implementation: RA to PVT
(C) Management: Project manager
(D) Other (if any)
(E) Operation / Maintenance (MA)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<sst xmlns="http://schemas.openxmlformats.org/spreadsheetml/2006/main" count="1251" uniqueCount="379">
  <si>
    <t>Holiday</t>
  </si>
  <si>
    <t>Date</t>
  </si>
  <si>
    <t>​ชดเชยวันขึ้นปีใหม่</t>
  </si>
  <si>
    <t>​วันมาฆบูชา</t>
  </si>
  <si>
    <t>วันจักรี</t>
  </si>
  <si>
    <t>​วันสงกรานต์            </t>
  </si>
  <si>
    <t>ชดเชย​วันแรงงานแห่งชาติ</t>
  </si>
  <si>
    <t>​วันฉัตรมงคล</t>
  </si>
  <si>
    <t>​ชดเชยวันวิสาขบูชา</t>
  </si>
  <si>
    <t>​วันเฉลิมฯ สมเด็จพระนางเจ้าสุทิดา พระบรมราชินี</t>
  </si>
  <si>
    <t>​วันอาสาฬหบูชา</t>
  </si>
  <si>
    <t>​วันเฉลิมฯ สมเด็จพระเจ้าอยู่หัว</t>
  </si>
  <si>
    <t>วันหยุดพิเศษ (เพิ่มเติม)</t>
  </si>
  <si>
    <t>​วันเฉลิมฯ พระบรมราชชนนีพันปีหลวง และวันแม่แห่งชาติ</t>
  </si>
  <si>
    <t>outing</t>
  </si>
  <si>
    <t>​วันคล้ายวันสวรรคต พระบาทสมเด็จ รัชกาลที่ 9</t>
  </si>
  <si>
    <t>​วันหยุดพิเศษ (เพิ่มเติม)</t>
  </si>
  <si>
    <t>​ชดเชยวันปิยมหาราช</t>
  </si>
  <si>
    <t>​วันเฉลิมฯ พระบาทสมเด็จ รัชกาลที่ 9</t>
  </si>
  <si>
    <t>​ชดเชยวันรัฐธรรมนูญ</t>
  </si>
  <si>
    <t>ชดเชยวันสิ้นปีและวันขึ้นปีใหม่</t>
  </si>
  <si>
    <t>วันมาฆบูชา</t>
  </si>
  <si>
    <t>วันแรงงานแห่งชาติ</t>
  </si>
  <si>
    <t>วันฉัตรมงคล</t>
  </si>
  <si>
    <t>วันวิสาขบูชา</t>
  </si>
  <si>
    <t>วันอาสาฬหบูชา</t>
  </si>
  <si>
    <t>ชดเชย​วันเฉลิมฯ พระบรมราชชนนีพันปีหลวง และวันแม่แห่งชาติ</t>
  </si>
  <si>
    <t>วันปิยมหาราช</t>
  </si>
  <si>
    <t>CSR + FR Outing</t>
  </si>
  <si>
    <t>วันขึ้นปีใหม่</t>
  </si>
  <si>
    <t>ชดเชยวันจักรี</t>
  </si>
  <si>
    <t>ชดเชยวันฉัตรมงคล (วันอาทิตย์ที่ 4 พฤษภาคม 2568)</t>
  </si>
  <si>
    <t>ชดเชยวันวิสาขบูชา (วันอาทิตย์ที่ 11 พฤษภาคม 2568)</t>
  </si>
  <si>
    <t>วันหยุดพิเศษ</t>
  </si>
  <si>
    <t>วันรัฐธรรมนูญ</t>
  </si>
  <si>
    <t>วันสิ้นปี</t>
  </si>
  <si>
    <t>exp_start</t>
  </si>
  <si>
    <t>Description</t>
  </si>
  <si>
    <t>Status</t>
  </si>
  <si>
    <t>Start</t>
  </si>
  <si>
    <t>Target</t>
  </si>
  <si>
    <t>Actual</t>
  </si>
  <si>
    <t>Duration</t>
  </si>
  <si>
    <t>Delay</t>
  </si>
  <si>
    <t>Complete</t>
  </si>
  <si>
    <t>Task ID</t>
  </si>
  <si>
    <t>Not Started</t>
  </si>
  <si>
    <t>In Progress</t>
  </si>
  <si>
    <t>Short Description</t>
  </si>
  <si>
    <t>Label</t>
  </si>
  <si>
    <t>Percent</t>
  </si>
  <si>
    <t>Finish</t>
  </si>
  <si>
    <t>Project Information</t>
  </si>
  <si>
    <t>Code</t>
  </si>
  <si>
    <t>Name</t>
  </si>
  <si>
    <t>Asof</t>
  </si>
  <si>
    <t>Group</t>
  </si>
  <si>
    <t>Deliverables</t>
  </si>
  <si>
    <t>Calendar
Days</t>
  </si>
  <si>
    <t>Member</t>
  </si>
  <si>
    <t>Role</t>
  </si>
  <si>
    <t>Member2</t>
  </si>
  <si>
    <t>Member3</t>
  </si>
  <si>
    <t>Member4</t>
  </si>
  <si>
    <t>Member5</t>
  </si>
  <si>
    <t>Member6</t>
  </si>
  <si>
    <t>Member7</t>
  </si>
  <si>
    <t>Member8</t>
  </si>
  <si>
    <t>Member9</t>
  </si>
  <si>
    <t>Visible</t>
  </si>
  <si>
    <t>Effort
Group</t>
  </si>
  <si>
    <t>Hide</t>
  </si>
  <si>
    <t>D</t>
  </si>
  <si>
    <t>B</t>
  </si>
  <si>
    <t>ID</t>
  </si>
  <si>
    <t>Effort Type</t>
  </si>
  <si>
    <t>Man-day</t>
  </si>
  <si>
    <t>Grand Total</t>
  </si>
  <si>
    <t xml:space="preserve">Break-down effort estimation </t>
  </si>
  <si>
    <t>item</t>
  </si>
  <si>
    <t>Manday</t>
  </si>
  <si>
    <t>A</t>
  </si>
  <si>
    <t xml:space="preserve">Pre-implementation: Initial Analysis </t>
  </si>
  <si>
    <t>Implementation: RA to PVT</t>
  </si>
  <si>
    <t>C</t>
  </si>
  <si>
    <t>Management: Project manager</t>
  </si>
  <si>
    <t>Other (if any)</t>
  </si>
  <si>
    <t>E</t>
  </si>
  <si>
    <t>Operation / Maintenance (MA)</t>
  </si>
  <si>
    <t>Implementation Effort (A to D)</t>
  </si>
  <si>
    <t>Total Effort (A to E)</t>
  </si>
  <si>
    <t>Work Schedule Version 2.3</t>
  </si>
  <si>
    <t>Man-days</t>
  </si>
  <si>
    <t>Member10</t>
  </si>
  <si>
    <t>Project Setup</t>
  </si>
  <si>
    <t>Project Approval or exit</t>
  </si>
  <si>
    <t>Define Project Charter</t>
  </si>
  <si>
    <t>Project Charter</t>
  </si>
  <si>
    <t>Outline project objectives, scope, stakeholders, and key success metrics.</t>
  </si>
  <si>
    <t>Quick Assessment &amp; Initial Research</t>
  </si>
  <si>
    <t>Set up meeting</t>
  </si>
  <si>
    <t>Initial Analysis – Conduct early-stage analysis to evaluate the problem/opportunity</t>
  </si>
  <si>
    <t>Initial Analysis</t>
  </si>
  <si>
    <t>Initial project feasibility</t>
  </si>
  <si>
    <t>Evaluate Ease of Implementation – Assess technical and operational feasibility.</t>
  </si>
  <si>
    <t>Ease of Implementation</t>
  </si>
  <si>
    <t>a) Assess implementation complexity, required effort, and draft the initial project timeline
b) Complete all necessary documentation for the approval process</t>
  </si>
  <si>
    <t>Project Approval – Present proposal to stakeholders for endorsement and go/no-go decision.</t>
  </si>
  <si>
    <t>Project Approval</t>
  </si>
  <si>
    <t>Minute of meeting</t>
  </si>
  <si>
    <t>VSRM - Credit Portfolio</t>
  </si>
  <si>
    <t>VSRM - Round 1</t>
  </si>
  <si>
    <t>VSRM R1</t>
  </si>
  <si>
    <t>VSRM - Round 2</t>
  </si>
  <si>
    <t>VSRM R2</t>
  </si>
  <si>
    <t>VSRM - Round 3</t>
  </si>
  <si>
    <t>VSRM R3</t>
  </si>
  <si>
    <t>VSRM - Round 4</t>
  </si>
  <si>
    <t>VSRM R4</t>
  </si>
  <si>
    <t>VSRM - Round 5</t>
  </si>
  <si>
    <t>VSRM R5</t>
  </si>
  <si>
    <t>VSRM - Round 6</t>
  </si>
  <si>
    <t>VSRM R6</t>
  </si>
  <si>
    <t>VSRM - Round 7</t>
  </si>
  <si>
    <t>VSRM R7</t>
  </si>
  <si>
    <t>VSRM - Round 8</t>
  </si>
  <si>
    <t>VSRM R8</t>
  </si>
  <si>
    <t>VSRM - Round 9</t>
  </si>
  <si>
    <t>VSRM R9</t>
  </si>
  <si>
    <t>VSRM - Round 10</t>
  </si>
  <si>
    <t>VSRM R10</t>
  </si>
  <si>
    <t>VSRM - Round 11</t>
  </si>
  <si>
    <t>VSRM R11</t>
  </si>
  <si>
    <t>VSRM - Round 12</t>
  </si>
  <si>
    <t>VSRM R12</t>
  </si>
  <si>
    <t>360° Enterprise Fraud Management</t>
  </si>
  <si>
    <t>Kick-Off meeting</t>
  </si>
  <si>
    <t>Kick-Off Meeting</t>
  </si>
  <si>
    <t>Workshop 1 : Fraud Framework</t>
  </si>
  <si>
    <t>WS1</t>
  </si>
  <si>
    <t>Workshop 2 : Org. Design &amp; Sourcing</t>
  </si>
  <si>
    <t>WS2</t>
  </si>
  <si>
    <t>Final Delivery : Presentation &amp; Documentation (Tentative)</t>
  </si>
  <si>
    <t>Final Delivery</t>
  </si>
  <si>
    <t>Credit Card STIP Optimization</t>
  </si>
  <si>
    <t>Recommended configurations</t>
  </si>
  <si>
    <t xml:space="preserve">Fraud Risk Analytics </t>
  </si>
  <si>
    <t>Kick-Off meetings</t>
  </si>
  <si>
    <t>Metric shortlisting process</t>
  </si>
  <si>
    <t>Metric shortlisting</t>
  </si>
  <si>
    <t>Workshop : calculation &amp; data sources</t>
  </si>
  <si>
    <t>Workshop</t>
  </si>
  <si>
    <t>Final Delivery : Presentation (Tentative)</t>
  </si>
  <si>
    <t>VPTL – Credit &amp; Debit Portfolio</t>
  </si>
  <si>
    <t xml:space="preserve">2-week Testing by Visa : Credit Card </t>
  </si>
  <si>
    <t>2-week testing (Credit)</t>
  </si>
  <si>
    <t>2-week Testing by Visa : Debit Card</t>
  </si>
  <si>
    <t>2-week testing (Debit)</t>
  </si>
  <si>
    <t>Credit Card Recommendations</t>
  </si>
  <si>
    <t>Debit Card Recommendations</t>
  </si>
  <si>
    <t>Fraud Upskilling Workshops</t>
  </si>
  <si>
    <t>Workshop 1 : Authentication Overview &amp; Decision Strategy</t>
  </si>
  <si>
    <t>WS1 (4 mods)</t>
  </si>
  <si>
    <t>Workshop 2 : Analytics and MIS Suite</t>
  </si>
  <si>
    <t>WS2 (1 mod)</t>
  </si>
  <si>
    <t>Workshop 3 : Fraud Risk and Authorization</t>
  </si>
  <si>
    <t>WS3 (5 mods)</t>
  </si>
  <si>
    <t>Workshop 4 : TBC (Tentative)</t>
  </si>
  <si>
    <t>WS4 (5 mods)</t>
  </si>
  <si>
    <t>VCAS Feasibility</t>
  </si>
  <si>
    <t>Business Feasibility (Template &amp; Assumptions)</t>
  </si>
  <si>
    <t>Technical Feasibility (define target state architecture and development plan)</t>
  </si>
  <si>
    <t>Recommendation from Visa</t>
  </si>
  <si>
    <t>Visa's assessment</t>
  </si>
  <si>
    <t>Revise business feasibility given</t>
  </si>
  <si>
    <t>Material preparation for IT investment</t>
  </si>
  <si>
    <t>IT investment (prep)</t>
  </si>
  <si>
    <t>PJ2502_0137</t>
  </si>
  <si>
    <t>Visa Fraud Project</t>
  </si>
  <si>
    <t>Nak</t>
  </si>
  <si>
    <t>Danusorn Sitdhirasdr</t>
  </si>
  <si>
    <t>Squad Lead</t>
  </si>
  <si>
    <t>Manage</t>
  </si>
  <si>
    <t>Recom. (Credit)</t>
  </si>
  <si>
    <t>Recom. (Debit)</t>
  </si>
  <si>
    <t>Recom.</t>
  </si>
  <si>
    <t>Tech. Feasibility</t>
  </si>
  <si>
    <t>Authentication, Authorization and fraud dispute</t>
  </si>
  <si>
    <t>Dashboard Design</t>
  </si>
  <si>
    <t>Management and monitoring</t>
  </si>
  <si>
    <t>Visa's Deliverables</t>
  </si>
  <si>
    <t>Master Table Design</t>
  </si>
  <si>
    <t>STIP &amp; VPTL &amp; VRSM Testing</t>
  </si>
  <si>
    <t>STIP Optimization</t>
  </si>
  <si>
    <t>VPTL – Credit &amp; Debit</t>
  </si>
  <si>
    <t>Enterprise Fraud Mgmt.</t>
  </si>
  <si>
    <t>Upskilling Workshops</t>
  </si>
  <si>
    <t>VCAS (Authentication)</t>
  </si>
  <si>
    <t>Biz Feasibility #1</t>
  </si>
  <si>
    <t>Biz Feasibility #2</t>
  </si>
  <si>
    <t>BU's Requirement</t>
  </si>
  <si>
    <t>DataLabels</t>
  </si>
  <si>
    <t>ScatterDataLabel</t>
  </si>
  <si>
    <t>Point.DataLabel.Left=144.235669291339</t>
  </si>
  <si>
    <t>Point.DataLabel.Top=32.2964566929134</t>
  </si>
  <si>
    <t>Point.DataLabel.Width=58.5310236220472</t>
  </si>
  <si>
    <t>Point.DataLabel.Height=12.3242519685039</t>
  </si>
  <si>
    <t>Point.DataLabel.Format.TextFrame2.TextRange.Font.Size=10</t>
  </si>
  <si>
    <t>Point.DataLabel.Format.TextFrame2.TextRange.Font.Bold=-1</t>
  </si>
  <si>
    <t>Point.DataLabel.Left=103.092440944882</t>
  </si>
  <si>
    <t>Point.DataLabel.Top=59.0288188976378</t>
  </si>
  <si>
    <t>Point.DataLabel.Width=91.0051181102362</t>
  </si>
  <si>
    <t>Point.DataLabel.Height=11.0922834645669</t>
  </si>
  <si>
    <t>Point.DataLabel.Format.TextFrame2.TextRange.Font.Size=9</t>
  </si>
  <si>
    <t>Point.DataLabel.Format.TextFrame2.TextRange.Font.Bold=0</t>
  </si>
  <si>
    <t>Point.DataLabel.Left=223.491496062992</t>
  </si>
  <si>
    <t>Point.DataLabel.Width=104.63188976378</t>
  </si>
  <si>
    <t>Point.DataLabel.Left=97.1394488188976</t>
  </si>
  <si>
    <t>Point.DataLabel.Top=10.5431496062992</t>
  </si>
  <si>
    <t>Point.DataLabel.Width=134.187244094488</t>
  </si>
  <si>
    <t>Point.DataLabel.Height=16.1845669291339</t>
  </si>
  <si>
    <t>Point.DataLabel.Left=257.862519685039</t>
  </si>
  <si>
    <t>Point.DataLabel.Top=19.9288188976378</t>
  </si>
  <si>
    <t>Point.DataLabel.Width=95.6803937007874</t>
  </si>
  <si>
    <t>Point.DataLabel.Left=86</t>
  </si>
  <si>
    <t>Point.DataLabel.Top=92.8257480314961</t>
  </si>
  <si>
    <t>Point.DataLabel.Width=128.394173228346</t>
  </si>
  <si>
    <t>Point.DataLabel.Height=17.100157480315</t>
  </si>
  <si>
    <t>Point.DataLabel.Left=368.469527559055</t>
  </si>
  <si>
    <t>Point.DataLabel.Top=115.07905511811</t>
  </si>
  <si>
    <t>Point.DataLabel.Width=82.5107086614173</t>
  </si>
  <si>
    <t>Point.DataLabel.Height=22.1845669291339</t>
  </si>
  <si>
    <t>Point.DataLabel.Left=212.404094488189</t>
  </si>
  <si>
    <t>Point.DataLabel.Top=118.946062992126</t>
  </si>
  <si>
    <t>Point.DataLabel.Width=100.375748031496</t>
  </si>
  <si>
    <t>Point.DataLabel.Left=301.277322834646</t>
  </si>
  <si>
    <t>Point.DataLabel.Top=76.1022047244094</t>
  </si>
  <si>
    <t>Point.DataLabel.Width=121.366377952756</t>
  </si>
  <si>
    <t>Point.DataLabel.Height=14.1845669291339</t>
  </si>
  <si>
    <t>Point.DataLabel.Left=112.695118110236</t>
  </si>
  <si>
    <t>Point.DataLabel.Top=158.13094488189</t>
  </si>
  <si>
    <t>Point.DataLabel.Width=102.026692913386</t>
  </si>
  <si>
    <t>Point.DataLabel.Left=166.945590551181</t>
  </si>
  <si>
    <t>Point.DataLabel.Top=182.702834645669</t>
  </si>
  <si>
    <t>Point.DataLabel.Width=53.77</t>
  </si>
  <si>
    <t>Point.DataLabel.Left=231.252677165354</t>
  </si>
  <si>
    <t>Point.DataLabel.Top=181.863307086614</t>
  </si>
  <si>
    <t>Point.DataLabel.Width=54.714094488189</t>
  </si>
  <si>
    <t>Point.DataLabel.Left=270.058818897638</t>
  </si>
  <si>
    <t>Point.DataLabel.Top=141.565590551181</t>
  </si>
  <si>
    <t>Point.DataLabel.Width=83.7903149606299</t>
  </si>
  <si>
    <t>Point.DataLabel.Left=113.78062992126</t>
  </si>
  <si>
    <t>Point.DataLabel.Top=221.048188976378</t>
  </si>
  <si>
    <t>Point.DataLabel.Width=85.9411811023622</t>
  </si>
  <si>
    <t>Point.DataLabel.Left=150.817401574803</t>
  </si>
  <si>
    <t>Point.DataLabel.Top=244.780551181102</t>
  </si>
  <si>
    <t>Point.DataLabel.Width=75.9242519685039</t>
  </si>
  <si>
    <t>Point.DataLabel.Left=277.82</t>
  </si>
  <si>
    <t>Point.DataLabel.Width=102.198346456693</t>
  </si>
  <si>
    <t>Point.DataLabel.Left=189.237086614173</t>
  </si>
  <si>
    <t>Point.DataLabel.Top=202.936692913386</t>
  </si>
  <si>
    <t>Point.DataLabel.Width=112.352519685039</t>
  </si>
  <si>
    <t>Point.DataLabel.Left=336.583307086614</t>
  </si>
  <si>
    <t>Point.DataLabel.Top=204.482834645669</t>
  </si>
  <si>
    <t>Point.DataLabel.Width=102.925433070866</t>
  </si>
  <si>
    <t>Point.DataLabel.Left=113.813307086614</t>
  </si>
  <si>
    <t>Point.DataLabel.Top=283.965433070866</t>
  </si>
  <si>
    <t>Point.DataLabel.Width=92.9085039370079</t>
  </si>
  <si>
    <t>Point.DataLabel.Left=69.1183464566929</t>
  </si>
  <si>
    <t>Point.DataLabel.Top=309.376929133858</t>
  </si>
  <si>
    <t>Point.DataLabel.Width=88.3796850393701</t>
  </si>
  <si>
    <t>Point.DataLabel.Left=236.796456692913</t>
  </si>
  <si>
    <t>Point.DataLabel.Top=309.697795275591</t>
  </si>
  <si>
    <t>Point.DataLabel.Width=85.7695275590551</t>
  </si>
  <si>
    <t>Point.DataLabel.Left=206.103543307087</t>
  </si>
  <si>
    <t>Point.DataLabel.Top=267.400078740157</t>
  </si>
  <si>
    <t>Point.DataLabel.Width=82.8461417322835</t>
  </si>
  <si>
    <t>Point.DataLabel.Left=386.476771653543</t>
  </si>
  <si>
    <t>Point.DataLabel.Top=309.560551181102</t>
  </si>
  <si>
    <t>Point.DataLabel.Width=85.9916535433071</t>
  </si>
  <si>
    <t>Point.DataLabel.Left=144.737952755905</t>
  </si>
  <si>
    <t>Point.DataLabel.Top=346.882677165354</t>
  </si>
  <si>
    <t>Point.DataLabel.Width=96.0287401574803</t>
  </si>
  <si>
    <t>Point.DataLabel.Left=162.125118110236</t>
  </si>
  <si>
    <t>Point.DataLabel.Top=371.454488188976</t>
  </si>
  <si>
    <t>Point.DataLabel.Width=97.6443307086614</t>
  </si>
  <si>
    <t>Point.DataLabel.Left=145.417559055118</t>
  </si>
  <si>
    <t>Point.DataLabel.Top=330.317244094488</t>
  </si>
  <si>
    <t>Point.DataLabel.Width=99.5225196850394</t>
  </si>
  <si>
    <t>Point.DataLabel.Left=274.493779527559</t>
  </si>
  <si>
    <t>Point.DataLabel.Width=94.801811023622</t>
  </si>
  <si>
    <t>Point.DataLabel.Left=316.772283464567</t>
  </si>
  <si>
    <t>Point.DataLabel.Top=362.219606299213</t>
  </si>
  <si>
    <t>Point.DataLabel.Width=106.656456692913</t>
  </si>
  <si>
    <t>ChartArea</t>
  </si>
  <si>
    <t>Chart.ChartArea.Width=522.695590551181</t>
  </si>
  <si>
    <t>Chart.ChartArea.Height=393.503385826772</t>
  </si>
  <si>
    <t>Chart.ChartArea.Format.Fill.visible=0</t>
  </si>
  <si>
    <t>Chart.ChartArea.Format.Line.visible=0</t>
  </si>
  <si>
    <t>PlotArea</t>
  </si>
  <si>
    <t>Chart.PlotArea.Left=7</t>
  </si>
  <si>
    <t>Chart.PlotArea.Top=7</t>
  </si>
  <si>
    <t>Chart.PlotArea.Width=506.695590551181</t>
  </si>
  <si>
    <t>Chart.PlotArea.Height=377.503385826772</t>
  </si>
  <si>
    <t>Chart.PlotArea.Format.Fill.visible=0</t>
  </si>
  <si>
    <t>Chart.PlotArea.Format.Line.visible=0</t>
  </si>
  <si>
    <t>Progress Label</t>
  </si>
  <si>
    <t>Point.DataLabel.Left=257.532204724409</t>
  </si>
  <si>
    <t>Point.DataLabel.Top=33.5283464566929</t>
  </si>
  <si>
    <t>Point.DataLabel.Width=18.1707874015748</t>
  </si>
  <si>
    <t>Point.DataLabel.Height=9.8603937007874</t>
  </si>
  <si>
    <t>Point.DataLabel.Format.TextFrame2.TextRange.Font.Size=8</t>
  </si>
  <si>
    <t>Point.DataLabel.Left=467.084645669291</t>
  </si>
  <si>
    <t>Point.DataLabel.Top=96.4455905511811</t>
  </si>
  <si>
    <t>Point.DataLabel.Width=35.0085826771654</t>
  </si>
  <si>
    <t>Point.DataLabel.Left=269.72842519685</t>
  </si>
  <si>
    <t>Point.DataLabel.Top=159.362834645669</t>
  </si>
  <si>
    <t>Point.DataLabel.Left=336.252992125984</t>
  </si>
  <si>
    <t>Point.DataLabel.Top=222.280078740157</t>
  </si>
  <si>
    <t>Point.DataLabel.Left=386.146456692913</t>
  </si>
  <si>
    <t>Point.DataLabel.Top=285.197322834646</t>
  </si>
  <si>
    <t>Point.DataLabel.Left=306.316929133858</t>
  </si>
  <si>
    <t>Point.DataLabel.Top=348.114566929134</t>
  </si>
  <si>
    <t>Axis</t>
  </si>
  <si>
    <t>ax.HasMajorGridlines=False</t>
  </si>
  <si>
    <t>ax.HasMinorGridlines=False</t>
  </si>
  <si>
    <t>ch.HasTitle=False</t>
  </si>
  <si>
    <t>ch.HasLegend=False</t>
  </si>
  <si>
    <t>Point.DataLabel.Format.TextFrame2.TextRange.Font.Fill.ForeColor.RGB=855309</t>
  </si>
  <si>
    <t>ax.HasTitle=False</t>
  </si>
  <si>
    <t>Point.DataLabel.Format.TextFrame2.TextRange.Font.Italic=0</t>
  </si>
  <si>
    <t>Title</t>
  </si>
  <si>
    <t>ax.MajorGridlines.Format.Line.Visible=-1</t>
  </si>
  <si>
    <t>ax.MajorGridlines.Format.Line.Weight=1</t>
  </si>
  <si>
    <t>ax.MajorGridlines.Format.Line.Transparency=-2.147484E+09</t>
  </si>
  <si>
    <t>ax.MajorGridlines.Format.Line.ForeColor.RGB=9013641</t>
  </si>
  <si>
    <t>ax.MajorGridlines.Format.Line.DashStyle=1</t>
  </si>
  <si>
    <t>ax.MinorGridlines.Format.Line.Visible=-1</t>
  </si>
  <si>
    <t>ax.MinorGridlines.Format.Line.Weight=1</t>
  </si>
  <si>
    <t>ax.MinorGridlines.Format.Line.Transparency=-2.147484E+09</t>
  </si>
  <si>
    <t>ax.MinorGridlines.Format.Line.ForeColor.RGB=12369084</t>
  </si>
  <si>
    <t>ax.MinorGridlines.Format.Line.DashStyle=1</t>
  </si>
  <si>
    <t>Point.DataLabel.Format.Fill.Visible=0</t>
  </si>
  <si>
    <t>Point.DataLabel.Format.TextFrame2.TextRange.Font.Name=Calibri</t>
  </si>
  <si>
    <t>Point.DataLabel.Format.Line.Visible=0</t>
  </si>
  <si>
    <t>Point.DataLabel.Format.Line.Weight=-2.147484E+09</t>
  </si>
  <si>
    <t>Point.DataLabel.Format.Line.ForeColor.RGB=16777215</t>
  </si>
  <si>
    <t>Point.DataLabel.Format.Line.DashStyle=-2</t>
  </si>
  <si>
    <t>Point.DataLabel.Format.TextFrame2.MarginTop=0</t>
  </si>
  <si>
    <t>Point.DataLabel.Format.TextFrame2.MarginBottom=0</t>
  </si>
  <si>
    <t>Point.DataLabel.Format.TextFrame2.MarginRight=0</t>
  </si>
  <si>
    <t>Point.DataLabel.Format.TextFrame2.MarginLeft=0</t>
  </si>
  <si>
    <t>Point.DataLabel.Format.TextFrame2.VerticalAnchor=3</t>
  </si>
  <si>
    <t>Point.DataLabel.Format.TextFrame2.HorizontalAnchor=2</t>
  </si>
  <si>
    <t>Point.DataLabel.Format.TextFrame2.TextRange.Font.Fill.ForeColor.RGB=0</t>
  </si>
  <si>
    <t>Legend</t>
  </si>
  <si>
    <t>Point.DataLabel.Format.Fill.BackColor.RGB=16777215</t>
  </si>
  <si>
    <t>Point.DataLabel.Format.Fill.Transparency=1</t>
  </si>
  <si>
    <t>StackedBar</t>
  </si>
  <si>
    <t>StartDate</t>
  </si>
  <si>
    <t>ser.Format.Shadow.Type=-2</t>
  </si>
  <si>
    <t>ser.Format.Fill.Visible=0</t>
  </si>
  <si>
    <t>ser.Format.Fill.ForeColor.RGB=8544277</t>
  </si>
  <si>
    <t>ser.Format.Line.Visible=0</t>
  </si>
  <si>
    <t>ser.Format.Line.Weight=-2.147484E+09</t>
  </si>
  <si>
    <t>ser.Format.Line.DashStyle=-2</t>
  </si>
  <si>
    <t>ser.Format.Line.ForeColor.RGB=16777215</t>
  </si>
  <si>
    <t>ser.Format.Shadow.Type=21</t>
  </si>
  <si>
    <t>ser.Format.Fill.Visible=-1</t>
  </si>
  <si>
    <t>ser.Format.Fill.ForeColor.RGB=8078076</t>
  </si>
  <si>
    <t>ser.Format.Line.Visible=-1</t>
  </si>
  <si>
    <t>ser.Format.Line.Weight=0.75</t>
  </si>
  <si>
    <t>ser.Format.Line.DashStyle=1</t>
  </si>
  <si>
    <t>ser.Format.Line.ForeColor.RGB=4210752</t>
  </si>
  <si>
    <t>ser.Format.Fill.ForeColor.RGB=16555035</t>
  </si>
  <si>
    <t>ser.Format.Fill.ForeColor.RGB=14277081</t>
  </si>
  <si>
    <t>ser.Format.Fill.ForeColor.RGB=15453059</t>
  </si>
  <si>
    <t>ser.Format.Line.Weight=1.5</t>
  </si>
  <si>
    <t>ser.Format.Line.ForeColor.RGB=255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</si>
</sst>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_-* #,##0.00_-;\-* #,##0.00_-;_-* &quot;-&quot;??_-;_-@_-"/>
    <numFmt numFmtId="165" formatCode="_(* #,##0_);_(* \(#,##0\);_(* &quot;-&quot;??_);_(@_)"/>
    <numFmt numFmtId="166" formatCode="_-* #,##0_-;\-* #,##0_-;_-* &quot;-&quot;??_-;_-@_-"/>
    <numFmt numFmtId="167" formatCode="_-* #,##0.0_-;\-* #,##0.0_-;_-* &quot;-&quot;??_-;_-@_-"/>
    <numFmt numFmtId="168" formatCode="[$-409]mmm\-yy;@"/>
    <numFmt numFmtId="169" formatCode="#,##0\ &quot;days&quot;"/>
    <numFmt numFmtId="170" formatCode="&quot;M&quot;00"/>
  </numFmts>
  <fonts count="25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indexed="81"/>
      <name val="Tahoma"/>
      <family val="2"/>
    </font>
    <font>
      <b/>
      <sz val="10"/>
      <color indexed="81"/>
      <name val="Tahoma"/>
      <family val="2"/>
    </font>
    <font>
      <sz val="10"/>
      <color theme="1"/>
      <name val="Calibri"/>
      <family val="2"/>
    </font>
    <font>
      <b/>
      <sz val="9"/>
      <color theme="1" tint="0.249977111117893"/>
      <name val="Calibri"/>
      <family val="2"/>
    </font>
    <font>
      <b/>
      <sz val="10"/>
      <color theme="1" tint="0.249977111117893"/>
      <name val="Calibri"/>
      <family val="2"/>
    </font>
    <font>
      <b/>
      <sz val="10"/>
      <color theme="0"/>
      <name val="Calibri"/>
      <family val="2"/>
    </font>
    <font>
      <b/>
      <sz val="10"/>
      <color theme="1" tint="0.499984740745262"/>
      <name val="Calibri"/>
      <family val="2"/>
    </font>
    <font>
      <sz val="10"/>
      <color theme="1" tint="4.9989318521683403E-2"/>
      <name val="Calibri"/>
      <family val="2"/>
    </font>
    <font>
      <sz val="10"/>
      <color theme="1" tint="0.499984740745262"/>
      <name val="Calibri"/>
      <family val="2"/>
    </font>
    <font>
      <b/>
      <sz val="10"/>
      <color theme="1"/>
      <name val="Calibri"/>
      <family val="2"/>
    </font>
    <font>
      <sz val="8"/>
      <name val="Aptos Narrow"/>
      <family val="2"/>
      <scheme val="minor"/>
    </font>
    <font>
      <sz val="10"/>
      <color theme="1" tint="0.249977111117893"/>
      <name val="Calibri"/>
      <family val="2"/>
    </font>
    <font>
      <sz val="10"/>
      <color theme="0"/>
      <name val="Calibri"/>
      <family val="2"/>
    </font>
    <font>
      <b/>
      <sz val="10"/>
      <color rgb="FF444444"/>
      <name val="Calibri"/>
      <family val="2"/>
    </font>
    <font>
      <sz val="10"/>
      <color rgb="FF444444"/>
      <name val="Calibri"/>
      <family val="2"/>
    </font>
    <font>
      <b/>
      <sz val="10"/>
      <color indexed="81"/>
      <name val="Calibri"/>
      <family val="2"/>
    </font>
    <font>
      <sz val="10"/>
      <color indexed="81"/>
      <name val="Calibri"/>
      <family val="2"/>
    </font>
    <font>
      <sz val="10"/>
      <name val="Calibri"/>
      <family val="2"/>
    </font>
    <font>
      <b/>
      <sz val="10"/>
      <color theme="1" tint="4.9989318521683403E-2"/>
      <name val="Calibri"/>
      <family val="2"/>
    </font>
    <font>
      <b/>
      <sz val="10"/>
      <name val="Calibri"/>
      <family val="2"/>
    </font>
    <font>
      <b/>
      <sz val="9"/>
      <color theme="0"/>
      <name val="Calibri"/>
      <family val="2"/>
    </font>
    <font>
      <b/>
      <sz val="10"/>
      <color rgb="FF0000FF"/>
      <name val="Calibri"/>
      <family val="2"/>
    </font>
    <font>
      <sz val="10"/>
      <color rgb="FF0000FF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rgb="FFD8FFD8"/>
        <bgColor indexed="64"/>
      </patternFill>
    </fill>
    <fill>
      <patternFill patternType="solid">
        <fgColor rgb="FFF9F9F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1B9CFC"/>
        <bgColor indexed="64"/>
      </patternFill>
    </fill>
    <fill>
      <patternFill patternType="solid">
        <fgColor rgb="FF55E6C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</fills>
  <borders count="5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4.9989318521683403E-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4.9989318521683403E-2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theme="0" tint="-0.499984740745262"/>
      </left>
      <right/>
      <top style="thin">
        <color indexed="64"/>
      </top>
      <bottom style="thin">
        <color theme="0" tint="-0.499984740745262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indexed="64"/>
      </bottom>
      <diagonal/>
    </border>
    <border>
      <left/>
      <right/>
      <top style="thin">
        <color indexed="64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4.9989318521683403E-2"/>
      </top>
      <bottom style="thin">
        <color theme="0" tint="-0.24994659260841701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theme="0" tint="-4.9989318521683403E-2"/>
      </bottom>
      <diagonal/>
    </border>
    <border>
      <left/>
      <right style="thin">
        <color theme="0" tint="-0.499984740745262"/>
      </right>
      <top style="thin">
        <color theme="0" tint="-4.9989318521683403E-2"/>
      </top>
      <bottom style="thin">
        <color theme="0" tint="-4.9989318521683403E-2"/>
      </bottom>
      <diagonal/>
    </border>
    <border>
      <left/>
      <right style="thin">
        <color theme="0" tint="-0.499984740745262"/>
      </right>
      <top style="thin">
        <color theme="0" tint="-4.9989318521683403E-2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  <border>
      <left style="thin">
        <color indexed="64"/>
      </left>
      <right style="thin">
        <color theme="0" tint="-0.499984740745262"/>
      </right>
      <top style="thin">
        <color indexed="64"/>
      </top>
      <bottom/>
      <diagonal/>
    </border>
    <border>
      <left/>
      <right style="thin">
        <color theme="0" tint="-0.499984740745262"/>
      </right>
      <top style="thin">
        <color indexed="64"/>
      </top>
      <bottom/>
      <diagonal/>
    </border>
    <border>
      <left style="thin">
        <color indexed="64"/>
      </left>
      <right style="thin">
        <color theme="0" tint="-0.499984740745262"/>
      </right>
      <top/>
      <bottom style="thin">
        <color indexed="64"/>
      </bottom>
      <diagonal/>
    </border>
    <border>
      <left/>
      <right style="thin">
        <color theme="0" tint="-0.499984740745262"/>
      </right>
      <top/>
      <bottom style="thin">
        <color indexed="64"/>
      </bottom>
      <diagonal/>
    </border>
    <border>
      <left style="thin">
        <color theme="0" tint="-0.499984740745262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theme="0" tint="-0.499984740745262"/>
      </right>
      <top/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4.9989318521683403E-2"/>
      </top>
      <bottom/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24994659260841701"/>
      </top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0.24994659260841701"/>
      </top>
      <bottom style="thin">
        <color theme="0" tint="-4.9989318521683403E-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/>
      <right style="thin">
        <color theme="0" tint="-0.499984740745262"/>
      </right>
      <top style="thin">
        <color theme="0" tint="-4.9989318521683403E-2"/>
      </top>
      <bottom/>
      <diagonal/>
    </border>
    <border>
      <left/>
      <right style="thin">
        <color theme="0" tint="-0.499984740745262"/>
      </right>
      <top style="thin">
        <color theme="0" tint="-0.24994659260841701"/>
      </top>
      <bottom style="thin">
        <color theme="0" tint="-4.9989318521683403E-2"/>
      </bottom>
      <diagonal/>
    </border>
    <border>
      <left style="thin">
        <color theme="0" tint="-0.499984740745262"/>
      </left>
      <right style="thin">
        <color indexed="64"/>
      </right>
      <top style="thin">
        <color theme="0" tint="-4.9989318521683403E-2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theme="0" tint="-0.499984740745262"/>
      </left>
      <right style="thin">
        <color indexed="64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499984740745262"/>
      </left>
      <right style="thin">
        <color theme="0" tint="-0.499984740745262"/>
      </right>
      <top/>
      <bottom/>
      <diagonal/>
    </border>
    <border>
      <left style="thin">
        <color theme="0" tint="-0.499984740745262"/>
      </left>
      <right style="thin">
        <color indexed="64"/>
      </right>
      <top/>
      <bottom/>
      <diagonal/>
    </border>
    <border>
      <left/>
      <right style="thin">
        <color theme="0" tint="-0.499984740745262"/>
      </right>
      <top style="thin">
        <color theme="0" tint="-4.9989318521683403E-2"/>
      </top>
      <bottom style="thin">
        <color theme="0" tint="-0.24994659260841701"/>
      </bottom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211">
    <xf numFmtId="0" fontId="0" fillId="0" borderId="0" xfId="0"/>
    <xf numFmtId="0" fontId="4" fillId="0" borderId="0" xfId="0" applyFont="1" applyAlignment="1">
      <alignment vertical="center"/>
    </xf>
    <xf numFmtId="1" fontId="9" fillId="0" borderId="3" xfId="0" applyNumberFormat="1" applyFont="1" applyBorder="1" applyAlignment="1">
      <alignment horizontal="center" vertical="top" wrapText="1"/>
    </xf>
    <xf numFmtId="49" fontId="9" fillId="0" borderId="4" xfId="0" applyNumberFormat="1" applyFont="1" applyBorder="1" applyAlignment="1">
      <alignment horizontal="left" vertical="top" wrapText="1"/>
    </xf>
    <xf numFmtId="14" fontId="9" fillId="0" borderId="4" xfId="0" applyNumberFormat="1" applyFont="1" applyBorder="1" applyAlignment="1">
      <alignment horizontal="center" vertical="top"/>
    </xf>
    <xf numFmtId="165" fontId="9" fillId="0" borderId="4" xfId="3" applyNumberFormat="1" applyFont="1" applyFill="1" applyBorder="1" applyAlignment="1">
      <alignment vertical="top"/>
    </xf>
    <xf numFmtId="14" fontId="10" fillId="0" borderId="4" xfId="0" applyNumberFormat="1" applyFont="1" applyBorder="1" applyAlignment="1">
      <alignment horizontal="center" vertical="top"/>
    </xf>
    <xf numFmtId="166" fontId="10" fillId="0" borderId="4" xfId="1" applyNumberFormat="1" applyFont="1" applyBorder="1" applyAlignment="1">
      <alignment horizontal="center" vertical="top"/>
    </xf>
    <xf numFmtId="0" fontId="10" fillId="0" borderId="4" xfId="1" applyNumberFormat="1" applyFont="1" applyBorder="1" applyAlignment="1">
      <alignment horizontal="left" vertical="top" shrinkToFit="1"/>
    </xf>
    <xf numFmtId="1" fontId="9" fillId="0" borderId="9" xfId="0" applyNumberFormat="1" applyFont="1" applyBorder="1" applyAlignment="1">
      <alignment horizontal="center" vertical="top" wrapText="1"/>
    </xf>
    <xf numFmtId="1" fontId="9" fillId="0" borderId="5" xfId="0" applyNumberFormat="1" applyFont="1" applyBorder="1" applyAlignment="1">
      <alignment horizontal="center" vertical="top" wrapText="1"/>
    </xf>
    <xf numFmtId="14" fontId="9" fillId="0" borderId="6" xfId="0" applyNumberFormat="1" applyFont="1" applyBorder="1" applyAlignment="1">
      <alignment horizontal="center" vertical="top"/>
    </xf>
    <xf numFmtId="165" fontId="9" fillId="0" borderId="6" xfId="3" applyNumberFormat="1" applyFont="1" applyFill="1" applyBorder="1" applyAlignment="1">
      <alignment vertical="top"/>
    </xf>
    <xf numFmtId="14" fontId="10" fillId="0" borderId="6" xfId="0" applyNumberFormat="1" applyFont="1" applyBorder="1" applyAlignment="1">
      <alignment horizontal="center" vertical="top"/>
    </xf>
    <xf numFmtId="166" fontId="10" fillId="0" borderId="6" xfId="1" applyNumberFormat="1" applyFont="1" applyBorder="1" applyAlignment="1">
      <alignment horizontal="center" vertical="top"/>
    </xf>
    <xf numFmtId="0" fontId="10" fillId="0" borderId="6" xfId="1" applyNumberFormat="1" applyFont="1" applyBorder="1" applyAlignment="1">
      <alignment horizontal="left" vertical="top" shrinkToFit="1"/>
    </xf>
    <xf numFmtId="9" fontId="10" fillId="0" borderId="4" xfId="2" applyFont="1" applyBorder="1" applyAlignment="1">
      <alignment horizontal="center" vertical="top"/>
    </xf>
    <xf numFmtId="9" fontId="9" fillId="0" borderId="4" xfId="2" applyFont="1" applyFill="1" applyBorder="1" applyAlignment="1">
      <alignment horizontal="center" vertical="top"/>
    </xf>
    <xf numFmtId="9" fontId="10" fillId="0" borderId="6" xfId="2" applyFont="1" applyBorder="1" applyAlignment="1">
      <alignment horizontal="center" vertical="top"/>
    </xf>
    <xf numFmtId="9" fontId="9" fillId="0" borderId="6" xfId="2" applyFont="1" applyFill="1" applyBorder="1" applyAlignment="1">
      <alignment horizontal="center" vertical="top"/>
    </xf>
    <xf numFmtId="0" fontId="9" fillId="0" borderId="4" xfId="0" applyFont="1" applyBorder="1" applyAlignment="1">
      <alignment horizontal="left" vertical="top" wrapText="1"/>
    </xf>
    <xf numFmtId="0" fontId="9" fillId="0" borderId="10" xfId="0" applyFont="1" applyBorder="1" applyAlignment="1">
      <alignment horizontal="left" vertical="top" wrapText="1"/>
    </xf>
    <xf numFmtId="0" fontId="9" fillId="0" borderId="6" xfId="0" applyFont="1" applyBorder="1" applyAlignment="1">
      <alignment horizontal="left" vertical="top" wrapText="1"/>
    </xf>
    <xf numFmtId="0" fontId="11" fillId="0" borderId="0" xfId="0" applyFont="1" applyAlignment="1">
      <alignment vertical="center"/>
    </xf>
    <xf numFmtId="1" fontId="11" fillId="0" borderId="3" xfId="0" applyNumberFormat="1" applyFont="1" applyBorder="1" applyAlignment="1">
      <alignment horizontal="left" vertical="top" wrapText="1"/>
    </xf>
    <xf numFmtId="1" fontId="11" fillId="0" borderId="2" xfId="0" applyNumberFormat="1" applyFont="1" applyBorder="1" applyAlignment="1">
      <alignment horizontal="left" vertical="top" wrapText="1"/>
    </xf>
    <xf numFmtId="0" fontId="4" fillId="0" borderId="19" xfId="0" applyFont="1" applyBorder="1" applyAlignment="1">
      <alignment horizontal="left" vertical="center" indent="1"/>
    </xf>
    <xf numFmtId="14" fontId="10" fillId="0" borderId="13" xfId="0" applyNumberFormat="1" applyFont="1" applyBorder="1" applyAlignment="1">
      <alignment horizontal="left" vertical="top" indent="1"/>
    </xf>
    <xf numFmtId="1" fontId="11" fillId="0" borderId="5" xfId="0" applyNumberFormat="1" applyFont="1" applyBorder="1" applyAlignment="1">
      <alignment horizontal="left" vertical="top" wrapText="1"/>
    </xf>
    <xf numFmtId="1" fontId="11" fillId="0" borderId="7" xfId="0" applyNumberFormat="1" applyFont="1" applyBorder="1" applyAlignment="1">
      <alignment horizontal="left" vertical="top" wrapText="1"/>
    </xf>
    <xf numFmtId="0" fontId="4" fillId="0" borderId="14" xfId="0" applyFont="1" applyBorder="1" applyAlignment="1">
      <alignment horizontal="left" vertical="center" indent="1"/>
    </xf>
    <xf numFmtId="166" fontId="10" fillId="7" borderId="12" xfId="1" applyNumberFormat="1" applyFont="1" applyFill="1" applyBorder="1" applyAlignment="1">
      <alignment horizontal="center" vertical="center" shrinkToFit="1"/>
    </xf>
    <xf numFmtId="0" fontId="10" fillId="7" borderId="12" xfId="0" applyFont="1" applyFill="1" applyBorder="1" applyAlignment="1">
      <alignment horizontal="center" vertical="center" shrinkToFit="1"/>
    </xf>
    <xf numFmtId="2" fontId="10" fillId="0" borderId="15" xfId="0" applyNumberFormat="1" applyFont="1" applyBorder="1" applyAlignment="1">
      <alignment horizontal="left" vertical="top" indent="1"/>
    </xf>
    <xf numFmtId="167" fontId="4" fillId="0" borderId="0" xfId="0" applyNumberFormat="1" applyFont="1" applyAlignment="1">
      <alignment vertical="center"/>
    </xf>
    <xf numFmtId="166" fontId="13" fillId="6" borderId="23" xfId="1" applyNumberFormat="1" applyFont="1" applyFill="1" applyBorder="1" applyAlignment="1">
      <alignment horizontal="center" vertical="center" shrinkToFit="1"/>
    </xf>
    <xf numFmtId="166" fontId="13" fillId="6" borderId="22" xfId="1" applyNumberFormat="1" applyFont="1" applyFill="1" applyBorder="1" applyAlignment="1">
      <alignment horizontal="center" vertical="center" shrinkToFit="1"/>
    </xf>
    <xf numFmtId="0" fontId="4" fillId="0" borderId="18" xfId="0" applyFont="1" applyBorder="1" applyAlignment="1">
      <alignment vertical="center"/>
    </xf>
    <xf numFmtId="0" fontId="15" fillId="2" borderId="1" xfId="0" applyFont="1" applyFill="1" applyBorder="1" applyAlignment="1">
      <alignment horizontal="center" vertical="center" wrapText="1"/>
    </xf>
    <xf numFmtId="0" fontId="4" fillId="0" borderId="1" xfId="0" applyFont="1" applyBorder="1" applyAlignment="1">
      <alignment vertical="center"/>
    </xf>
    <xf numFmtId="14" fontId="16" fillId="3" borderId="1" xfId="0" applyNumberFormat="1" applyFont="1" applyFill="1" applyBorder="1" applyAlignment="1">
      <alignment horizontal="center" vertical="center" wrapText="1"/>
    </xf>
    <xf numFmtId="14" fontId="16" fillId="4" borderId="1" xfId="0" applyNumberFormat="1" applyFont="1" applyFill="1" applyBorder="1" applyAlignment="1">
      <alignment horizontal="center" vertical="center" wrapText="1"/>
    </xf>
    <xf numFmtId="0" fontId="16" fillId="4" borderId="1" xfId="0" applyFont="1" applyFill="1" applyBorder="1" applyAlignment="1">
      <alignment horizontal="left" vertical="center" wrapText="1"/>
    </xf>
    <xf numFmtId="0" fontId="16" fillId="3" borderId="1" xfId="0" applyFont="1" applyFill="1" applyBorder="1" applyAlignment="1">
      <alignment horizontal="left" vertical="center" wrapText="1"/>
    </xf>
    <xf numFmtId="169" fontId="10" fillId="0" borderId="4" xfId="1" applyNumberFormat="1" applyFont="1" applyBorder="1" applyAlignment="1">
      <alignment horizontal="center" vertical="top"/>
    </xf>
    <xf numFmtId="169" fontId="10" fillId="0" borderId="6" xfId="1" applyNumberFormat="1" applyFont="1" applyBorder="1" applyAlignment="1">
      <alignment horizontal="center" vertical="top"/>
    </xf>
    <xf numFmtId="169" fontId="9" fillId="0" borderId="4" xfId="3" applyNumberFormat="1" applyFont="1" applyFill="1" applyBorder="1" applyAlignment="1">
      <alignment horizontal="center" vertical="top"/>
    </xf>
    <xf numFmtId="169" fontId="9" fillId="0" borderId="6" xfId="3" applyNumberFormat="1" applyFont="1" applyFill="1" applyBorder="1" applyAlignment="1">
      <alignment horizontal="center" vertical="top"/>
    </xf>
    <xf numFmtId="1" fontId="4" fillId="0" borderId="7" xfId="0" applyNumberFormat="1" applyFont="1" applyBorder="1" applyAlignment="1">
      <alignment horizontal="center" vertical="top" wrapText="1"/>
    </xf>
    <xf numFmtId="0" fontId="4" fillId="0" borderId="8" xfId="0" applyFont="1" applyBorder="1" applyAlignment="1">
      <alignment horizontal="left" vertical="top" wrapText="1"/>
    </xf>
    <xf numFmtId="169" fontId="4" fillId="0" borderId="8" xfId="3" applyNumberFormat="1" applyFont="1" applyFill="1" applyBorder="1" applyAlignment="1">
      <alignment horizontal="center" vertical="top"/>
    </xf>
    <xf numFmtId="0" fontId="7" fillId="5" borderId="28" xfId="0" applyFont="1" applyFill="1" applyBorder="1" applyAlignment="1">
      <alignment horizontal="center" vertical="center" shrinkToFit="1"/>
    </xf>
    <xf numFmtId="164" fontId="10" fillId="0" borderId="4" xfId="1" applyFont="1" applyBorder="1" applyAlignment="1">
      <alignment horizontal="center" vertical="top"/>
    </xf>
    <xf numFmtId="164" fontId="10" fillId="0" borderId="13" xfId="1" applyFont="1" applyBorder="1" applyAlignment="1">
      <alignment horizontal="center" vertical="top"/>
    </xf>
    <xf numFmtId="164" fontId="10" fillId="0" borderId="6" xfId="1" applyFont="1" applyBorder="1" applyAlignment="1">
      <alignment horizontal="center" vertical="top"/>
    </xf>
    <xf numFmtId="164" fontId="10" fillId="0" borderId="15" xfId="1" applyFont="1" applyBorder="1" applyAlignment="1">
      <alignment horizontal="center" vertical="top"/>
    </xf>
    <xf numFmtId="2" fontId="9" fillId="0" borderId="4" xfId="2" applyNumberFormat="1" applyFont="1" applyFill="1" applyBorder="1" applyAlignment="1">
      <alignment horizontal="center" vertical="top"/>
    </xf>
    <xf numFmtId="166" fontId="10" fillId="0" borderId="4" xfId="1" applyNumberFormat="1" applyFont="1" applyBorder="1" applyAlignment="1">
      <alignment horizontal="left" vertical="top"/>
    </xf>
    <xf numFmtId="166" fontId="10" fillId="0" borderId="6" xfId="1" applyNumberFormat="1" applyFont="1" applyBorder="1" applyAlignment="1">
      <alignment horizontal="left" vertical="top"/>
    </xf>
    <xf numFmtId="0" fontId="10" fillId="0" borderId="4" xfId="1" applyNumberFormat="1" applyFont="1" applyBorder="1" applyAlignment="1">
      <alignment horizontal="center" vertical="top" shrinkToFit="1"/>
    </xf>
    <xf numFmtId="0" fontId="10" fillId="0" borderId="6" xfId="1" applyNumberFormat="1" applyFont="1" applyBorder="1" applyAlignment="1">
      <alignment horizontal="center" vertical="top" shrinkToFit="1"/>
    </xf>
    <xf numFmtId="1" fontId="11" fillId="0" borderId="2" xfId="0" applyNumberFormat="1" applyFont="1" applyBorder="1" applyAlignment="1">
      <alignment horizontal="left" vertical="top" shrinkToFit="1"/>
    </xf>
    <xf numFmtId="1" fontId="11" fillId="0" borderId="7" xfId="0" applyNumberFormat="1" applyFont="1" applyBorder="1" applyAlignment="1">
      <alignment horizontal="left" vertical="top" shrinkToFit="1"/>
    </xf>
    <xf numFmtId="1" fontId="11" fillId="0" borderId="3" xfId="0" applyNumberFormat="1" applyFont="1" applyBorder="1" applyAlignment="1">
      <alignment horizontal="left" vertical="top" shrinkToFit="1"/>
    </xf>
    <xf numFmtId="1" fontId="11" fillId="0" borderId="5" xfId="0" applyNumberFormat="1" applyFont="1" applyBorder="1" applyAlignment="1">
      <alignment horizontal="left" vertical="top" shrinkToFit="1"/>
    </xf>
    <xf numFmtId="170" fontId="7" fillId="5" borderId="11" xfId="0" applyNumberFormat="1" applyFont="1" applyFill="1" applyBorder="1" applyAlignment="1">
      <alignment horizontal="center" vertical="center"/>
    </xf>
    <xf numFmtId="170" fontId="7" fillId="5" borderId="26" xfId="0" applyNumberFormat="1" applyFont="1" applyFill="1" applyBorder="1" applyAlignment="1">
      <alignment horizontal="center" vertical="center"/>
    </xf>
    <xf numFmtId="168" fontId="7" fillId="5" borderId="12" xfId="0" applyNumberFormat="1" applyFont="1" applyFill="1" applyBorder="1" applyAlignment="1">
      <alignment horizontal="center" vertical="center"/>
    </xf>
    <xf numFmtId="168" fontId="7" fillId="5" borderId="39" xfId="0" applyNumberFormat="1" applyFont="1" applyFill="1" applyBorder="1" applyAlignment="1">
      <alignment horizontal="center" vertical="center"/>
    </xf>
    <xf numFmtId="0" fontId="4" fillId="0" borderId="8" xfId="0" applyFont="1" applyBorder="1" applyAlignment="1">
      <alignment horizontal="left" vertical="top" shrinkToFit="1"/>
    </xf>
    <xf numFmtId="49" fontId="4" fillId="0" borderId="31" xfId="0" applyNumberFormat="1" applyFont="1" applyBorder="1" applyAlignment="1">
      <alignment vertical="top" shrinkToFit="1"/>
    </xf>
    <xf numFmtId="0" fontId="9" fillId="0" borderId="4" xfId="0" applyFont="1" applyBorder="1" applyAlignment="1">
      <alignment horizontal="left" vertical="top" shrinkToFit="1"/>
    </xf>
    <xf numFmtId="49" fontId="19" fillId="0" borderId="32" xfId="0" applyNumberFormat="1" applyFont="1" applyBorder="1" applyAlignment="1">
      <alignment vertical="top" shrinkToFit="1"/>
    </xf>
    <xf numFmtId="0" fontId="9" fillId="0" borderId="6" xfId="0" applyFont="1" applyBorder="1" applyAlignment="1">
      <alignment horizontal="left" vertical="top" shrinkToFit="1"/>
    </xf>
    <xf numFmtId="49" fontId="19" fillId="0" borderId="33" xfId="0" applyNumberFormat="1" applyFont="1" applyBorder="1" applyAlignment="1">
      <alignment vertical="top" shrinkToFit="1"/>
    </xf>
    <xf numFmtId="169" fontId="20" fillId="8" borderId="28" xfId="3" applyNumberFormat="1" applyFont="1" applyFill="1" applyBorder="1" applyAlignment="1">
      <alignment horizontal="center" vertical="top"/>
    </xf>
    <xf numFmtId="164" fontId="21" fillId="8" borderId="28" xfId="1" applyFont="1" applyFill="1" applyBorder="1" applyAlignment="1">
      <alignment horizontal="center" vertical="top"/>
    </xf>
    <xf numFmtId="164" fontId="21" fillId="8" borderId="29" xfId="1" applyFont="1" applyFill="1" applyBorder="1" applyAlignment="1">
      <alignment horizontal="center" vertical="top"/>
    </xf>
    <xf numFmtId="166" fontId="4" fillId="0" borderId="0" xfId="0" applyNumberFormat="1" applyFont="1" applyAlignment="1">
      <alignment vertical="center"/>
    </xf>
    <xf numFmtId="0" fontId="4" fillId="0" borderId="41" xfId="0" applyFont="1" applyBorder="1" applyAlignment="1">
      <alignment vertical="center"/>
    </xf>
    <xf numFmtId="0" fontId="22" fillId="5" borderId="27" xfId="0" applyFont="1" applyFill="1" applyBorder="1" applyAlignment="1">
      <alignment horizontal="center" vertical="center" wrapText="1" shrinkToFit="1"/>
    </xf>
    <xf numFmtId="0" fontId="7" fillId="5" borderId="29" xfId="0" applyFont="1" applyFill="1" applyBorder="1" applyAlignment="1">
      <alignment horizontal="center" vertical="center" shrinkToFit="1"/>
    </xf>
    <xf numFmtId="0" fontId="7" fillId="0" borderId="0" xfId="0" applyFont="1" applyAlignment="1">
      <alignment horizontal="center" vertical="center" shrinkToFit="1"/>
    </xf>
    <xf numFmtId="168" fontId="14" fillId="0" borderId="0" xfId="0" applyNumberFormat="1" applyFont="1" applyAlignment="1">
      <alignment horizontal="center" vertical="center"/>
    </xf>
    <xf numFmtId="169" fontId="4" fillId="0" borderId="14" xfId="1" applyNumberFormat="1" applyFont="1" applyBorder="1" applyAlignment="1">
      <alignment horizontal="right" vertical="top" shrinkToFit="1"/>
    </xf>
    <xf numFmtId="169" fontId="4" fillId="0" borderId="0" xfId="3" applyNumberFormat="1" applyFont="1" applyFill="1" applyBorder="1" applyAlignment="1">
      <alignment horizontal="center" vertical="top"/>
    </xf>
    <xf numFmtId="164" fontId="10" fillId="0" borderId="0" xfId="1" applyFont="1" applyFill="1" applyBorder="1" applyAlignment="1">
      <alignment horizontal="center" vertical="top"/>
    </xf>
    <xf numFmtId="169" fontId="9" fillId="0" borderId="13" xfId="1" applyNumberFormat="1" applyFont="1" applyBorder="1" applyAlignment="1">
      <alignment horizontal="right" vertical="top" shrinkToFit="1"/>
    </xf>
    <xf numFmtId="169" fontId="9" fillId="0" borderId="0" xfId="3" applyNumberFormat="1" applyFont="1" applyFill="1" applyBorder="1" applyAlignment="1">
      <alignment horizontal="center" vertical="top"/>
    </xf>
    <xf numFmtId="169" fontId="9" fillId="0" borderId="25" xfId="1" applyNumberFormat="1" applyFont="1" applyBorder="1" applyAlignment="1">
      <alignment horizontal="right" vertical="top" shrinkToFit="1"/>
    </xf>
    <xf numFmtId="169" fontId="20" fillId="8" borderId="14" xfId="1" applyNumberFormat="1" applyFont="1" applyFill="1" applyBorder="1" applyAlignment="1">
      <alignment horizontal="right" vertical="top" shrinkToFit="1"/>
    </xf>
    <xf numFmtId="169" fontId="20" fillId="8" borderId="15" xfId="1" applyNumberFormat="1" applyFont="1" applyFill="1" applyBorder="1" applyAlignment="1">
      <alignment horizontal="right" vertical="top" shrinkToFit="1"/>
    </xf>
    <xf numFmtId="1" fontId="9" fillId="0" borderId="43" xfId="0" applyNumberFormat="1" applyFont="1" applyBorder="1" applyAlignment="1">
      <alignment horizontal="center" vertical="top" wrapText="1"/>
    </xf>
    <xf numFmtId="0" fontId="9" fillId="0" borderId="44" xfId="0" applyFont="1" applyBorder="1" applyAlignment="1">
      <alignment horizontal="left" vertical="top" wrapText="1"/>
    </xf>
    <xf numFmtId="14" fontId="9" fillId="0" borderId="44" xfId="0" applyNumberFormat="1" applyFont="1" applyBorder="1" applyAlignment="1">
      <alignment horizontal="center" vertical="top"/>
    </xf>
    <xf numFmtId="169" fontId="9" fillId="0" borderId="44" xfId="3" applyNumberFormat="1" applyFont="1" applyFill="1" applyBorder="1" applyAlignment="1">
      <alignment horizontal="center" vertical="top"/>
    </xf>
    <xf numFmtId="165" fontId="9" fillId="0" borderId="44" xfId="3" applyNumberFormat="1" applyFont="1" applyFill="1" applyBorder="1" applyAlignment="1">
      <alignment vertical="top"/>
    </xf>
    <xf numFmtId="14" fontId="10" fillId="0" borderId="44" xfId="0" applyNumberFormat="1" applyFont="1" applyBorder="1" applyAlignment="1">
      <alignment horizontal="center" vertical="top"/>
    </xf>
    <xf numFmtId="169" fontId="10" fillId="0" borderId="44" xfId="1" applyNumberFormat="1" applyFont="1" applyBorder="1" applyAlignment="1">
      <alignment horizontal="center" vertical="top"/>
    </xf>
    <xf numFmtId="9" fontId="10" fillId="0" borderId="44" xfId="2" applyFont="1" applyBorder="1" applyAlignment="1">
      <alignment horizontal="center" vertical="top"/>
    </xf>
    <xf numFmtId="9" fontId="9" fillId="0" borderId="44" xfId="2" applyFont="1" applyFill="1" applyBorder="1" applyAlignment="1">
      <alignment horizontal="center" vertical="top"/>
    </xf>
    <xf numFmtId="166" fontId="10" fillId="0" borderId="44" xfId="1" applyNumberFormat="1" applyFont="1" applyBorder="1" applyAlignment="1">
      <alignment horizontal="center" vertical="top"/>
    </xf>
    <xf numFmtId="166" fontId="10" fillId="0" borderId="44" xfId="1" applyNumberFormat="1" applyFont="1" applyBorder="1" applyAlignment="1">
      <alignment horizontal="left" vertical="top"/>
    </xf>
    <xf numFmtId="0" fontId="10" fillId="0" borderId="44" xfId="1" applyNumberFormat="1" applyFont="1" applyBorder="1" applyAlignment="1">
      <alignment horizontal="left" vertical="top" shrinkToFit="1"/>
    </xf>
    <xf numFmtId="0" fontId="10" fillId="0" borderId="44" xfId="1" applyNumberFormat="1" applyFont="1" applyBorder="1" applyAlignment="1">
      <alignment horizontal="center" vertical="top" shrinkToFit="1"/>
    </xf>
    <xf numFmtId="2" fontId="9" fillId="0" borderId="44" xfId="2" applyNumberFormat="1" applyFont="1" applyFill="1" applyBorder="1" applyAlignment="1">
      <alignment horizontal="center" vertical="top"/>
    </xf>
    <xf numFmtId="1" fontId="11" fillId="0" borderId="3" xfId="0" applyNumberFormat="1" applyFont="1" applyBorder="1" applyAlignment="1">
      <alignment horizontal="center" vertical="top" wrapText="1"/>
    </xf>
    <xf numFmtId="0" fontId="11" fillId="0" borderId="4" xfId="0" applyFont="1" applyBorder="1" applyAlignment="1">
      <alignment horizontal="left" vertical="top" wrapText="1"/>
    </xf>
    <xf numFmtId="14" fontId="11" fillId="0" borderId="4" xfId="0" applyNumberFormat="1" applyFont="1" applyBorder="1" applyAlignment="1">
      <alignment horizontal="center" vertical="top"/>
    </xf>
    <xf numFmtId="169" fontId="11" fillId="0" borderId="4" xfId="3" applyNumberFormat="1" applyFont="1" applyFill="1" applyBorder="1" applyAlignment="1">
      <alignment horizontal="center" vertical="top"/>
    </xf>
    <xf numFmtId="165" fontId="11" fillId="0" borderId="4" xfId="3" applyNumberFormat="1" applyFont="1" applyFill="1" applyBorder="1" applyAlignment="1">
      <alignment vertical="top"/>
    </xf>
    <xf numFmtId="169" fontId="11" fillId="0" borderId="4" xfId="1" applyNumberFormat="1" applyFont="1" applyBorder="1" applyAlignment="1">
      <alignment horizontal="center" vertical="top"/>
    </xf>
    <xf numFmtId="9" fontId="11" fillId="0" borderId="4" xfId="2" applyFont="1" applyBorder="1" applyAlignment="1">
      <alignment horizontal="center" vertical="top"/>
    </xf>
    <xf numFmtId="9" fontId="11" fillId="0" borderId="4" xfId="2" applyFont="1" applyFill="1" applyBorder="1" applyAlignment="1">
      <alignment horizontal="center" vertical="top"/>
    </xf>
    <xf numFmtId="166" fontId="11" fillId="0" borderId="4" xfId="1" applyNumberFormat="1" applyFont="1" applyBorder="1" applyAlignment="1">
      <alignment horizontal="center" vertical="top"/>
    </xf>
    <xf numFmtId="166" fontId="11" fillId="0" borderId="4" xfId="1" applyNumberFormat="1" applyFont="1" applyBorder="1" applyAlignment="1">
      <alignment horizontal="left" vertical="top"/>
    </xf>
    <xf numFmtId="0" fontId="11" fillId="0" borderId="4" xfId="1" applyNumberFormat="1" applyFont="1" applyBorder="1" applyAlignment="1">
      <alignment horizontal="left" vertical="top" shrinkToFit="1"/>
    </xf>
    <xf numFmtId="0" fontId="11" fillId="0" borderId="4" xfId="1" applyNumberFormat="1" applyFont="1" applyBorder="1" applyAlignment="1">
      <alignment horizontal="center" vertical="top" shrinkToFit="1"/>
    </xf>
    <xf numFmtId="2" fontId="11" fillId="0" borderId="4" xfId="2" applyNumberFormat="1" applyFont="1" applyFill="1" applyBorder="1" applyAlignment="1">
      <alignment horizontal="center" vertical="top"/>
    </xf>
    <xf numFmtId="1" fontId="11" fillId="0" borderId="45" xfId="0" applyNumberFormat="1" applyFont="1" applyBorder="1" applyAlignment="1">
      <alignment horizontal="center" vertical="top" wrapText="1"/>
    </xf>
    <xf numFmtId="0" fontId="11" fillId="0" borderId="46" xfId="0" applyFont="1" applyBorder="1" applyAlignment="1">
      <alignment horizontal="left" vertical="top" wrapText="1"/>
    </xf>
    <xf numFmtId="14" fontId="11" fillId="0" borderId="46" xfId="0" applyNumberFormat="1" applyFont="1" applyBorder="1" applyAlignment="1">
      <alignment horizontal="center" vertical="top"/>
    </xf>
    <xf numFmtId="169" fontId="11" fillId="0" borderId="46" xfId="3" applyNumberFormat="1" applyFont="1" applyFill="1" applyBorder="1" applyAlignment="1">
      <alignment horizontal="center" vertical="top"/>
    </xf>
    <xf numFmtId="165" fontId="11" fillId="0" borderId="46" xfId="3" applyNumberFormat="1" applyFont="1" applyFill="1" applyBorder="1" applyAlignment="1">
      <alignment vertical="top"/>
    </xf>
    <xf numFmtId="166" fontId="11" fillId="0" borderId="46" xfId="1" applyNumberFormat="1" applyFont="1" applyBorder="1" applyAlignment="1">
      <alignment horizontal="center" vertical="top"/>
    </xf>
    <xf numFmtId="166" fontId="11" fillId="0" borderId="46" xfId="1" applyNumberFormat="1" applyFont="1" applyBorder="1" applyAlignment="1">
      <alignment horizontal="left" vertical="top"/>
    </xf>
    <xf numFmtId="0" fontId="11" fillId="0" borderId="46" xfId="1" applyNumberFormat="1" applyFont="1" applyBorder="1" applyAlignment="1">
      <alignment horizontal="left" vertical="top" shrinkToFit="1"/>
    </xf>
    <xf numFmtId="0" fontId="11" fillId="0" borderId="46" xfId="1" applyNumberFormat="1" applyFont="1" applyBorder="1" applyAlignment="1">
      <alignment horizontal="center" vertical="top" shrinkToFit="1"/>
    </xf>
    <xf numFmtId="2" fontId="11" fillId="0" borderId="46" xfId="2" applyNumberFormat="1" applyFont="1" applyFill="1" applyBorder="1" applyAlignment="1">
      <alignment horizontal="center" vertical="top"/>
    </xf>
    <xf numFmtId="2" fontId="11" fillId="0" borderId="47" xfId="2" applyNumberFormat="1" applyFont="1" applyFill="1" applyBorder="1" applyAlignment="1">
      <alignment horizontal="center" vertical="top"/>
    </xf>
    <xf numFmtId="49" fontId="11" fillId="0" borderId="46" xfId="0" applyNumberFormat="1" applyFont="1" applyBorder="1" applyAlignment="1">
      <alignment horizontal="left" vertical="top" wrapText="1"/>
    </xf>
    <xf numFmtId="0" fontId="4" fillId="0" borderId="46" xfId="0" applyFont="1" applyBorder="1" applyAlignment="1">
      <alignment horizontal="left" vertical="top" wrapText="1"/>
    </xf>
    <xf numFmtId="0" fontId="4" fillId="0" borderId="4" xfId="0" applyFont="1" applyBorder="1" applyAlignment="1">
      <alignment horizontal="left" vertical="top" wrapText="1"/>
    </xf>
    <xf numFmtId="166" fontId="13" fillId="6" borderId="48" xfId="1" applyNumberFormat="1" applyFont="1" applyFill="1" applyBorder="1" applyAlignment="1">
      <alignment horizontal="center" vertical="center" shrinkToFit="1"/>
    </xf>
    <xf numFmtId="2" fontId="11" fillId="0" borderId="32" xfId="2" applyNumberFormat="1" applyFont="1" applyFill="1" applyBorder="1" applyAlignment="1">
      <alignment horizontal="center" vertical="top"/>
    </xf>
    <xf numFmtId="2" fontId="9" fillId="0" borderId="32" xfId="2" applyNumberFormat="1" applyFont="1" applyFill="1" applyBorder="1" applyAlignment="1">
      <alignment horizontal="center" vertical="top"/>
    </xf>
    <xf numFmtId="2" fontId="9" fillId="0" borderId="49" xfId="2" applyNumberFormat="1" applyFont="1" applyFill="1" applyBorder="1" applyAlignment="1">
      <alignment horizontal="center" vertical="top"/>
    </xf>
    <xf numFmtId="2" fontId="11" fillId="0" borderId="50" xfId="2" applyNumberFormat="1" applyFont="1" applyFill="1" applyBorder="1" applyAlignment="1">
      <alignment horizontal="center" vertical="top"/>
    </xf>
    <xf numFmtId="0" fontId="11" fillId="0" borderId="13" xfId="1" applyNumberFormat="1" applyFont="1" applyBorder="1" applyAlignment="1">
      <alignment horizontal="center" vertical="top" shrinkToFit="1"/>
    </xf>
    <xf numFmtId="0" fontId="10" fillId="0" borderId="13" xfId="1" applyNumberFormat="1" applyFont="1" applyBorder="1" applyAlignment="1">
      <alignment horizontal="center" vertical="top" shrinkToFit="1"/>
    </xf>
    <xf numFmtId="0" fontId="10" fillId="0" borderId="51" xfId="1" applyNumberFormat="1" applyFont="1" applyBorder="1" applyAlignment="1">
      <alignment horizontal="center" vertical="top" shrinkToFit="1"/>
    </xf>
    <xf numFmtId="0" fontId="11" fillId="0" borderId="47" xfId="1" applyNumberFormat="1" applyFont="1" applyBorder="1" applyAlignment="1">
      <alignment horizontal="center" vertical="top" shrinkToFit="1"/>
    </xf>
    <xf numFmtId="0" fontId="10" fillId="0" borderId="15" xfId="1" applyNumberFormat="1" applyFont="1" applyBorder="1" applyAlignment="1">
      <alignment horizontal="center" vertical="top" shrinkToFit="1"/>
    </xf>
    <xf numFmtId="166" fontId="13" fillId="6" borderId="53" xfId="1" applyNumberFormat="1" applyFont="1" applyFill="1" applyBorder="1" applyAlignment="1">
      <alignment horizontal="center" vertical="center" shrinkToFit="1"/>
    </xf>
    <xf numFmtId="2" fontId="11" fillId="0" borderId="13" xfId="2" applyNumberFormat="1" applyFont="1" applyFill="1" applyBorder="1" applyAlignment="1">
      <alignment horizontal="center" vertical="top"/>
    </xf>
    <xf numFmtId="2" fontId="9" fillId="0" borderId="13" xfId="2" applyNumberFormat="1" applyFont="1" applyFill="1" applyBorder="1" applyAlignment="1">
      <alignment horizontal="center" vertical="top"/>
    </xf>
    <xf numFmtId="2" fontId="9" fillId="0" borderId="51" xfId="2" applyNumberFormat="1" applyFont="1" applyFill="1" applyBorder="1" applyAlignment="1">
      <alignment horizontal="center" vertical="top"/>
    </xf>
    <xf numFmtId="2" fontId="9" fillId="0" borderId="33" xfId="2" applyNumberFormat="1" applyFont="1" applyFill="1" applyBorder="1" applyAlignment="1">
      <alignment horizontal="center" vertical="top"/>
    </xf>
    <xf numFmtId="2" fontId="9" fillId="0" borderId="6" xfId="2" applyNumberFormat="1" applyFont="1" applyFill="1" applyBorder="1" applyAlignment="1">
      <alignment horizontal="center" vertical="top"/>
    </xf>
    <xf numFmtId="2" fontId="9" fillId="0" borderId="15" xfId="2" applyNumberFormat="1" applyFont="1" applyFill="1" applyBorder="1" applyAlignment="1">
      <alignment horizontal="center" vertical="top"/>
    </xf>
    <xf numFmtId="49" fontId="9" fillId="0" borderId="44" xfId="0" applyNumberFormat="1" applyFont="1" applyBorder="1" applyAlignment="1">
      <alignment horizontal="left" vertical="top" wrapText="1"/>
    </xf>
    <xf numFmtId="2" fontId="9" fillId="0" borderId="54" xfId="2" applyNumberFormat="1" applyFont="1" applyFill="1" applyBorder="1" applyAlignment="1">
      <alignment horizontal="center" vertical="top"/>
    </xf>
    <xf numFmtId="2" fontId="9" fillId="0" borderId="55" xfId="2" applyNumberFormat="1" applyFont="1" applyFill="1" applyBorder="1" applyAlignment="1">
      <alignment horizontal="center" vertical="top"/>
    </xf>
    <xf numFmtId="14" fontId="9" fillId="0" borderId="10" xfId="0" applyNumberFormat="1" applyFont="1" applyBorder="1" applyAlignment="1">
      <alignment horizontal="center" vertical="top"/>
    </xf>
    <xf numFmtId="169" fontId="9" fillId="0" borderId="10" xfId="3" applyNumberFormat="1" applyFont="1" applyFill="1" applyBorder="1" applyAlignment="1">
      <alignment horizontal="center" vertical="top"/>
    </xf>
    <xf numFmtId="165" fontId="9" fillId="0" borderId="10" xfId="3" applyNumberFormat="1" applyFont="1" applyFill="1" applyBorder="1" applyAlignment="1">
      <alignment vertical="top"/>
    </xf>
    <xf numFmtId="14" fontId="10" fillId="0" borderId="10" xfId="0" applyNumberFormat="1" applyFont="1" applyBorder="1" applyAlignment="1">
      <alignment horizontal="center" vertical="top"/>
    </xf>
    <xf numFmtId="169" fontId="10" fillId="0" borderId="10" xfId="1" applyNumberFormat="1" applyFont="1" applyBorder="1" applyAlignment="1">
      <alignment horizontal="center" vertical="top"/>
    </xf>
    <xf numFmtId="9" fontId="10" fillId="0" borderId="10" xfId="2" applyFont="1" applyBorder="1" applyAlignment="1">
      <alignment horizontal="center" vertical="top"/>
    </xf>
    <xf numFmtId="9" fontId="9" fillId="0" borderId="10" xfId="2" applyFont="1" applyFill="1" applyBorder="1" applyAlignment="1">
      <alignment horizontal="center" vertical="top"/>
    </xf>
    <xf numFmtId="166" fontId="10" fillId="0" borderId="10" xfId="1" applyNumberFormat="1" applyFont="1" applyBorder="1" applyAlignment="1">
      <alignment horizontal="center" vertical="top"/>
    </xf>
    <xf numFmtId="166" fontId="10" fillId="0" borderId="10" xfId="1" applyNumberFormat="1" applyFont="1" applyBorder="1" applyAlignment="1">
      <alignment horizontal="left" vertical="top"/>
    </xf>
    <xf numFmtId="0" fontId="10" fillId="0" borderId="10" xfId="1" applyNumberFormat="1" applyFont="1" applyBorder="1" applyAlignment="1">
      <alignment horizontal="left" vertical="top" shrinkToFit="1"/>
    </xf>
    <xf numFmtId="0" fontId="10" fillId="0" borderId="10" xfId="1" applyNumberFormat="1" applyFont="1" applyBorder="1" applyAlignment="1">
      <alignment horizontal="center" vertical="top" shrinkToFit="1"/>
    </xf>
    <xf numFmtId="0" fontId="10" fillId="0" borderId="25" xfId="1" applyNumberFormat="1" applyFont="1" applyBorder="1" applyAlignment="1">
      <alignment horizontal="center" vertical="top" shrinkToFit="1"/>
    </xf>
    <xf numFmtId="2" fontId="9" fillId="0" borderId="56" xfId="2" applyNumberFormat="1" applyFont="1" applyFill="1" applyBorder="1" applyAlignment="1">
      <alignment horizontal="center" vertical="top"/>
    </xf>
    <xf numFmtId="2" fontId="9" fillId="0" borderId="10" xfId="2" applyNumberFormat="1" applyFont="1" applyFill="1" applyBorder="1" applyAlignment="1">
      <alignment horizontal="center" vertical="top"/>
    </xf>
    <xf numFmtId="2" fontId="9" fillId="0" borderId="25" xfId="2" applyNumberFormat="1" applyFont="1" applyFill="1" applyBorder="1" applyAlignment="1">
      <alignment horizontal="center" vertical="top"/>
    </xf>
    <xf numFmtId="1" fontId="23" fillId="0" borderId="18" xfId="0" applyNumberFormat="1" applyFont="1" applyBorder="1" applyAlignment="1">
      <alignment horizontal="center" vertical="top" wrapText="1"/>
    </xf>
    <xf numFmtId="0" fontId="23" fillId="0" borderId="54" xfId="0" applyFont="1" applyBorder="1" applyAlignment="1">
      <alignment horizontal="left" vertical="top" wrapText="1"/>
    </xf>
    <xf numFmtId="14" fontId="23" fillId="0" borderId="8" xfId="0" applyNumberFormat="1" applyFont="1" applyBorder="1" applyAlignment="1">
      <alignment horizontal="center" vertical="top"/>
    </xf>
    <xf numFmtId="169" fontId="23" fillId="0" borderId="8" xfId="3" applyNumberFormat="1" applyFont="1" applyFill="1" applyBorder="1" applyAlignment="1">
      <alignment horizontal="center" vertical="top"/>
    </xf>
    <xf numFmtId="165" fontId="23" fillId="0" borderId="54" xfId="3" applyNumberFormat="1" applyFont="1" applyFill="1" applyBorder="1" applyAlignment="1">
      <alignment vertical="top"/>
    </xf>
    <xf numFmtId="169" fontId="23" fillId="0" borderId="8" xfId="1" applyNumberFormat="1" applyFont="1" applyBorder="1" applyAlignment="1">
      <alignment horizontal="center" vertical="top"/>
    </xf>
    <xf numFmtId="9" fontId="23" fillId="0" borderId="8" xfId="2" applyFont="1" applyBorder="1" applyAlignment="1">
      <alignment horizontal="center" vertical="top"/>
    </xf>
    <xf numFmtId="9" fontId="23" fillId="0" borderId="8" xfId="2" applyFont="1" applyFill="1" applyBorder="1" applyAlignment="1">
      <alignment horizontal="center" vertical="top"/>
    </xf>
    <xf numFmtId="166" fontId="23" fillId="0" borderId="8" xfId="1" applyNumberFormat="1" applyFont="1" applyBorder="1" applyAlignment="1">
      <alignment horizontal="center" vertical="top"/>
    </xf>
    <xf numFmtId="166" fontId="23" fillId="0" borderId="8" xfId="1" applyNumberFormat="1" applyFont="1" applyBorder="1" applyAlignment="1">
      <alignment horizontal="left" vertical="top"/>
    </xf>
    <xf numFmtId="0" fontId="23" fillId="0" borderId="8" xfId="1" applyNumberFormat="1" applyFont="1" applyBorder="1" applyAlignment="1">
      <alignment horizontal="left" vertical="top" shrinkToFit="1"/>
    </xf>
    <xf numFmtId="0" fontId="23" fillId="0" borderId="8" xfId="1" applyNumberFormat="1" applyFont="1" applyBorder="1" applyAlignment="1">
      <alignment horizontal="center" vertical="top" shrinkToFit="1"/>
    </xf>
    <xf numFmtId="0" fontId="23" fillId="0" borderId="14" xfId="1" applyNumberFormat="1" applyFont="1" applyBorder="1" applyAlignment="1">
      <alignment horizontal="center" vertical="top" shrinkToFit="1"/>
    </xf>
    <xf numFmtId="2" fontId="23" fillId="0" borderId="42" xfId="2" applyNumberFormat="1" applyFont="1" applyFill="1" applyBorder="1" applyAlignment="1">
      <alignment horizontal="center" vertical="top"/>
    </xf>
    <xf numFmtId="2" fontId="23" fillId="0" borderId="54" xfId="2" applyNumberFormat="1" applyFont="1" applyFill="1" applyBorder="1" applyAlignment="1">
      <alignment horizontal="center" vertical="top"/>
    </xf>
    <xf numFmtId="2" fontId="23" fillId="0" borderId="55" xfId="2" applyNumberFormat="1" applyFont="1" applyFill="1" applyBorder="1" applyAlignment="1">
      <alignment horizontal="center" vertical="top"/>
    </xf>
    <xf numFmtId="0" fontId="24" fillId="0" borderId="54" xfId="0" applyFont="1" applyBorder="1" applyAlignment="1">
      <alignment horizontal="left" vertical="top" wrapText="1"/>
    </xf>
    <xf numFmtId="0" fontId="4" fillId="0" borderId="0" xfId="0" applyFont="1"/>
    <xf numFmtId="0" fontId="6" fillId="6" borderId="11" xfId="0" applyFont="1" applyFill="1" applyBorder="1" applyAlignment="1">
      <alignment horizontal="center" vertical="center" shrinkToFit="1"/>
    </xf>
    <xf numFmtId="0" fontId="6" fillId="6" borderId="12" xfId="0" applyFont="1" applyFill="1" applyBorder="1" applyAlignment="1">
      <alignment horizontal="center" vertical="center" shrinkToFit="1"/>
    </xf>
    <xf numFmtId="0" fontId="6" fillId="6" borderId="26" xfId="0" applyFont="1" applyFill="1" applyBorder="1" applyAlignment="1">
      <alignment horizontal="center" vertical="center" wrapText="1" shrinkToFit="1"/>
    </xf>
    <xf numFmtId="0" fontId="6" fillId="6" borderId="39" xfId="0" applyFont="1" applyFill="1" applyBorder="1" applyAlignment="1">
      <alignment horizontal="center" vertical="center" shrinkToFit="1"/>
    </xf>
    <xf numFmtId="0" fontId="6" fillId="6" borderId="21" xfId="0" applyFont="1" applyFill="1" applyBorder="1" applyAlignment="1">
      <alignment horizontal="center" vertical="center" shrinkToFit="1"/>
    </xf>
    <xf numFmtId="0" fontId="6" fillId="6" borderId="52" xfId="0" applyFont="1" applyFill="1" applyBorder="1" applyAlignment="1">
      <alignment horizontal="center" vertical="center" shrinkToFit="1"/>
    </xf>
    <xf numFmtId="0" fontId="7" fillId="5" borderId="11" xfId="0" applyFont="1" applyFill="1" applyBorder="1" applyAlignment="1">
      <alignment horizontal="center" vertical="center" shrinkToFit="1"/>
    </xf>
    <xf numFmtId="0" fontId="7" fillId="5" borderId="12" xfId="0" applyFont="1" applyFill="1" applyBorder="1" applyAlignment="1">
      <alignment horizontal="center" vertical="center" shrinkToFit="1"/>
    </xf>
    <xf numFmtId="0" fontId="7" fillId="5" borderId="11" xfId="0" applyFont="1" applyFill="1" applyBorder="1" applyAlignment="1">
      <alignment horizontal="center" vertical="center" wrapText="1" shrinkToFit="1"/>
    </xf>
    <xf numFmtId="0" fontId="8" fillId="7" borderId="20" xfId="0" applyFont="1" applyFill="1" applyBorder="1" applyAlignment="1">
      <alignment horizontal="center" vertical="center" shrinkToFit="1"/>
    </xf>
    <xf numFmtId="0" fontId="8" fillId="7" borderId="24" xfId="0" applyFont="1" applyFill="1" applyBorder="1" applyAlignment="1">
      <alignment horizontal="center" vertical="center" shrinkToFit="1"/>
    </xf>
    <xf numFmtId="0" fontId="8" fillId="7" borderId="34" xfId="0" applyFont="1" applyFill="1" applyBorder="1" applyAlignment="1">
      <alignment horizontal="center" vertical="center" shrinkToFit="1"/>
    </xf>
    <xf numFmtId="0" fontId="5" fillId="6" borderId="16" xfId="0" applyFont="1" applyFill="1" applyBorder="1" applyAlignment="1">
      <alignment horizontal="center" vertical="center" wrapText="1" shrinkToFit="1"/>
    </xf>
    <xf numFmtId="0" fontId="5" fillId="6" borderId="17" xfId="0" applyFont="1" applyFill="1" applyBorder="1" applyAlignment="1">
      <alignment horizontal="center" vertical="center" shrinkToFit="1"/>
    </xf>
    <xf numFmtId="0" fontId="7" fillId="5" borderId="36" xfId="0" applyFont="1" applyFill="1" applyBorder="1" applyAlignment="1">
      <alignment horizontal="center" vertical="center" shrinkToFit="1"/>
    </xf>
    <xf numFmtId="0" fontId="7" fillId="5" borderId="38" xfId="0" applyFont="1" applyFill="1" applyBorder="1" applyAlignment="1">
      <alignment horizontal="center" vertical="center" shrinkToFit="1"/>
    </xf>
    <xf numFmtId="1" fontId="20" fillId="8" borderId="27" xfId="0" applyNumberFormat="1" applyFont="1" applyFill="1" applyBorder="1" applyAlignment="1">
      <alignment horizontal="center" vertical="top" wrapText="1"/>
    </xf>
    <xf numFmtId="1" fontId="20" fillId="8" borderId="40" xfId="0" applyNumberFormat="1" applyFont="1" applyFill="1" applyBorder="1" applyAlignment="1">
      <alignment horizontal="center" vertical="top" wrapText="1"/>
    </xf>
    <xf numFmtId="1" fontId="20" fillId="8" borderId="30" xfId="0" applyNumberFormat="1" applyFont="1" applyFill="1" applyBorder="1" applyAlignment="1">
      <alignment horizontal="center" vertical="top" wrapText="1"/>
    </xf>
    <xf numFmtId="0" fontId="20" fillId="8" borderId="7" xfId="0" applyFont="1" applyFill="1" applyBorder="1" applyAlignment="1">
      <alignment horizontal="left" vertical="top" wrapText="1"/>
    </xf>
    <xf numFmtId="0" fontId="20" fillId="8" borderId="42" xfId="0" applyFont="1" applyFill="1" applyBorder="1" applyAlignment="1">
      <alignment horizontal="left" vertical="top" wrapText="1"/>
    </xf>
    <xf numFmtId="0" fontId="20" fillId="8" borderId="5" xfId="0" applyFont="1" applyFill="1" applyBorder="1" applyAlignment="1">
      <alignment horizontal="left" vertical="top" wrapText="1"/>
    </xf>
    <xf numFmtId="0" fontId="20" fillId="8" borderId="33" xfId="0" applyFont="1" applyFill="1" applyBorder="1" applyAlignment="1">
      <alignment horizontal="left" vertical="top" wrapText="1"/>
    </xf>
    <xf numFmtId="0" fontId="6" fillId="6" borderId="35" xfId="0" applyFont="1" applyFill="1" applyBorder="1" applyAlignment="1">
      <alignment horizontal="center" vertical="center" shrinkToFit="1"/>
    </xf>
    <xf numFmtId="0" fontId="6" fillId="6" borderId="37" xfId="0" applyFont="1" applyFill="1" applyBorder="1" applyAlignment="1">
      <alignment horizontal="center" vertical="center" shrinkToFit="1"/>
    </xf>
  </cellXfs>
  <cellStyles count="4">
    <cellStyle name="Comma" xfId="1" builtinId="3"/>
    <cellStyle name="Comma 2" xfId="3" xr:uid="{BBFF2817-3AF9-474A-9486-1D199734D6F1}"/>
    <cellStyle name="Normal" xfId="0" builtinId="0"/>
    <cellStyle name="Percent" xfId="2" builtinId="5"/>
  </cellStyles>
  <dxfs count="1">
    <dxf>
      <fill>
        <patternFill patternType="lightUp">
          <fgColor rgb="FFFC427B"/>
          <bgColor theme="0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TableStyle="TableStyleMedium2" defaultPivotStyle="PivotStyleLight16"/>
  <colors>
    <mruColors>
      <color rgb="FF0000FF"/>
      <color rgb="FF1B9CFC"/>
      <color rgb="FFFC427B"/>
      <color rgb="FF55E6C1"/>
      <color rgb="FFBFBFBF"/>
      <color rgb="FFDEDEDE"/>
      <color rgb="FF5E5E5E"/>
      <color rgb="FFEEFFAF"/>
      <color rgb="FFF97F51"/>
      <color rgb="FF3AE37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2.xml"/><Relationship Id="rId7" Type="http://schemas.openxmlformats.org/officeDocument/2006/relationships/styles" Target="styles.xml"/><Relationship Id="rId12" Type="http://schemas.microsoft.com/office/2023/09/relationships/Python" Target="pytho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4.xml"/><Relationship Id="rId10" Type="http://schemas.openxmlformats.org/officeDocument/2006/relationships/calcChain" Target="calcChain.xml"/><Relationship Id="rId4" Type="http://schemas.openxmlformats.org/officeDocument/2006/relationships/worksheet" Target="worksheets/sheet3.xml"/><Relationship Id="rId9" Type="http://schemas.openxmlformats.org/officeDocument/2006/relationships/sheetMetadata" Target="metadata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StartDate</c:v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156082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Lit>
              <c:formatCode>General</c:formatCode>
              <c:ptCount val="6"/>
              <c:pt idx="0">
                <c:v>1</c:v>
              </c:pt>
              <c:pt idx="1">
                <c:v>7</c:v>
              </c:pt>
              <c:pt idx="2">
                <c:v>30</c:v>
              </c:pt>
              <c:pt idx="3">
                <c:v>35</c:v>
              </c:pt>
              <c:pt idx="4">
                <c:v>42</c:v>
              </c:pt>
              <c:pt idx="5">
                <c:v>48</c:v>
              </c:pt>
            </c:numLit>
          </c:cat>
          <c:val>
            <c:numLit>
              <c:formatCode>General</c:formatCode>
              <c:ptCount val="6"/>
              <c:pt idx="0">
                <c:v>45719</c:v>
              </c:pt>
              <c:pt idx="1">
                <c:v>45667</c:v>
              </c:pt>
              <c:pt idx="2">
                <c:v>45691</c:v>
              </c:pt>
              <c:pt idx="3">
                <c:v>45691</c:v>
              </c:pt>
              <c:pt idx="4">
                <c:v>45691</c:v>
              </c:pt>
              <c:pt idx="5">
                <c:v>45719</c:v>
              </c:pt>
            </c:numLit>
          </c:val>
          <c:extLst>
            <c:ext xmlns:c16="http://schemas.microsoft.com/office/drawing/2014/chart" uri="{C3380CC4-5D6E-409C-BE32-E72D297353CC}">
              <c16:uniqueId val="{00000000-A09B-4E22-9B98-B1B805F8A76B}"/>
            </c:ext>
          </c:extLst>
        </c:ser>
        <c:ser>
          <c:idx val="1"/>
          <c:order val="1"/>
          <c:tx>
            <c:v>Delay</c:v>
          </c:tx>
          <c:spPr>
            <a:solidFill>
              <a:srgbClr val="FC427B"/>
            </a:solidFill>
            <a:ln>
              <a:solidFill>
                <a:srgbClr val="404040"/>
              </a:solidFill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c:spPr>
          <c:invertIfNegative val="0"/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09B-4E22-9B98-B1B805F8A76B}"/>
            </c:ext>
          </c:extLst>
        </c:ser>
        <c:ser>
          <c:idx val="2"/>
          <c:order val="2"/>
          <c:tx>
            <c:v>Complete</c:v>
          </c:tx>
          <c:spPr>
            <a:solidFill>
              <a:srgbClr val="1B9CFC"/>
            </a:solidFill>
            <a:ln>
              <a:solidFill>
                <a:srgbClr val="404040"/>
              </a:solidFill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c:spPr>
          <c:invertIfNegative val="0"/>
          <c:val>
            <c:numLit>
              <c:formatCode>General</c:formatCode>
              <c:ptCount val="6"/>
              <c:pt idx="0">
                <c:v>99</c:v>
              </c:pt>
              <c:pt idx="1">
                <c:v>0</c:v>
              </c:pt>
              <c:pt idx="2">
                <c:v>138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2-A09B-4E22-9B98-B1B805F8A76B}"/>
            </c:ext>
          </c:extLst>
        </c:ser>
        <c:ser>
          <c:idx val="3"/>
          <c:order val="3"/>
          <c:tx>
            <c:v>In Progress</c:v>
          </c:tx>
          <c:spPr>
            <a:solidFill>
              <a:srgbClr val="3AE374"/>
            </a:solidFill>
            <a:ln>
              <a:solidFill>
                <a:srgbClr val="404040"/>
              </a:solidFill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c:spPr>
          <c:invertIfNegative val="0"/>
          <c:val>
            <c:numLit>
              <c:formatCode>General</c:formatCode>
              <c:ptCount val="6"/>
              <c:pt idx="0">
                <c:v>0</c:v>
              </c:pt>
              <c:pt idx="1">
                <c:v>340</c:v>
              </c:pt>
              <c:pt idx="2">
                <c:v>0</c:v>
              </c:pt>
              <c:pt idx="3">
                <c:v>198</c:v>
              </c:pt>
              <c:pt idx="4">
                <c:v>243</c:v>
              </c:pt>
              <c:pt idx="5">
                <c:v>143</c:v>
              </c:pt>
            </c:numLit>
          </c:val>
          <c:extLst>
            <c:ext xmlns:c16="http://schemas.microsoft.com/office/drawing/2014/chart" uri="{C3380CC4-5D6E-409C-BE32-E72D297353CC}">
              <c16:uniqueId val="{00000003-A09B-4E22-9B98-B1B805F8A76B}"/>
            </c:ext>
          </c:extLst>
        </c:ser>
        <c:ser>
          <c:idx val="4"/>
          <c:order val="4"/>
          <c:tx>
            <c:v>Not Started</c:v>
          </c:tx>
          <c:spPr>
            <a:solidFill>
              <a:srgbClr val="D9D9D9"/>
            </a:solidFill>
            <a:ln>
              <a:solidFill>
                <a:srgbClr val="404040"/>
              </a:solidFill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c:spPr>
          <c:invertIfNegative val="0"/>
          <c:val>
            <c:numLit>
              <c:formatCode>General</c:formatCode>
              <c:ptCount val="6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4-A09B-4E22-9B98-B1B805F8A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0"/>
        <c:overlap val="100"/>
        <c:axId val="491427263"/>
        <c:axId val="491426783"/>
      </c:barChart>
      <c:scatterChart>
        <c:scatterStyle val="lineMarker"/>
        <c:varyColors val="0"/>
        <c:ser>
          <c:idx val="5"/>
          <c:order val="5"/>
          <c:tx>
            <c:v>Progress Label</c:v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4EA72E">
                      <a:shade val="76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59E659AD-DBC7-4FB7-B281-33EE45E6D6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D-A09B-4E22-9B98-B1B805F8A76B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00CA936-80EA-421F-9E2B-2F1A3941177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E-A09B-4E22-9B98-B1B805F8A76B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7A7D57B-B208-40BF-8531-CA812C70B5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F-A09B-4E22-9B98-B1B805F8A76B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22AB58A9-BB2A-49F2-B1A4-4BD7CA8F69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0-A09B-4E22-9B98-B1B805F8A76B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1DEEC4F-67A8-47A0-8BE4-3FE42174B3B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1-A09B-4E22-9B98-B1B805F8A76B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3179CE2E-864B-4E3E-B4F5-8954825389D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42-A09B-4E22-9B98-B1B805F8A76B}"/>
                </c:ext>
              </c:extLst>
            </c:dLbl>
            <c:spPr>
              <a:solidFill>
                <a:srgbClr val="FFFFFF">
                  <a:alpha val="80000"/>
                </a:srgbClr>
              </a:solidFill>
              <a:ln>
                <a:noFill/>
              </a:ln>
              <a:effectLst/>
            </c:spPr>
            <c:txPr>
              <a:bodyPr wrap="square" lIns="0" tIns="0" rIns="0" bIns="0" anchor="ctr">
                <a:spAutoFit/>
              </a:bodyPr>
              <a:lstStyle/>
              <a:p>
                <a:pPr>
                  <a:defRPr sz="800" b="1">
                    <a:solidFill>
                      <a:srgbClr val="0D0D0D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6350">
                      <a:solidFill>
                        <a:srgbClr val="7F7F7F"/>
                      </a:solidFill>
                    </a:ln>
                  </c:spPr>
                </c15:leaderLines>
              </c:ext>
            </c:extLst>
          </c:dLbls>
          <c:xVal>
            <c:numLit>
              <c:formatCode>General</c:formatCode>
              <c:ptCount val="6"/>
              <c:pt idx="0">
                <c:v>45818</c:v>
              </c:pt>
              <c:pt idx="1">
                <c:v>46007</c:v>
              </c:pt>
              <c:pt idx="2">
                <c:v>45829</c:v>
              </c:pt>
              <c:pt idx="3">
                <c:v>45889</c:v>
              </c:pt>
              <c:pt idx="4">
                <c:v>45934</c:v>
              </c:pt>
              <c:pt idx="5">
                <c:v>45862</c:v>
              </c:pt>
            </c:numLit>
          </c:xVal>
          <c:yVal>
            <c:numLit>
              <c:formatCode>General</c:formatCode>
              <c:ptCount val="6"/>
              <c:pt idx="0">
                <c:v>1.5</c:v>
              </c:pt>
              <c:pt idx="1">
                <c:v>2.5</c:v>
              </c:pt>
              <c:pt idx="2">
                <c:v>3.5</c:v>
              </c:pt>
              <c:pt idx="3">
                <c:v>4.5</c:v>
              </c:pt>
              <c:pt idx="4">
                <c:v>5.5</c:v>
              </c:pt>
              <c:pt idx="5">
                <c:v>6.5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{"100%","61% (61%)","100%","21% (21%)","38% (38%)","53% (53%)"}</c15:f>
                <c15:dlblRangeCache>
                  <c:ptCount val="6"/>
                  <c:pt idx="0">
                    <c:v>100%</c:v>
                  </c:pt>
                  <c:pt idx="1">
                    <c:v>61% (61%)</c:v>
                  </c:pt>
                  <c:pt idx="2">
                    <c:v>100%</c:v>
                  </c:pt>
                  <c:pt idx="3">
                    <c:v>21% (21%)</c:v>
                  </c:pt>
                  <c:pt idx="4">
                    <c:v>38% (38%)</c:v>
                  </c:pt>
                  <c:pt idx="5">
                    <c:v>53% (53%)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A09B-4E22-9B98-B1B805F8A76B}"/>
            </c:ext>
          </c:extLst>
        </c:ser>
        <c:ser>
          <c:idx val="6"/>
          <c:order val="6"/>
          <c:tx>
            <c:v>DataLabels</c:v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56082">
                      <a:tint val="77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pPr>
              <a:solidFill>
                <a:srgbClr val="156082">
                  <a:tint val="77000"/>
                </a:srgbClr>
              </a:solidFill>
              <a:ln w="1270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dPt>
            <c:idx val="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7-A09B-4E22-9B98-B1B805F8A76B}"/>
              </c:ext>
            </c:extLst>
          </c:dPt>
          <c:dPt>
            <c:idx val="1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8-A09B-4E22-9B98-B1B805F8A76B}"/>
              </c:ext>
            </c:extLst>
          </c:dPt>
          <c:dPt>
            <c:idx val="2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9-A09B-4E22-9B98-B1B805F8A76B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A-A09B-4E22-9B98-B1B805F8A76B}"/>
              </c:ext>
            </c:extLst>
          </c:dPt>
          <c:dPt>
            <c:idx val="4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B-A09B-4E22-9B98-B1B805F8A76B}"/>
              </c:ext>
            </c:extLst>
          </c:dPt>
          <c:dPt>
            <c:idx val="5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C-A09B-4E22-9B98-B1B805F8A76B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D-A09B-4E22-9B98-B1B805F8A76B}"/>
              </c:ext>
            </c:extLst>
          </c:dPt>
          <c:dPt>
            <c:idx val="7"/>
            <c:marker>
              <c:symbol val="triangle"/>
              <c:size val="10"/>
              <c:spPr>
                <a:solidFill>
                  <a:srgbClr val="3AE374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E-A09B-4E22-9B98-B1B805F8A76B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0F-A09B-4E22-9B98-B1B805F8A76B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0-A09B-4E22-9B98-B1B805F8A76B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1-A09B-4E22-9B98-B1B805F8A76B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2-A09B-4E22-9B98-B1B805F8A76B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3-A09B-4E22-9B98-B1B805F8A76B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4-A09B-4E22-9B98-B1B805F8A76B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5-A09B-4E22-9B98-B1B805F8A76B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6-A09B-4E22-9B98-B1B805F8A76B}"/>
              </c:ext>
            </c:extLst>
          </c:dPt>
          <c:dPt>
            <c:idx val="16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7-A09B-4E22-9B98-B1B805F8A76B}"/>
              </c:ext>
            </c:extLst>
          </c:dPt>
          <c:dPt>
            <c:idx val="17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8-A09B-4E22-9B98-B1B805F8A76B}"/>
              </c:ext>
            </c:extLst>
          </c:dPt>
          <c:dPt>
            <c:idx val="18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9-A09B-4E22-9B98-B1B805F8A76B}"/>
              </c:ext>
            </c:extLst>
          </c:dPt>
          <c:dPt>
            <c:idx val="19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A-A09B-4E22-9B98-B1B805F8A76B}"/>
              </c:ext>
            </c:extLst>
          </c:dPt>
          <c:dPt>
            <c:idx val="20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B-A09B-4E22-9B98-B1B805F8A76B}"/>
              </c:ext>
            </c:extLst>
          </c:dPt>
          <c:dPt>
            <c:idx val="21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C-A09B-4E22-9B98-B1B805F8A76B}"/>
              </c:ext>
            </c:extLst>
          </c:dPt>
          <c:dPt>
            <c:idx val="2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D-A09B-4E22-9B98-B1B805F8A76B}"/>
              </c:ext>
            </c:extLst>
          </c:dPt>
          <c:dPt>
            <c:idx val="23"/>
            <c:marker>
              <c:symbol val="triangle"/>
              <c:size val="10"/>
              <c:spPr>
                <a:solidFill>
                  <a:srgbClr val="3AE374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E-A09B-4E22-9B98-B1B805F8A76B}"/>
              </c:ext>
            </c:extLst>
          </c:dPt>
          <c:dPt>
            <c:idx val="24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1F-A09B-4E22-9B98-B1B805F8A76B}"/>
              </c:ext>
            </c:extLst>
          </c:dPt>
          <c:dPt>
            <c:idx val="25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0-A09B-4E22-9B98-B1B805F8A76B}"/>
              </c:ext>
            </c:extLst>
          </c:dPt>
          <c:dPt>
            <c:idx val="26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1-A09B-4E22-9B98-B1B805F8A76B}"/>
              </c:ext>
            </c:extLst>
          </c:dPt>
          <c:dPt>
            <c:idx val="27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2-A09B-4E22-9B98-B1B805F8A76B}"/>
              </c:ext>
            </c:extLst>
          </c:dPt>
          <c:dPt>
            <c:idx val="28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3-A09B-4E22-9B98-B1B805F8A76B}"/>
              </c:ext>
            </c:extLst>
          </c:dPt>
          <c:dPt>
            <c:idx val="29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4-A09B-4E22-9B98-B1B805F8A76B}"/>
              </c:ext>
            </c:extLst>
          </c:dPt>
          <c:dPt>
            <c:idx val="3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5-A09B-4E22-9B98-B1B805F8A76B}"/>
              </c:ext>
            </c:extLst>
          </c:dPt>
          <c:dPt>
            <c:idx val="31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6-A09B-4E22-9B98-B1B805F8A76B}"/>
              </c:ext>
            </c:extLst>
          </c:dPt>
          <c:dPt>
            <c:idx val="32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7-A09B-4E22-9B98-B1B805F8A76B}"/>
              </c:ext>
            </c:extLst>
          </c:dPt>
          <c:dPt>
            <c:idx val="33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8-A09B-4E22-9B98-B1B805F8A76B}"/>
              </c:ext>
            </c:extLst>
          </c:dPt>
          <c:dPt>
            <c:idx val="34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9-A09B-4E22-9B98-B1B805F8A76B}"/>
              </c:ext>
            </c:extLst>
          </c:dPt>
          <c:dPt>
            <c:idx val="35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A-A09B-4E22-9B98-B1B805F8A76B}"/>
              </c:ext>
            </c:extLst>
          </c:dPt>
          <c:dPt>
            <c:idx val="36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B-A09B-4E22-9B98-B1B805F8A76B}"/>
              </c:ext>
            </c:extLst>
          </c:dPt>
          <c:dPt>
            <c:idx val="37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C-A09B-4E22-9B98-B1B805F8A76B}"/>
              </c:ext>
            </c:extLst>
          </c:dPt>
          <c:dPt>
            <c:idx val="38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D-A09B-4E22-9B98-B1B805F8A76B}"/>
              </c:ext>
            </c:extLst>
          </c:dPt>
          <c:dPt>
            <c:idx val="39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E-A09B-4E22-9B98-B1B805F8A76B}"/>
              </c:ext>
            </c:extLst>
          </c:dPt>
          <c:dPt>
            <c:idx val="40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2F-A09B-4E22-9B98-B1B805F8A76B}"/>
              </c:ext>
            </c:extLst>
          </c:dPt>
          <c:dPt>
            <c:idx val="41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0-A09B-4E22-9B98-B1B805F8A76B}"/>
              </c:ext>
            </c:extLst>
          </c:dPt>
          <c:dPt>
            <c:idx val="4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1-A09B-4E22-9B98-B1B805F8A76B}"/>
              </c:ext>
            </c:extLst>
          </c:dPt>
          <c:dPt>
            <c:idx val="43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2-A09B-4E22-9B98-B1B805F8A76B}"/>
              </c:ext>
            </c:extLst>
          </c:dPt>
          <c:dPt>
            <c:idx val="44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3-A09B-4E22-9B98-B1B805F8A76B}"/>
              </c:ext>
            </c:extLst>
          </c:dPt>
          <c:dPt>
            <c:idx val="45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4-A09B-4E22-9B98-B1B805F8A76B}"/>
              </c:ext>
            </c:extLst>
          </c:dPt>
          <c:dPt>
            <c:idx val="46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5-A09B-4E22-9B98-B1B805F8A76B}"/>
              </c:ext>
            </c:extLst>
          </c:dPt>
          <c:dPt>
            <c:idx val="47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6-A09B-4E22-9B98-B1B805F8A76B}"/>
              </c:ext>
            </c:extLst>
          </c:dPt>
          <c:dPt>
            <c:idx val="48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7-A09B-4E22-9B98-B1B805F8A76B}"/>
              </c:ext>
            </c:extLst>
          </c:dPt>
          <c:dPt>
            <c:idx val="49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8-A09B-4E22-9B98-B1B805F8A76B}"/>
              </c:ext>
            </c:extLst>
          </c:dPt>
          <c:dPt>
            <c:idx val="50"/>
            <c:marker>
              <c:symbol val="triangle"/>
              <c:size val="10"/>
              <c:spPr>
                <a:solidFill>
                  <a:srgbClr val="1B9CFC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9-A09B-4E22-9B98-B1B805F8A76B}"/>
              </c:ext>
            </c:extLst>
          </c:dPt>
          <c:dPt>
            <c:idx val="51"/>
            <c:marker>
              <c:symbol val="triangle"/>
              <c:size val="10"/>
              <c:spPr>
                <a:solidFill>
                  <a:srgbClr val="3AE374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A-A09B-4E22-9B98-B1B805F8A76B}"/>
              </c:ext>
            </c:extLst>
          </c:dPt>
          <c:dPt>
            <c:idx val="52"/>
            <c:marker>
              <c:symbol val="triangle"/>
              <c:size val="10"/>
              <c:spPr>
                <a:solidFill>
                  <a:srgbClr val="D9D9D9"/>
                </a:solidFill>
                <a:ln w="12700">
                  <a:solidFill>
                    <a:srgbClr val="000000"/>
                  </a:solidFill>
                  <a:prstDash val="solid"/>
                </a:ln>
                <a:effectLst>
                  <a:outerShdw blurRad="50800" dist="38100" dir="2700000" algn="tl">
                    <a:prstClr val="black">
                      <a:alpha val="40000"/>
                    </a:prstClr>
                  </a:outerShdw>
                </a:effectLst>
              </c:spPr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B-A09B-4E22-9B98-B1B805F8A76B}"/>
              </c:ext>
            </c:extLst>
          </c:dPt>
          <c:dLbls>
            <c:dLbl>
              <c:idx val="0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1000" b="1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6B657517-240C-4103-9208-9E2D0DC2FBDF}" type="CELLRANGE">
                      <a:rPr lang="en-US"/>
                      <a:pPr>
                        <a:defRPr sz="1000" b="1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7-A09B-4E22-9B98-B1B805F8A76B}"/>
                </c:ext>
              </c:extLst>
            </c:dLbl>
            <c:dLbl>
              <c:idx val="1"/>
              <c:layout>
                <c:manualLayout>
                  <c:x val="-4.1037735544215805E-3"/>
                  <c:y val="5.3683923482091681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79DFE6ED-F5D5-48F1-A6E6-311B903BEDB7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8-A09B-4E22-9B98-B1B805F8A76B}"/>
                </c:ext>
              </c:extLst>
            </c:dLbl>
            <c:dLbl>
              <c:idx val="2"/>
              <c:layout>
                <c:manualLayout>
                  <c:x val="-4.1038274097175203E-3"/>
                  <c:y val="2.6365081655372893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A7654288-4A32-4466-80A6-6FA8AEFFFC7F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9-A09B-4E22-9B98-B1B805F8A76B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A09B-4E22-9B98-B1B805F8A76B}"/>
                </c:ext>
              </c:extLst>
            </c:dLbl>
            <c:dLbl>
              <c:idx val="4"/>
              <c:layout>
                <c:manualLayout>
                  <c:x val="-4.1037735544216308E-3"/>
                  <c:y val="-7.4504488166358018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DBCBCA0D-5572-4021-B762-B45A56071686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B-A09B-4E22-9B98-B1B805F8A76B}"/>
                </c:ext>
              </c:extLst>
            </c:dLbl>
            <c:dLbl>
              <c:idx val="5"/>
              <c:layout>
                <c:manualLayout>
                  <c:x val="-4.1037735544215302E-3"/>
                  <c:y val="-9.9721880621790659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849400F1-28C4-4074-82FC-2D41B8D89CBD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C-A09B-4E22-9B98-B1B805F8A76B}"/>
                </c:ext>
              </c:extLst>
            </c:dLbl>
            <c:dLbl>
              <c:idx val="6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1000" b="1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359583F9-5771-4A02-A79C-D33E1A235AFD}" type="CELLRANGE">
                      <a:rPr lang="en-US"/>
                      <a:pPr>
                        <a:defRPr sz="1000" b="1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D-A09B-4E22-9B98-B1B805F8A76B}"/>
                </c:ext>
              </c:extLst>
            </c:dLbl>
            <c:dLbl>
              <c:idx val="7"/>
              <c:layout>
                <c:manualLayout>
                  <c:x val="0"/>
                  <c:y val="5.3683923482091681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E850F894-EE3B-44DA-B3B3-56E4EE044753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E-A09B-4E22-9B98-B1B805F8A76B}"/>
                </c:ext>
              </c:extLst>
            </c:dLbl>
            <c:dLbl>
              <c:idx val="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A09B-4E22-9B98-B1B805F8A76B}"/>
                </c:ext>
              </c:extLst>
            </c:dLbl>
            <c:dLbl>
              <c:idx val="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A09B-4E22-9B98-B1B805F8A76B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A09B-4E22-9B98-B1B805F8A76B}"/>
                </c:ext>
              </c:extLst>
            </c:dLbl>
            <c:dLbl>
              <c:idx val="1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A09B-4E22-9B98-B1B805F8A76B}"/>
                </c:ext>
              </c:extLst>
            </c:dLbl>
            <c:dLbl>
              <c:idx val="1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3-A09B-4E22-9B98-B1B805F8A76B}"/>
                </c:ext>
              </c:extLst>
            </c:dLbl>
            <c:dLbl>
              <c:idx val="1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A09B-4E22-9B98-B1B805F8A76B}"/>
                </c:ext>
              </c:extLst>
            </c:dLbl>
            <c:dLbl>
              <c:idx val="1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A09B-4E22-9B98-B1B805F8A76B}"/>
                </c:ext>
              </c:extLst>
            </c:dLbl>
            <c:dLbl>
              <c:idx val="1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A09B-4E22-9B98-B1B805F8A76B}"/>
                </c:ext>
              </c:extLst>
            </c:dLbl>
            <c:dLbl>
              <c:idx val="1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A09B-4E22-9B98-B1B805F8A76B}"/>
                </c:ext>
              </c:extLst>
            </c:dLbl>
            <c:dLbl>
              <c:idx val="1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8-A09B-4E22-9B98-B1B805F8A76B}"/>
                </c:ext>
              </c:extLst>
            </c:dLbl>
            <c:dLbl>
              <c:idx val="1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9-A09B-4E22-9B98-B1B805F8A76B}"/>
                </c:ext>
              </c:extLst>
            </c:dLbl>
            <c:dLbl>
              <c:idx val="1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A-A09B-4E22-9B98-B1B805F8A76B}"/>
                </c:ext>
              </c:extLst>
            </c:dLbl>
            <c:dLbl>
              <c:idx val="20"/>
              <c:layout>
                <c:manualLayout>
                  <c:x val="-4.1038274097175203E-3"/>
                  <c:y val="2.6365081655372893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6D13B195-766D-467A-93F0-D1162887FE47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B-A09B-4E22-9B98-B1B805F8A76B}"/>
                </c:ext>
              </c:extLst>
            </c:dLbl>
            <c:dLbl>
              <c:idx val="21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C-A09B-4E22-9B98-B1B805F8A76B}"/>
                </c:ext>
              </c:extLst>
            </c:dLbl>
            <c:dLbl>
              <c:idx val="2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D-A09B-4E22-9B98-B1B805F8A76B}"/>
                </c:ext>
              </c:extLst>
            </c:dLbl>
            <c:dLbl>
              <c:idx val="23"/>
              <c:layout>
                <c:manualLayout>
                  <c:x val="-4.1037735544216308E-3"/>
                  <c:y val="-7.4504488166358018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17DB240A-EB0F-4BDE-9A1D-D6269E9E997A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E-A09B-4E22-9B98-B1B805F8A76B}"/>
                </c:ext>
              </c:extLst>
            </c:dLbl>
            <c:dLbl>
              <c:idx val="2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A09B-4E22-9B98-B1B805F8A76B}"/>
                </c:ext>
              </c:extLst>
            </c:dLbl>
            <c:dLbl>
              <c:idx val="2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0-A09B-4E22-9B98-B1B805F8A76B}"/>
                </c:ext>
              </c:extLst>
            </c:dLbl>
            <c:dLbl>
              <c:idx val="2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A09B-4E22-9B98-B1B805F8A76B}"/>
                </c:ext>
              </c:extLst>
            </c:dLbl>
            <c:dLbl>
              <c:idx val="27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2-A09B-4E22-9B98-B1B805F8A76B}"/>
                </c:ext>
              </c:extLst>
            </c:dLbl>
            <c:dLbl>
              <c:idx val="28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3-A09B-4E22-9B98-B1B805F8A76B}"/>
                </c:ext>
              </c:extLst>
            </c:dLbl>
            <c:dLbl>
              <c:idx val="29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1000" b="1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8F279EBC-2F18-4FDB-B301-564DD12F6590}" type="CELLRANGE">
                      <a:rPr lang="en-US"/>
                      <a:pPr>
                        <a:defRPr sz="1000" b="1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4-A09B-4E22-9B98-B1B805F8A76B}"/>
                </c:ext>
              </c:extLst>
            </c:dLbl>
            <c:dLbl>
              <c:idx val="3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5-A09B-4E22-9B98-B1B805F8A76B}"/>
                </c:ext>
              </c:extLst>
            </c:dLbl>
            <c:dLbl>
              <c:idx val="31"/>
              <c:layout>
                <c:manualLayout>
                  <c:x val="-4.1037196991255912E-3"/>
                  <c:y val="5.3683923482091681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D6D94C78-2F25-4F37-A446-F92D203B81C9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6-A09B-4E22-9B98-B1B805F8A76B}"/>
                </c:ext>
              </c:extLst>
            </c:dLbl>
            <c:dLbl>
              <c:idx val="32"/>
              <c:layout>
                <c:manualLayout>
                  <c:x val="-4.1037735544216308E-3"/>
                  <c:y val="2.636508165537297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82CABD32-E515-4B10-953F-BB11807455F6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7-A09B-4E22-9B98-B1B805F8A76B}"/>
                </c:ext>
              </c:extLst>
            </c:dLbl>
            <c:dLbl>
              <c:idx val="33"/>
              <c:layout>
                <c:manualLayout>
                  <c:x val="-4.1037196991255409E-3"/>
                  <c:y val="-7.4504488166358018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02DFE7FE-65E8-4B1F-A1D9-F66E59237F83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8-A09B-4E22-9B98-B1B805F8A76B}"/>
                </c:ext>
              </c:extLst>
            </c:dLbl>
            <c:dLbl>
              <c:idx val="34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1000" b="1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3B5CC275-FB35-4A4F-99A7-4806BA85D362}" type="CELLRANGE">
                      <a:rPr lang="en-US"/>
                      <a:pPr>
                        <a:defRPr sz="1000" b="1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9-A09B-4E22-9B98-B1B805F8A76B}"/>
                </c:ext>
              </c:extLst>
            </c:dLbl>
            <c:dLbl>
              <c:idx val="35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A-A09B-4E22-9B98-B1B805F8A76B}"/>
                </c:ext>
              </c:extLst>
            </c:dLbl>
            <c:dLbl>
              <c:idx val="36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B-A09B-4E22-9B98-B1B805F8A76B}"/>
                </c:ext>
              </c:extLst>
            </c:dLbl>
            <c:dLbl>
              <c:idx val="37"/>
              <c:layout>
                <c:manualLayout>
                  <c:x val="-4.1037735544215302E-3"/>
                  <c:y val="5.3683923482091757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57A13BCD-5225-4556-91E6-E4C61D81B019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C-A09B-4E22-9B98-B1B805F8A76B}"/>
                </c:ext>
              </c:extLst>
            </c:dLbl>
            <c:dLbl>
              <c:idx val="38"/>
              <c:layout>
                <c:manualLayout>
                  <c:x val="-4.1037196991255409E-3"/>
                  <c:y val="2.6365081655372893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71F7AB84-58E3-41DC-A397-6314648B9D1C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D-A09B-4E22-9B98-B1B805F8A76B}"/>
                </c:ext>
              </c:extLst>
            </c:dLbl>
            <c:dLbl>
              <c:idx val="39"/>
              <c:layout>
                <c:manualLayout>
                  <c:x val="-4.1037735544216308E-3"/>
                  <c:y val="-7.4504488166357935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74A92CDD-60EF-4CAD-B45F-5220A5A37392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E-A09B-4E22-9B98-B1B805F8A76B}"/>
                </c:ext>
              </c:extLst>
            </c:dLbl>
            <c:dLbl>
              <c:idx val="40"/>
              <c:layout>
                <c:manualLayout>
                  <c:x val="-4.1037196991256415E-3"/>
                  <c:y val="-9.9721880621790743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2995491E-1F7E-4D7C-A99F-63EA92FBC4E3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F-A09B-4E22-9B98-B1B805F8A76B}"/>
                </c:ext>
              </c:extLst>
            </c:dLbl>
            <c:dLbl>
              <c:idx val="41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1000" b="1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ED1B8B8E-0D50-4A1C-99A6-A848CDC6B381}" type="CELLRANGE">
                      <a:rPr lang="en-US"/>
                      <a:pPr>
                        <a:defRPr sz="1000" b="1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0-A09B-4E22-9B98-B1B805F8A76B}"/>
                </c:ext>
              </c:extLst>
            </c:dLbl>
            <c:dLbl>
              <c:idx val="4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1-A09B-4E22-9B98-B1B805F8A76B}"/>
                </c:ext>
              </c:extLst>
            </c:dLbl>
            <c:dLbl>
              <c:idx val="43"/>
              <c:layout>
                <c:manualLayout>
                  <c:x val="-4.1037196991255912E-3"/>
                  <c:y val="5.3683923482091681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497145D7-3C27-40E9-A625-4642B4861A76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2-A09B-4E22-9B98-B1B805F8A76B}"/>
                </c:ext>
              </c:extLst>
            </c:dLbl>
            <c:dLbl>
              <c:idx val="44"/>
              <c:layout>
                <c:manualLayout>
                  <c:x val="-4.1038274097176209E-3"/>
                  <c:y val="2.636508165537297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6476C042-0E58-4D03-9F46-8F72FB201053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3-A09B-4E22-9B98-B1B805F8A76B}"/>
                </c:ext>
              </c:extLst>
            </c:dLbl>
            <c:dLbl>
              <c:idx val="45"/>
              <c:layout>
                <c:manualLayout>
                  <c:x val="-4.1037735544216308E-3"/>
                  <c:y val="-7.4504488166357977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8870443D-67A4-41E2-9D7A-4834FE5CE7C2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4-A09B-4E22-9B98-B1B805F8A76B}"/>
                </c:ext>
              </c:extLst>
            </c:dLbl>
            <c:dLbl>
              <c:idx val="46"/>
              <c:layout>
                <c:manualLayout>
                  <c:x val="-4.1037735544215302E-3"/>
                  <c:y val="-9.9721880621790659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ED4AA857-199E-4EC8-88E1-2925B20C677A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5-A09B-4E22-9B98-B1B805F8A76B}"/>
                </c:ext>
              </c:extLst>
            </c:dLbl>
            <c:dLbl>
              <c:idx val="47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1000" b="1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D4D5B393-D5EF-4176-9F4D-2DCBE3171F77}" type="CELLRANGE">
                      <a:rPr lang="en-US"/>
                      <a:pPr>
                        <a:defRPr sz="1000" b="1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6-A09B-4E22-9B98-B1B805F8A76B}"/>
                </c:ext>
              </c:extLst>
            </c:dLbl>
            <c:dLbl>
              <c:idx val="48"/>
              <c:layout>
                <c:manualLayout>
                  <c:x val="-4.1037196991255912E-3"/>
                  <c:y val="5.3683923482091681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BCDEDD22-B02E-4904-B425-EBF53DE5DAA5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7-A09B-4E22-9B98-B1B805F8A76B}"/>
                </c:ext>
              </c:extLst>
            </c:dLbl>
            <c:dLbl>
              <c:idx val="49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38-A09B-4E22-9B98-B1B805F8A76B}"/>
                </c:ext>
              </c:extLst>
            </c:dLbl>
            <c:dLbl>
              <c:idx val="50"/>
              <c:layout>
                <c:manualLayout>
                  <c:x val="-4.1037735544215302E-3"/>
                  <c:y val="2.6365081655372893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667C322A-5E52-436D-A10A-3F2954A1D5A5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9-A09B-4E22-9B98-B1B805F8A76B}"/>
                </c:ext>
              </c:extLst>
            </c:dLbl>
            <c:dLbl>
              <c:idx val="51"/>
              <c:layout>
                <c:manualLayout>
                  <c:x val="-4.1037735544215302E-3"/>
                  <c:y val="-7.4504488166357991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E4BB01FD-B29D-4E01-93A2-0A9064570AD2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A-A09B-4E22-9B98-B1B805F8A76B}"/>
                </c:ext>
              </c:extLst>
            </c:dLbl>
            <c:dLbl>
              <c:idx val="52"/>
              <c:layout>
                <c:manualLayout>
                  <c:x val="-4.1037735544215302E-3"/>
                  <c:y val="-9.9721880621790743E-2"/>
                </c:manualLayout>
              </c:layout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13B770A4-9B0B-4EA7-94B1-D1E8D35A5E9C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B-A09B-4E22-9B98-B1B805F8A76B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6350">
                      <a:solidFill>
                        <a:srgbClr val="7F7F7F"/>
                      </a:solidFill>
                      <a:prstDash val="solid"/>
                    </a:ln>
                  </c:spPr>
                </c15:leaderLines>
              </c:ext>
            </c:extLst>
          </c:dLbls>
          <c:xVal>
            <c:numLit>
              <c:formatCode>General</c:formatCode>
              <c:ptCount val="53"/>
              <c:pt idx="0">
                <c:v>45719</c:v>
              </c:pt>
              <c:pt idx="1">
                <c:v>45772</c:v>
              </c:pt>
              <c:pt idx="2">
                <c:v>45787</c:v>
              </c:pt>
              <c:pt idx="3">
                <c:v>45787</c:v>
              </c:pt>
              <c:pt idx="4">
                <c:v>45807</c:v>
              </c:pt>
              <c:pt idx="5">
                <c:v>45818</c:v>
              </c:pt>
              <c:pt idx="6">
                <c:v>45667</c:v>
              </c:pt>
              <c:pt idx="7">
                <c:v>46007</c:v>
              </c:pt>
              <c:pt idx="8">
                <c:v>45672</c:v>
              </c:pt>
              <c:pt idx="9">
                <c:v>45702</c:v>
              </c:pt>
              <c:pt idx="10">
                <c:v>45729</c:v>
              </c:pt>
              <c:pt idx="11">
                <c:v>45764</c:v>
              </c:pt>
              <c:pt idx="12">
                <c:v>45793</c:v>
              </c:pt>
              <c:pt idx="13">
                <c:v>45821</c:v>
              </c:pt>
              <c:pt idx="14">
                <c:v>45854</c:v>
              </c:pt>
              <c:pt idx="15">
                <c:v>45885</c:v>
              </c:pt>
              <c:pt idx="16">
                <c:v>45913</c:v>
              </c:pt>
              <c:pt idx="17">
                <c:v>45946</c:v>
              </c:pt>
              <c:pt idx="18">
                <c:v>45974</c:v>
              </c:pt>
              <c:pt idx="19">
                <c:v>46007</c:v>
              </c:pt>
              <c:pt idx="20">
                <c:v>45777</c:v>
              </c:pt>
              <c:pt idx="21">
                <c:v>45735</c:v>
              </c:pt>
              <c:pt idx="22">
                <c:v>45777</c:v>
              </c:pt>
              <c:pt idx="23">
                <c:v>45854</c:v>
              </c:pt>
              <c:pt idx="24">
                <c:v>45735</c:v>
              </c:pt>
              <c:pt idx="25">
                <c:v>45819</c:v>
              </c:pt>
              <c:pt idx="26">
                <c:v>45836</c:v>
              </c:pt>
              <c:pt idx="27">
                <c:v>45825</c:v>
              </c:pt>
              <c:pt idx="28">
                <c:v>45854</c:v>
              </c:pt>
              <c:pt idx="29">
                <c:v>45691</c:v>
              </c:pt>
              <c:pt idx="30">
                <c:v>45693</c:v>
              </c:pt>
              <c:pt idx="31">
                <c:v>45736</c:v>
              </c:pt>
              <c:pt idx="32">
                <c:v>45794</c:v>
              </c:pt>
              <c:pt idx="33">
                <c:v>45829</c:v>
              </c:pt>
              <c:pt idx="34">
                <c:v>45691</c:v>
              </c:pt>
              <c:pt idx="35">
                <c:v>45693</c:v>
              </c:pt>
              <c:pt idx="36">
                <c:v>45758</c:v>
              </c:pt>
              <c:pt idx="37">
                <c:v>45801</c:v>
              </c:pt>
              <c:pt idx="38">
                <c:v>45836</c:v>
              </c:pt>
              <c:pt idx="39">
                <c:v>45868</c:v>
              </c:pt>
              <c:pt idx="40">
                <c:v>45889</c:v>
              </c:pt>
              <c:pt idx="41">
                <c:v>45691</c:v>
              </c:pt>
              <c:pt idx="42">
                <c:v>45693</c:v>
              </c:pt>
              <c:pt idx="43">
                <c:v>45738</c:v>
              </c:pt>
              <c:pt idx="44">
                <c:v>45799</c:v>
              </c:pt>
              <c:pt idx="45">
                <c:v>45857</c:v>
              </c:pt>
              <c:pt idx="46">
                <c:v>45934</c:v>
              </c:pt>
              <c:pt idx="47">
                <c:v>45719</c:v>
              </c:pt>
              <c:pt idx="48">
                <c:v>45731</c:v>
              </c:pt>
              <c:pt idx="49">
                <c:v>45801</c:v>
              </c:pt>
              <c:pt idx="50">
                <c:v>45819</c:v>
              </c:pt>
              <c:pt idx="51">
                <c:v>45833</c:v>
              </c:pt>
              <c:pt idx="52">
                <c:v>45862</c:v>
              </c:pt>
            </c:numLit>
          </c:xVal>
          <c:yVal>
            <c:numLit>
              <c:formatCode>General</c:formatCode>
              <c:ptCount val="53"/>
              <c:pt idx="0">
                <c:v>1.5</c:v>
              </c:pt>
              <c:pt idx="1">
                <c:v>1.7</c:v>
              </c:pt>
              <c:pt idx="2">
                <c:v>1.7</c:v>
              </c:pt>
              <c:pt idx="3">
                <c:v>1.7</c:v>
              </c:pt>
              <c:pt idx="4">
                <c:v>1.7</c:v>
              </c:pt>
              <c:pt idx="5">
                <c:v>1.7</c:v>
              </c:pt>
              <c:pt idx="6">
                <c:v>2.5</c:v>
              </c:pt>
              <c:pt idx="7">
                <c:v>2.7</c:v>
              </c:pt>
              <c:pt idx="8">
                <c:v>2.7</c:v>
              </c:pt>
              <c:pt idx="9">
                <c:v>2.7</c:v>
              </c:pt>
              <c:pt idx="10">
                <c:v>2.7</c:v>
              </c:pt>
              <c:pt idx="11">
                <c:v>2.7</c:v>
              </c:pt>
              <c:pt idx="12">
                <c:v>2.7</c:v>
              </c:pt>
              <c:pt idx="13">
                <c:v>2.7</c:v>
              </c:pt>
              <c:pt idx="14">
                <c:v>2.7</c:v>
              </c:pt>
              <c:pt idx="15">
                <c:v>2.7</c:v>
              </c:pt>
              <c:pt idx="16">
                <c:v>2.7</c:v>
              </c:pt>
              <c:pt idx="17">
                <c:v>2.7</c:v>
              </c:pt>
              <c:pt idx="18">
                <c:v>2.7</c:v>
              </c:pt>
              <c:pt idx="19">
                <c:v>2.7</c:v>
              </c:pt>
              <c:pt idx="20">
                <c:v>2.7</c:v>
              </c:pt>
              <c:pt idx="21">
                <c:v>2.7</c:v>
              </c:pt>
              <c:pt idx="22">
                <c:v>2.7</c:v>
              </c:pt>
              <c:pt idx="23">
                <c:v>2.7</c:v>
              </c:pt>
              <c:pt idx="24">
                <c:v>2.7</c:v>
              </c:pt>
              <c:pt idx="25">
                <c:v>2.7</c:v>
              </c:pt>
              <c:pt idx="26">
                <c:v>2.7</c:v>
              </c:pt>
              <c:pt idx="27">
                <c:v>2.7</c:v>
              </c:pt>
              <c:pt idx="28">
                <c:v>2.7</c:v>
              </c:pt>
              <c:pt idx="29">
                <c:v>3.5</c:v>
              </c:pt>
              <c:pt idx="30">
                <c:v>3.7</c:v>
              </c:pt>
              <c:pt idx="31">
                <c:v>3.7</c:v>
              </c:pt>
              <c:pt idx="32">
                <c:v>3.7</c:v>
              </c:pt>
              <c:pt idx="33">
                <c:v>3.7</c:v>
              </c:pt>
              <c:pt idx="34">
                <c:v>4.5</c:v>
              </c:pt>
              <c:pt idx="35">
                <c:v>4.7</c:v>
              </c:pt>
              <c:pt idx="36">
                <c:v>4.7</c:v>
              </c:pt>
              <c:pt idx="37">
                <c:v>4.7</c:v>
              </c:pt>
              <c:pt idx="38">
                <c:v>4.7</c:v>
              </c:pt>
              <c:pt idx="39">
                <c:v>4.7</c:v>
              </c:pt>
              <c:pt idx="40">
                <c:v>4.7</c:v>
              </c:pt>
              <c:pt idx="41">
                <c:v>5.5</c:v>
              </c:pt>
              <c:pt idx="42">
                <c:v>5.7</c:v>
              </c:pt>
              <c:pt idx="43">
                <c:v>5.7</c:v>
              </c:pt>
              <c:pt idx="44">
                <c:v>5.7</c:v>
              </c:pt>
              <c:pt idx="45">
                <c:v>5.7</c:v>
              </c:pt>
              <c:pt idx="46">
                <c:v>5.7</c:v>
              </c:pt>
              <c:pt idx="47">
                <c:v>6.5</c:v>
              </c:pt>
              <c:pt idx="48">
                <c:v>6.7</c:v>
              </c:pt>
              <c:pt idx="49">
                <c:v>6.7</c:v>
              </c:pt>
              <c:pt idx="50">
                <c:v>6.7</c:v>
              </c:pt>
              <c:pt idx="51">
                <c:v>6.7</c:v>
              </c:pt>
              <c:pt idx="52">
                <c:v>6.7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WorkSchedule!$R$12:$R$64</c15:f>
                <c15:dlblRangeCache>
                  <c:ptCount val="53"/>
                  <c:pt idx="0">
                    <c:v> Project Setup </c:v>
                  </c:pt>
                  <c:pt idx="1">
                    <c:v> Project Charter (25-Apr) </c:v>
                  </c:pt>
                  <c:pt idx="2">
                    <c:v> BU's Requirement (10-May) </c:v>
                  </c:pt>
                  <c:pt idx="3">
                    <c:v> Initial Analysis (10-May) </c:v>
                  </c:pt>
                  <c:pt idx="4">
                    <c:v> Ease of Implementation (30-May) </c:v>
                  </c:pt>
                  <c:pt idx="5">
                    <c:v> Project Approval (10-Jun) </c:v>
                  </c:pt>
                  <c:pt idx="6">
                    <c:v> STIP &amp; VPTL &amp; VRSM Testing </c:v>
                  </c:pt>
                  <c:pt idx="7">
                    <c:v> VSRM - Credit Portfolio (16-Dec) </c:v>
                  </c:pt>
                  <c:pt idx="8">
                    <c:v> VSRM R1 (15-Jan) </c:v>
                  </c:pt>
                  <c:pt idx="9">
                    <c:v> VSRM R2 (14-Feb) </c:v>
                  </c:pt>
                  <c:pt idx="10">
                    <c:v> VSRM R3 (13-Mar) </c:v>
                  </c:pt>
                  <c:pt idx="11">
                    <c:v> VSRM R4 (17-Apr) </c:v>
                  </c:pt>
                  <c:pt idx="12">
                    <c:v> VSRM R5 (16-May) </c:v>
                  </c:pt>
                  <c:pt idx="13">
                    <c:v> VSRM R6 (13-Jun) </c:v>
                  </c:pt>
                  <c:pt idx="14">
                    <c:v> VSRM R7 (16-Jul) </c:v>
                  </c:pt>
                  <c:pt idx="15">
                    <c:v> VSRM R8 (16-Aug) </c:v>
                  </c:pt>
                  <c:pt idx="16">
                    <c:v> VSRM R9 (13-Sep) </c:v>
                  </c:pt>
                  <c:pt idx="17">
                    <c:v> VSRM R10 (16-Oct) </c:v>
                  </c:pt>
                  <c:pt idx="18">
                    <c:v> VSRM R11 (13-Nov) </c:v>
                  </c:pt>
                  <c:pt idx="19">
                    <c:v> VSRM R12 (16-Dec) </c:v>
                  </c:pt>
                  <c:pt idx="20">
                    <c:v> STIP Optimization (30-Apr) </c:v>
                  </c:pt>
                  <c:pt idx="21">
                    <c:v> Kick-Off meeting (19-Mar) </c:v>
                  </c:pt>
                  <c:pt idx="22">
                    <c:v> Recom. (30-Apr) </c:v>
                  </c:pt>
                  <c:pt idx="23">
                    <c:v> VPTL – Credit &amp; Debit (16-Jul) </c:v>
                  </c:pt>
                  <c:pt idx="24">
                    <c:v> Kick-Off meeting (19-Mar) </c:v>
                  </c:pt>
                  <c:pt idx="25">
                    <c:v> 2-week testing (Credit) (11-Jun) </c:v>
                  </c:pt>
                  <c:pt idx="26">
                    <c:v> 2-week testing (Debit) (28-Jun) </c:v>
                  </c:pt>
                  <c:pt idx="27">
                    <c:v> Recom. (Credit) (17-Jun) </c:v>
                  </c:pt>
                  <c:pt idx="28">
                    <c:v> Recom. (Debit) (16-Jul) </c:v>
                  </c:pt>
                  <c:pt idx="29">
                    <c:v> Enterprise Fraud Mgmt. </c:v>
                  </c:pt>
                  <c:pt idx="30">
                    <c:v> Kick-Off Meeting (05-Feb) </c:v>
                  </c:pt>
                  <c:pt idx="31">
                    <c:v> WS1 (20-Mar) </c:v>
                  </c:pt>
                  <c:pt idx="32">
                    <c:v> WS2 (17-May) </c:v>
                  </c:pt>
                  <c:pt idx="33">
                    <c:v> Final Delivery (21-Jun) </c:v>
                  </c:pt>
                  <c:pt idx="34">
                    <c:v> Fraud Risk Analytics  </c:v>
                  </c:pt>
                  <c:pt idx="35">
                    <c:v> Kick-Off meetings (05-Feb) </c:v>
                  </c:pt>
                  <c:pt idx="36">
                    <c:v> Metric shortlisting (11-Apr) </c:v>
                  </c:pt>
                  <c:pt idx="37">
                    <c:v> Workshop (24-May) </c:v>
                  </c:pt>
                  <c:pt idx="38">
                    <c:v> Visa's Deliverables (28-Jun) </c:v>
                  </c:pt>
                  <c:pt idx="39">
                    <c:v> Master Table Design (30-Jul) </c:v>
                  </c:pt>
                  <c:pt idx="40">
                    <c:v> Dashboard Design (20-Aug) </c:v>
                  </c:pt>
                  <c:pt idx="41">
                    <c:v> Upskilling Workshops </c:v>
                  </c:pt>
                  <c:pt idx="42">
                    <c:v> Kick-Off meeting (05-Feb) </c:v>
                  </c:pt>
                  <c:pt idx="43">
                    <c:v> WS1 (4 mods) (22-Mar) </c:v>
                  </c:pt>
                  <c:pt idx="44">
                    <c:v> WS2 (1 mod) (22-May) </c:v>
                  </c:pt>
                  <c:pt idx="45">
                    <c:v> WS3 (5 mods) (19-Jul) </c:v>
                  </c:pt>
                  <c:pt idx="46">
                    <c:v> WS4 (5 mods) (04-Oct) </c:v>
                  </c:pt>
                  <c:pt idx="47">
                    <c:v> VCAS (Authentication) </c:v>
                  </c:pt>
                  <c:pt idx="48">
                    <c:v> Biz Feasibility #1 (15-Mar) </c:v>
                  </c:pt>
                  <c:pt idx="49">
                    <c:v> Tech. Feasibility (24-May) </c:v>
                  </c:pt>
                  <c:pt idx="50">
                    <c:v> Visa's assessment (11-Jun) </c:v>
                  </c:pt>
                  <c:pt idx="51">
                    <c:v> Biz Feasibility #2 (25-Jun) </c:v>
                  </c:pt>
                  <c:pt idx="52">
                    <c:v> IT investment (prep) (24-Jul) 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6-A09B-4E22-9B98-B1B805F8A76B}"/>
            </c:ext>
          </c:extLst>
        </c:ser>
        <c:ser>
          <c:idx val="7"/>
          <c:order val="7"/>
          <c:tx>
            <c:v>We are here!!</c:v>
          </c:tx>
          <c:spPr>
            <a:ln w="19050">
              <a:solidFill>
                <a:srgbClr val="FA0000"/>
              </a:solidFill>
            </a:ln>
          </c:spPr>
          <c:marker>
            <c:symbol val="none"/>
          </c:marker>
          <c:xVal>
            <c:numRef>
              <c:f>(WorkSchedule!$C$5,WorkSchedule!$C$5)</c:f>
              <c:numCache>
                <c:formatCode>m/d/yyyy</c:formatCode>
                <c:ptCount val="2"/>
                <c:pt idx="0">
                  <c:v>45831</c:v>
                </c:pt>
                <c:pt idx="1">
                  <c:v>45831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54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3C-A09B-4E22-9B98-B1B805F8A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17956639"/>
        <c:axId val="517955679"/>
      </c:scatterChart>
      <c:catAx>
        <c:axId val="491427263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>
                  <a:defRPr sz="1000" b="1">
                    <a:solidFill>
                      <a:srgbClr val="000000"/>
                    </a:solidFill>
                    <a:latin typeface="Calibri" panose="020F0502020204030204" pitchFamily="34" charset="0"/>
                  </a:defRPr>
                </a:pPr>
                <a:r>
                  <a:rPr lang="en-US" sz="1000" b="1">
                    <a:solidFill>
                      <a:srgbClr val="000000"/>
                    </a:solidFill>
                    <a:latin typeface="Calibri" panose="020F0502020204030204" pitchFamily="34" charset="0"/>
                  </a:rPr>
                  <a:t>Task IDs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1426783"/>
        <c:crosses val="autoZero"/>
        <c:auto val="1"/>
        <c:lblAlgn val="ctr"/>
        <c:lblOffset val="100"/>
        <c:noMultiLvlLbl val="0"/>
      </c:catAx>
      <c:valAx>
        <c:axId val="491426783"/>
        <c:scaling>
          <c:orientation val="minMax"/>
          <c:max val="46054"/>
          <c:min val="45597"/>
        </c:scaling>
        <c:delete val="0"/>
        <c:axPos val="t"/>
        <c:minorGridlines>
          <c:spPr>
            <a:ln w="6350">
              <a:solidFill>
                <a:srgbClr val="BFBFBF"/>
              </a:solidFill>
            </a:ln>
          </c:spPr>
        </c:minorGridlines>
        <c:numFmt formatCode="[$-409]mmm\-yy;@" sourceLinked="0"/>
        <c:majorTickMark val="out"/>
        <c:minorTickMark val="none"/>
        <c:tickLblPos val="nextTo"/>
        <c:txPr>
          <a:bodyPr/>
          <a:lstStyle/>
          <a:p>
            <a:pPr>
              <a:defRPr sz="100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491427263"/>
        <c:crosses val="autoZero"/>
        <c:crossBetween val="between"/>
        <c:majorUnit val="61.36"/>
        <c:minorUnit val="30.68"/>
      </c:valAx>
      <c:valAx>
        <c:axId val="517955679"/>
        <c:scaling>
          <c:orientation val="maxMin"/>
          <c:max val="7"/>
          <c:min val="1"/>
        </c:scaling>
        <c:delete val="1"/>
        <c:axPos val="r"/>
        <c:numFmt formatCode="General" sourceLinked="1"/>
        <c:majorTickMark val="out"/>
        <c:minorTickMark val="none"/>
        <c:tickLblPos val="nextTo"/>
        <c:crossAx val="517956639"/>
        <c:crosses val="max"/>
        <c:crossBetween val="midCat"/>
      </c:valAx>
      <c:valAx>
        <c:axId val="517956639"/>
        <c:scaling>
          <c:orientation val="minMax"/>
        </c:scaling>
        <c:delete val="1"/>
        <c:axPos val="t"/>
        <c:numFmt formatCode="General" sourceLinked="1"/>
        <c:majorTickMark val="out"/>
        <c:minorTickMark val="none"/>
        <c:tickLblPos val="nextTo"/>
        <c:crossAx val="517955679"/>
        <c:crosses val="autoZero"/>
        <c:crossBetween val="midCat"/>
      </c:valAx>
      <c:spPr>
        <a:ln w="6350">
          <a:solidFill>
            <a:srgbClr val="BFBFBF"/>
          </a:solidFill>
        </a:ln>
      </c:spPr>
    </c:plotArea>
    <c:legend>
      <c:legendPos val="t"/>
      <c:legendEntry>
        <c:idx val="5"/>
        <c:delete val="1"/>
      </c:legendEntry>
      <c:legendEntry>
        <c:idx val="6"/>
        <c:delete val="1"/>
      </c:legendEntry>
      <c:overlay val="0"/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StartDate</c:v>
          </c:tx>
          <c:spPr>
            <a:noFill/>
            <a:ln>
              <a:noFill/>
            </a:ln>
            <a:effectLst/>
            <a:extLst>
              <a:ext uri="{909E8E84-426E-40DD-AFC4-6F175D3DCCD1}">
                <a14:hiddenFill xmlns:a14="http://schemas.microsoft.com/office/drawing/2010/main">
                  <a:solidFill>
                    <a:srgbClr val="156082"/>
                  </a:solidFill>
                </a14:hiddenFill>
              </a:ext>
              <a:ext uri="{91240B29-F687-4F45-9708-019B960494DF}">
                <a14:hiddenLine xmlns:a14="http://schemas.microsoft.com/office/drawing/2010/main">
                  <a:noFill/>
                </a14:hiddenLine>
              </a:ext>
            </a:extLst>
          </c:spPr>
          <c:invertIfNegative val="0"/>
          <c:cat>
            <c:numLit>
              <c:formatCode>General</c:formatCode>
              <c:ptCount val="53"/>
              <c:pt idx="0">
                <c:v>1</c:v>
              </c:pt>
              <c:pt idx="1">
                <c:v>2</c:v>
              </c:pt>
              <c:pt idx="2">
                <c:v>3</c:v>
              </c:pt>
              <c:pt idx="3">
                <c:v>4</c:v>
              </c:pt>
              <c:pt idx="4">
                <c:v>5</c:v>
              </c:pt>
              <c:pt idx="5">
                <c:v>6</c:v>
              </c:pt>
              <c:pt idx="6">
                <c:v>7</c:v>
              </c:pt>
              <c:pt idx="7">
                <c:v>8</c:v>
              </c:pt>
              <c:pt idx="8">
                <c:v>9</c:v>
              </c:pt>
              <c:pt idx="9">
                <c:v>10</c:v>
              </c:pt>
              <c:pt idx="10">
                <c:v>11</c:v>
              </c:pt>
              <c:pt idx="11">
                <c:v>12</c:v>
              </c:pt>
              <c:pt idx="12">
                <c:v>13</c:v>
              </c:pt>
              <c:pt idx="13">
                <c:v>14</c:v>
              </c:pt>
              <c:pt idx="14">
                <c:v>15</c:v>
              </c:pt>
              <c:pt idx="15">
                <c:v>16</c:v>
              </c:pt>
              <c:pt idx="16">
                <c:v>17</c:v>
              </c:pt>
              <c:pt idx="17">
                <c:v>18</c:v>
              </c:pt>
              <c:pt idx="18">
                <c:v>19</c:v>
              </c:pt>
              <c:pt idx="19">
                <c:v>20</c:v>
              </c:pt>
              <c:pt idx="20">
                <c:v>21</c:v>
              </c:pt>
              <c:pt idx="21">
                <c:v>22</c:v>
              </c:pt>
              <c:pt idx="22">
                <c:v>23</c:v>
              </c:pt>
              <c:pt idx="23">
                <c:v>24</c:v>
              </c:pt>
              <c:pt idx="24">
                <c:v>25</c:v>
              </c:pt>
              <c:pt idx="25">
                <c:v>26</c:v>
              </c:pt>
              <c:pt idx="26">
                <c:v>27</c:v>
              </c:pt>
              <c:pt idx="27">
                <c:v>28</c:v>
              </c:pt>
              <c:pt idx="28">
                <c:v>29</c:v>
              </c:pt>
              <c:pt idx="29">
                <c:v>30</c:v>
              </c:pt>
              <c:pt idx="30">
                <c:v>31</c:v>
              </c:pt>
              <c:pt idx="31">
                <c:v>32</c:v>
              </c:pt>
              <c:pt idx="32">
                <c:v>33</c:v>
              </c:pt>
              <c:pt idx="33">
                <c:v>34</c:v>
              </c:pt>
              <c:pt idx="34">
                <c:v>35</c:v>
              </c:pt>
              <c:pt idx="35">
                <c:v>36</c:v>
              </c:pt>
              <c:pt idx="36">
                <c:v>37</c:v>
              </c:pt>
              <c:pt idx="37">
                <c:v>38</c:v>
              </c:pt>
              <c:pt idx="38">
                <c:v>39</c:v>
              </c:pt>
              <c:pt idx="39">
                <c:v>40</c:v>
              </c:pt>
              <c:pt idx="40">
                <c:v>41</c:v>
              </c:pt>
              <c:pt idx="41">
                <c:v>42</c:v>
              </c:pt>
              <c:pt idx="42">
                <c:v>43</c:v>
              </c:pt>
              <c:pt idx="43">
                <c:v>44</c:v>
              </c:pt>
              <c:pt idx="44">
                <c:v>45</c:v>
              </c:pt>
              <c:pt idx="45">
                <c:v>46</c:v>
              </c:pt>
              <c:pt idx="46">
                <c:v>47</c:v>
              </c:pt>
              <c:pt idx="47">
                <c:v>48</c:v>
              </c:pt>
              <c:pt idx="48">
                <c:v>49</c:v>
              </c:pt>
              <c:pt idx="49">
                <c:v>50</c:v>
              </c:pt>
              <c:pt idx="50">
                <c:v>51</c:v>
              </c:pt>
              <c:pt idx="51">
                <c:v>52</c:v>
              </c:pt>
              <c:pt idx="52">
                <c:v>53</c:v>
              </c:pt>
            </c:numLit>
          </c:cat>
          <c:val>
            <c:numRef>
              <c:f>WorkSchedule!$I$12:$I$64</c:f>
              <c:numCache>
                <c:formatCode>m/d/yyyy</c:formatCode>
                <c:ptCount val="53"/>
                <c:pt idx="0">
                  <c:v>45719</c:v>
                </c:pt>
                <c:pt idx="1">
                  <c:v>45719</c:v>
                </c:pt>
                <c:pt idx="2">
                  <c:v>45719</c:v>
                </c:pt>
                <c:pt idx="3">
                  <c:v>45719</c:v>
                </c:pt>
                <c:pt idx="4">
                  <c:v>45790</c:v>
                </c:pt>
                <c:pt idx="5">
                  <c:v>45790</c:v>
                </c:pt>
                <c:pt idx="6">
                  <c:v>45667</c:v>
                </c:pt>
                <c:pt idx="7">
                  <c:v>45667</c:v>
                </c:pt>
                <c:pt idx="8">
                  <c:v>45667</c:v>
                </c:pt>
                <c:pt idx="9">
                  <c:v>45698</c:v>
                </c:pt>
                <c:pt idx="10">
                  <c:v>45726</c:v>
                </c:pt>
                <c:pt idx="11">
                  <c:v>45757</c:v>
                </c:pt>
                <c:pt idx="12">
                  <c:v>45790</c:v>
                </c:pt>
                <c:pt idx="13">
                  <c:v>45818</c:v>
                </c:pt>
                <c:pt idx="14">
                  <c:v>45849</c:v>
                </c:pt>
                <c:pt idx="15">
                  <c:v>45882</c:v>
                </c:pt>
                <c:pt idx="16">
                  <c:v>45910</c:v>
                </c:pt>
                <c:pt idx="17">
                  <c:v>45940</c:v>
                </c:pt>
                <c:pt idx="18">
                  <c:v>45971</c:v>
                </c:pt>
                <c:pt idx="19">
                  <c:v>46002</c:v>
                </c:pt>
                <c:pt idx="20">
                  <c:v>45733</c:v>
                </c:pt>
                <c:pt idx="21">
                  <c:v>45733</c:v>
                </c:pt>
                <c:pt idx="22">
                  <c:v>45775</c:v>
                </c:pt>
                <c:pt idx="23">
                  <c:v>45733</c:v>
                </c:pt>
                <c:pt idx="24">
                  <c:v>45733</c:v>
                </c:pt>
                <c:pt idx="25">
                  <c:v>45803</c:v>
                </c:pt>
                <c:pt idx="26">
                  <c:v>45824</c:v>
                </c:pt>
                <c:pt idx="27">
                  <c:v>45824</c:v>
                </c:pt>
                <c:pt idx="28">
                  <c:v>45853</c:v>
                </c:pt>
                <c:pt idx="29">
                  <c:v>45691</c:v>
                </c:pt>
                <c:pt idx="30">
                  <c:v>45691</c:v>
                </c:pt>
                <c:pt idx="31">
                  <c:v>45734</c:v>
                </c:pt>
                <c:pt idx="32">
                  <c:v>45790</c:v>
                </c:pt>
                <c:pt idx="33">
                  <c:v>45828</c:v>
                </c:pt>
                <c:pt idx="34">
                  <c:v>45691</c:v>
                </c:pt>
                <c:pt idx="35">
                  <c:v>45691</c:v>
                </c:pt>
                <c:pt idx="36">
                  <c:v>45751</c:v>
                </c:pt>
                <c:pt idx="37">
                  <c:v>45796</c:v>
                </c:pt>
                <c:pt idx="38">
                  <c:v>45834</c:v>
                </c:pt>
                <c:pt idx="39">
                  <c:v>45838</c:v>
                </c:pt>
                <c:pt idx="40">
                  <c:v>45856</c:v>
                </c:pt>
                <c:pt idx="41">
                  <c:v>45691</c:v>
                </c:pt>
                <c:pt idx="42">
                  <c:v>45691</c:v>
                </c:pt>
                <c:pt idx="43">
                  <c:v>45736</c:v>
                </c:pt>
                <c:pt idx="44">
                  <c:v>45798</c:v>
                </c:pt>
                <c:pt idx="45">
                  <c:v>45852</c:v>
                </c:pt>
                <c:pt idx="46">
                  <c:v>45931</c:v>
                </c:pt>
                <c:pt idx="47">
                  <c:v>45719</c:v>
                </c:pt>
                <c:pt idx="48">
                  <c:v>45719</c:v>
                </c:pt>
                <c:pt idx="49">
                  <c:v>45796</c:v>
                </c:pt>
                <c:pt idx="50">
                  <c:v>45817</c:v>
                </c:pt>
                <c:pt idx="51">
                  <c:v>45819</c:v>
                </c:pt>
                <c:pt idx="52">
                  <c:v>45833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17B-498F-B776-CC25393326CF}"/>
            </c:ext>
          </c:extLst>
        </c:ser>
        <c:ser>
          <c:idx val="1"/>
          <c:order val="1"/>
          <c:tx>
            <c:v>Delay</c:v>
          </c:tx>
          <c:spPr>
            <a:solidFill>
              <a:srgbClr val="FC427B"/>
            </a:solidFill>
            <a:ln>
              <a:solidFill>
                <a:srgbClr val="404040"/>
              </a:solidFill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c:spPr>
          <c:invertIfNegative val="0"/>
          <c:val>
            <c:numRef>
              <c:f>WorkSchedule!$N$12:$N$64</c:f>
              <c:numCache>
                <c:formatCode>_-* #,##0_-;\-* #,##0_-;_-* "-"??_-;_-@_-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17B-498F-B776-CC25393326CF}"/>
            </c:ext>
          </c:extLst>
        </c:ser>
        <c:ser>
          <c:idx val="2"/>
          <c:order val="2"/>
          <c:tx>
            <c:v>Complete</c:v>
          </c:tx>
          <c:spPr>
            <a:solidFill>
              <a:srgbClr val="1B9CFC"/>
            </a:solidFill>
            <a:ln>
              <a:solidFill>
                <a:srgbClr val="404040"/>
              </a:solidFill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c:spPr>
          <c:invertIfNegative val="0"/>
          <c:val>
            <c:numRef>
              <c:f>WorkSchedule!$O$12:$O$64</c:f>
              <c:numCache>
                <c:formatCode>_-* #,##0_-;\-* #,##0_-;_-* "-"??_-;_-@_-</c:formatCode>
                <c:ptCount val="53"/>
                <c:pt idx="0">
                  <c:v>99</c:v>
                </c:pt>
                <c:pt idx="1">
                  <c:v>53</c:v>
                </c:pt>
                <c:pt idx="2">
                  <c:v>68</c:v>
                </c:pt>
                <c:pt idx="3">
                  <c:v>68</c:v>
                </c:pt>
                <c:pt idx="4">
                  <c:v>17</c:v>
                </c:pt>
                <c:pt idx="5">
                  <c:v>28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4</c:v>
                </c:pt>
                <c:pt idx="10">
                  <c:v>3</c:v>
                </c:pt>
                <c:pt idx="11">
                  <c:v>7</c:v>
                </c:pt>
                <c:pt idx="12">
                  <c:v>3</c:v>
                </c:pt>
                <c:pt idx="13">
                  <c:v>3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44</c:v>
                </c:pt>
                <c:pt idx="21">
                  <c:v>2</c:v>
                </c:pt>
                <c:pt idx="22">
                  <c:v>2</c:v>
                </c:pt>
                <c:pt idx="23">
                  <c:v>0</c:v>
                </c:pt>
                <c:pt idx="24">
                  <c:v>2</c:v>
                </c:pt>
                <c:pt idx="25">
                  <c:v>16</c:v>
                </c:pt>
                <c:pt idx="26">
                  <c:v>0</c:v>
                </c:pt>
                <c:pt idx="27">
                  <c:v>1</c:v>
                </c:pt>
                <c:pt idx="28">
                  <c:v>0</c:v>
                </c:pt>
                <c:pt idx="29">
                  <c:v>138</c:v>
                </c:pt>
                <c:pt idx="30">
                  <c:v>2</c:v>
                </c:pt>
                <c:pt idx="31">
                  <c:v>2</c:v>
                </c:pt>
                <c:pt idx="32">
                  <c:v>4</c:v>
                </c:pt>
                <c:pt idx="33">
                  <c:v>1</c:v>
                </c:pt>
                <c:pt idx="34">
                  <c:v>0</c:v>
                </c:pt>
                <c:pt idx="35">
                  <c:v>2</c:v>
                </c:pt>
                <c:pt idx="36">
                  <c:v>7</c:v>
                </c:pt>
                <c:pt idx="37">
                  <c:v>5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2</c:v>
                </c:pt>
                <c:pt idx="43">
                  <c:v>2</c:v>
                </c:pt>
                <c:pt idx="44">
                  <c:v>1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12</c:v>
                </c:pt>
                <c:pt idx="49">
                  <c:v>5</c:v>
                </c:pt>
                <c:pt idx="50">
                  <c:v>2</c:v>
                </c:pt>
                <c:pt idx="51">
                  <c:v>0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17B-498F-B776-CC25393326CF}"/>
            </c:ext>
          </c:extLst>
        </c:ser>
        <c:ser>
          <c:idx val="3"/>
          <c:order val="3"/>
          <c:tx>
            <c:v>In Progress</c:v>
          </c:tx>
          <c:spPr>
            <a:solidFill>
              <a:srgbClr val="3AE374"/>
            </a:solidFill>
            <a:ln>
              <a:solidFill>
                <a:srgbClr val="404040"/>
              </a:solidFill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c:spPr>
          <c:invertIfNegative val="0"/>
          <c:val>
            <c:numRef>
              <c:f>WorkSchedule!$P$12:$P$64</c:f>
              <c:numCache>
                <c:formatCode>_-* #,##0_-;\-* #,##0_-;_-* "-"??_-;_-@_-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340</c:v>
                </c:pt>
                <c:pt idx="7">
                  <c:v>340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121</c:v>
                </c:pt>
                <c:pt idx="24">
                  <c:v>0</c:v>
                </c:pt>
                <c:pt idx="25">
                  <c:v>0</c:v>
                </c:pt>
                <c:pt idx="26">
                  <c:v>12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198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243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143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14</c:v>
                </c:pt>
                <c:pt idx="5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17B-498F-B776-CC25393326CF}"/>
            </c:ext>
          </c:extLst>
        </c:ser>
        <c:ser>
          <c:idx val="4"/>
          <c:order val="4"/>
          <c:tx>
            <c:v>Not Started</c:v>
          </c:tx>
          <c:spPr>
            <a:solidFill>
              <a:srgbClr val="D9D9D9"/>
            </a:solidFill>
            <a:ln>
              <a:solidFill>
                <a:srgbClr val="404040"/>
              </a:solidFill>
            </a:ln>
            <a:effectLst>
              <a:outerShdw blurRad="50800" dist="38100" dir="2700000" algn="tl">
                <a:prstClr val="black">
                  <a:alpha val="40000"/>
                </a:prstClr>
              </a:outerShdw>
            </a:effectLst>
          </c:spPr>
          <c:invertIfNegative val="0"/>
          <c:val>
            <c:numRef>
              <c:f>WorkSchedule!$Q$12:$Q$64</c:f>
              <c:numCache>
                <c:formatCode>_-* #,##0_-;\-* #,##0_-;_-* "-"??_-;_-@_-</c:formatCode>
                <c:ptCount val="5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5</c:v>
                </c:pt>
                <c:pt idx="15">
                  <c:v>3</c:v>
                </c:pt>
                <c:pt idx="16">
                  <c:v>3</c:v>
                </c:pt>
                <c:pt idx="17">
                  <c:v>6</c:v>
                </c:pt>
                <c:pt idx="18">
                  <c:v>3</c:v>
                </c:pt>
                <c:pt idx="19">
                  <c:v>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1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2</c:v>
                </c:pt>
                <c:pt idx="39">
                  <c:v>30</c:v>
                </c:pt>
                <c:pt idx="40">
                  <c:v>33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5</c:v>
                </c:pt>
                <c:pt idx="46">
                  <c:v>3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17B-498F-B776-CC253933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overlap val="100"/>
        <c:axId val="315898703"/>
        <c:axId val="315889583"/>
      </c:barChart>
      <c:scatterChart>
        <c:scatterStyle val="lineMarker"/>
        <c:varyColors val="0"/>
        <c:ser>
          <c:idx val="5"/>
          <c:order val="5"/>
          <c:tx>
            <c:v>Progress Label</c:v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4EA72E">
                      <a:shade val="76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5575531-A598-494A-AA93-C261BDB7210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17B-498F-B776-CC25393326CF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4AA82C65-B25D-4A00-9550-575A63F49CC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17B-498F-B776-CC25393326CF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08F73B8-7093-421B-987F-DCCDA8D6BAB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17B-498F-B776-CC25393326CF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36E16A9F-DEE1-4DF9-B035-1489E673BC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17B-498F-B776-CC25393326CF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400C5E58-A2EA-420A-8FC6-6690FD28012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17B-498F-B776-CC25393326CF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B504150E-A5F5-4FBA-BD8B-CBFB3667D4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17B-498F-B776-CC25393326CF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21645F54-0C6E-4686-A556-93E5A159219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17B-498F-B776-CC25393326CF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6257C5AB-A911-4F69-9C33-6C3EF418D99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617B-498F-B776-CC25393326CF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ACA5644D-45C8-4A05-A8A4-0C9C277F815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617B-498F-B776-CC25393326CF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0A96C1A6-EE50-47C8-987E-4875576A3AA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617B-498F-B776-CC25393326CF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58EA53CD-9A75-438A-95CD-9C5066F9BC3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617B-498F-B776-CC25393326CF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fld id="{257640DA-63C4-4B17-B5DE-F85FB483F47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617B-498F-B776-CC25393326CF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fld id="{CDB6FF36-D825-4BA5-A396-84EF541675B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617B-498F-B776-CC25393326CF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fld id="{83E9536D-08ED-4C38-9689-A519422C7BA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617B-498F-B776-CC25393326CF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fld id="{0312B565-EFBA-4370-B417-E70EFB6FD8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617B-498F-B776-CC25393326CF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fld id="{7D1F0D23-6EF3-4374-ADB4-DFF94BBEFA5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617B-498F-B776-CC25393326CF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fld id="{4C826F19-7DCD-4F6B-AF92-DF1CD6A5FC6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617B-498F-B776-CC25393326CF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fld id="{C6C99FE4-2784-44CB-BE53-5348DCFA968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617B-498F-B776-CC25393326CF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fld id="{C4551960-B11D-4BD3-B839-03CA8B8DA4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617B-498F-B776-CC25393326CF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fld id="{0D200834-08B4-4A4C-9B83-4BF1E4B5B98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617B-498F-B776-CC25393326CF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fld id="{544BFFA4-CD33-44A0-A277-9952CA5D5A4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617B-498F-B776-CC25393326CF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fld id="{ABAE819C-8A2B-451D-819A-E01867F46F1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617B-498F-B776-CC25393326CF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fld id="{2E48D716-B929-46E6-BEE4-E5E5F82822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617B-498F-B776-CC25393326CF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fld id="{3EC51AC9-3F5C-47A1-A10B-96B5E93276A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617B-498F-B776-CC25393326CF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fld id="{D51C486D-206B-407B-AD8F-81142273322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617B-498F-B776-CC25393326CF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fld id="{87378270-B8C4-4F8B-8DB3-CDB9878B3CC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617B-498F-B776-CC25393326CF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fld id="{EA2DF6C7-6875-4C89-9534-C23B7B8C4FB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0-617B-498F-B776-CC25393326CF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fld id="{511214A0-5F74-45D1-B1E8-4B02D31BBBB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1-617B-498F-B776-CC25393326CF}"/>
                </c:ext>
              </c:extLst>
            </c:dLbl>
            <c:dLbl>
              <c:idx val="28"/>
              <c:tx>
                <c:rich>
                  <a:bodyPr/>
                  <a:lstStyle/>
                  <a:p>
                    <a:fld id="{D4962788-5936-4BEA-AF36-CB564F82332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2-617B-498F-B776-CC25393326CF}"/>
                </c:ext>
              </c:extLst>
            </c:dLbl>
            <c:dLbl>
              <c:idx val="29"/>
              <c:tx>
                <c:rich>
                  <a:bodyPr/>
                  <a:lstStyle/>
                  <a:p>
                    <a:fld id="{D7941529-2068-4E81-BBF7-CFA80F1CE3C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3-617B-498F-B776-CC25393326CF}"/>
                </c:ext>
              </c:extLst>
            </c:dLbl>
            <c:dLbl>
              <c:idx val="30"/>
              <c:tx>
                <c:rich>
                  <a:bodyPr/>
                  <a:lstStyle/>
                  <a:p>
                    <a:fld id="{254E4A4D-0408-4251-B7E4-FE6C7CB7C33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4-617B-498F-B776-CC25393326CF}"/>
                </c:ext>
              </c:extLst>
            </c:dLbl>
            <c:dLbl>
              <c:idx val="31"/>
              <c:tx>
                <c:rich>
                  <a:bodyPr/>
                  <a:lstStyle/>
                  <a:p>
                    <a:fld id="{AADFEBE4-7969-49B8-88E9-7985A50D961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5-617B-498F-B776-CC25393326CF}"/>
                </c:ext>
              </c:extLst>
            </c:dLbl>
            <c:dLbl>
              <c:idx val="32"/>
              <c:tx>
                <c:rich>
                  <a:bodyPr/>
                  <a:lstStyle/>
                  <a:p>
                    <a:fld id="{B1230B65-FBEF-4CA2-AFE5-4B88DD382A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6-617B-498F-B776-CC25393326CF}"/>
                </c:ext>
              </c:extLst>
            </c:dLbl>
            <c:dLbl>
              <c:idx val="33"/>
              <c:tx>
                <c:rich>
                  <a:bodyPr/>
                  <a:lstStyle/>
                  <a:p>
                    <a:fld id="{D45666DB-A362-46DD-BDF8-AB1DADEE9E2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7-617B-498F-B776-CC25393326CF}"/>
                </c:ext>
              </c:extLst>
            </c:dLbl>
            <c:dLbl>
              <c:idx val="34"/>
              <c:tx>
                <c:rich>
                  <a:bodyPr/>
                  <a:lstStyle/>
                  <a:p>
                    <a:fld id="{2DF94311-DF98-45F3-B051-6C47C6F9DB3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8-617B-498F-B776-CC25393326CF}"/>
                </c:ext>
              </c:extLst>
            </c:dLbl>
            <c:dLbl>
              <c:idx val="35"/>
              <c:tx>
                <c:rich>
                  <a:bodyPr/>
                  <a:lstStyle/>
                  <a:p>
                    <a:fld id="{C878B5F3-9530-4887-9260-86D10440B14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9-617B-498F-B776-CC25393326CF}"/>
                </c:ext>
              </c:extLst>
            </c:dLbl>
            <c:dLbl>
              <c:idx val="36"/>
              <c:tx>
                <c:rich>
                  <a:bodyPr/>
                  <a:lstStyle/>
                  <a:p>
                    <a:fld id="{301820A3-E589-472F-9421-F74BCCA0E7B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A-617B-498F-B776-CC25393326CF}"/>
                </c:ext>
              </c:extLst>
            </c:dLbl>
            <c:dLbl>
              <c:idx val="37"/>
              <c:tx>
                <c:rich>
                  <a:bodyPr/>
                  <a:lstStyle/>
                  <a:p>
                    <a:fld id="{7CB5A026-EE02-4A16-9084-507F19F50AA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B-617B-498F-B776-CC25393326CF}"/>
                </c:ext>
              </c:extLst>
            </c:dLbl>
            <c:dLbl>
              <c:idx val="38"/>
              <c:tx>
                <c:rich>
                  <a:bodyPr/>
                  <a:lstStyle/>
                  <a:p>
                    <a:fld id="{F61F25C8-EBBA-4E62-9CDA-503B48D45C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C-617B-498F-B776-CC25393326CF}"/>
                </c:ext>
              </c:extLst>
            </c:dLbl>
            <c:dLbl>
              <c:idx val="39"/>
              <c:tx>
                <c:rich>
                  <a:bodyPr/>
                  <a:lstStyle/>
                  <a:p>
                    <a:fld id="{0BC99189-9F12-49CE-BF72-6CC15159F5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D-617B-498F-B776-CC25393326CF}"/>
                </c:ext>
              </c:extLst>
            </c:dLbl>
            <c:dLbl>
              <c:idx val="40"/>
              <c:tx>
                <c:rich>
                  <a:bodyPr/>
                  <a:lstStyle/>
                  <a:p>
                    <a:fld id="{BF31DDE4-25FB-4670-A800-0EA45C3546E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E-617B-498F-B776-CC25393326CF}"/>
                </c:ext>
              </c:extLst>
            </c:dLbl>
            <c:dLbl>
              <c:idx val="41"/>
              <c:tx>
                <c:rich>
                  <a:bodyPr/>
                  <a:lstStyle/>
                  <a:p>
                    <a:fld id="{FD595856-CD33-4818-B401-A7913AC36A7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2F-617B-498F-B776-CC25393326CF}"/>
                </c:ext>
              </c:extLst>
            </c:dLbl>
            <c:dLbl>
              <c:idx val="42"/>
              <c:tx>
                <c:rich>
                  <a:bodyPr/>
                  <a:lstStyle/>
                  <a:p>
                    <a:fld id="{523ED32F-09EF-4D34-98D5-4CF50A380E6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0-617B-498F-B776-CC25393326CF}"/>
                </c:ext>
              </c:extLst>
            </c:dLbl>
            <c:dLbl>
              <c:idx val="43"/>
              <c:tx>
                <c:rich>
                  <a:bodyPr/>
                  <a:lstStyle/>
                  <a:p>
                    <a:fld id="{DF3C8F8C-8996-42B9-A5A3-6572826EA75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1-617B-498F-B776-CC25393326CF}"/>
                </c:ext>
              </c:extLst>
            </c:dLbl>
            <c:dLbl>
              <c:idx val="44"/>
              <c:tx>
                <c:rich>
                  <a:bodyPr/>
                  <a:lstStyle/>
                  <a:p>
                    <a:fld id="{D1F6C9B8-06A3-4976-ACA3-8FE89588A5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2-617B-498F-B776-CC25393326CF}"/>
                </c:ext>
              </c:extLst>
            </c:dLbl>
            <c:dLbl>
              <c:idx val="45"/>
              <c:tx>
                <c:rich>
                  <a:bodyPr/>
                  <a:lstStyle/>
                  <a:p>
                    <a:fld id="{8AA33870-B12D-4967-B515-EAC392ED44A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3-617B-498F-B776-CC25393326CF}"/>
                </c:ext>
              </c:extLst>
            </c:dLbl>
            <c:dLbl>
              <c:idx val="46"/>
              <c:tx>
                <c:rich>
                  <a:bodyPr/>
                  <a:lstStyle/>
                  <a:p>
                    <a:fld id="{F37AC0CB-5CD6-4F8B-B0BE-BF7852D02E8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4-617B-498F-B776-CC25393326CF}"/>
                </c:ext>
              </c:extLst>
            </c:dLbl>
            <c:dLbl>
              <c:idx val="47"/>
              <c:tx>
                <c:rich>
                  <a:bodyPr/>
                  <a:lstStyle/>
                  <a:p>
                    <a:fld id="{5882EC3F-BD18-46C8-92B8-F80E32050B87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5-617B-498F-B776-CC25393326CF}"/>
                </c:ext>
              </c:extLst>
            </c:dLbl>
            <c:dLbl>
              <c:idx val="48"/>
              <c:tx>
                <c:rich>
                  <a:bodyPr/>
                  <a:lstStyle/>
                  <a:p>
                    <a:fld id="{F78D35D6-BE64-474F-BE1D-E7044205D46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6-617B-498F-B776-CC25393326CF}"/>
                </c:ext>
              </c:extLst>
            </c:dLbl>
            <c:dLbl>
              <c:idx val="49"/>
              <c:tx>
                <c:rich>
                  <a:bodyPr/>
                  <a:lstStyle/>
                  <a:p>
                    <a:fld id="{6D0C380B-4030-4992-8A63-3CD1992999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7-617B-498F-B776-CC25393326CF}"/>
                </c:ext>
              </c:extLst>
            </c:dLbl>
            <c:dLbl>
              <c:idx val="50"/>
              <c:tx>
                <c:rich>
                  <a:bodyPr/>
                  <a:lstStyle/>
                  <a:p>
                    <a:fld id="{68445549-0415-46BE-85BE-F6AC44528B8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8-617B-498F-B776-CC25393326CF}"/>
                </c:ext>
              </c:extLst>
            </c:dLbl>
            <c:dLbl>
              <c:idx val="51"/>
              <c:tx>
                <c:rich>
                  <a:bodyPr/>
                  <a:lstStyle/>
                  <a:p>
                    <a:fld id="{31240120-C4BD-4D9B-B35A-2490DDA6B31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9-617B-498F-B776-CC25393326CF}"/>
                </c:ext>
              </c:extLst>
            </c:dLbl>
            <c:dLbl>
              <c:idx val="52"/>
              <c:tx>
                <c:rich>
                  <a:bodyPr/>
                  <a:lstStyle/>
                  <a:p>
                    <a:fld id="{9FDCC480-EC5F-4AFD-A488-2F43CEAF214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3A-617B-498F-B776-CC25393326CF}"/>
                </c:ext>
              </c:extLst>
            </c:dLbl>
            <c:spPr>
              <a:solidFill>
                <a:srgbClr val="FFFFFF">
                  <a:alpha val="80000"/>
                </a:srgbClr>
              </a:solidFill>
              <a:ln>
                <a:noFill/>
              </a:ln>
              <a:effectLst/>
            </c:spPr>
            <c:txPr>
              <a:bodyPr wrap="square" lIns="0" tIns="0" rIns="0" bIns="0" anchor="ctr">
                <a:spAutoFit/>
              </a:bodyPr>
              <a:lstStyle/>
              <a:p>
                <a:pPr>
                  <a:defRPr sz="900">
                    <a:solidFill>
                      <a:srgbClr val="808080"/>
                    </a:solidFill>
                    <a:latin typeface="Calibri" panose="020F0502020204030204" pitchFamily="34" charset="0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DataLabelsRange val="1"/>
                <c15:showLeaderLines val="1"/>
                <c15:leaderLines>
                  <c:spPr>
                    <a:ln w="6350">
                      <a:solidFill>
                        <a:srgbClr val="7F7F7F"/>
                      </a:solidFill>
                    </a:ln>
                  </c:spPr>
                </c15:leaderLines>
              </c:ext>
            </c:extLst>
          </c:dLbls>
          <c:xVal>
            <c:numRef>
              <c:f>WorkSchedule!$J$12:$J$64</c:f>
              <c:numCache>
                <c:formatCode>m/d/yyyy</c:formatCode>
                <c:ptCount val="53"/>
                <c:pt idx="0">
                  <c:v>45818</c:v>
                </c:pt>
                <c:pt idx="1">
                  <c:v>45772</c:v>
                </c:pt>
                <c:pt idx="2">
                  <c:v>45787</c:v>
                </c:pt>
                <c:pt idx="3">
                  <c:v>45787</c:v>
                </c:pt>
                <c:pt idx="4">
                  <c:v>45807</c:v>
                </c:pt>
                <c:pt idx="5">
                  <c:v>45818</c:v>
                </c:pt>
                <c:pt idx="6">
                  <c:v>46007</c:v>
                </c:pt>
                <c:pt idx="7">
                  <c:v>46007</c:v>
                </c:pt>
                <c:pt idx="8">
                  <c:v>45672</c:v>
                </c:pt>
                <c:pt idx="9">
                  <c:v>45702</c:v>
                </c:pt>
                <c:pt idx="10">
                  <c:v>45729</c:v>
                </c:pt>
                <c:pt idx="11">
                  <c:v>45764</c:v>
                </c:pt>
                <c:pt idx="12">
                  <c:v>45793</c:v>
                </c:pt>
                <c:pt idx="13">
                  <c:v>45821</c:v>
                </c:pt>
                <c:pt idx="14">
                  <c:v>45854</c:v>
                </c:pt>
                <c:pt idx="15">
                  <c:v>45885</c:v>
                </c:pt>
                <c:pt idx="16">
                  <c:v>45913</c:v>
                </c:pt>
                <c:pt idx="17">
                  <c:v>45946</c:v>
                </c:pt>
                <c:pt idx="18">
                  <c:v>45974</c:v>
                </c:pt>
                <c:pt idx="19">
                  <c:v>46007</c:v>
                </c:pt>
                <c:pt idx="20">
                  <c:v>45777</c:v>
                </c:pt>
                <c:pt idx="21">
                  <c:v>45735</c:v>
                </c:pt>
                <c:pt idx="22">
                  <c:v>45777</c:v>
                </c:pt>
                <c:pt idx="23">
                  <c:v>45854</c:v>
                </c:pt>
                <c:pt idx="24">
                  <c:v>45735</c:v>
                </c:pt>
                <c:pt idx="25">
                  <c:v>45819</c:v>
                </c:pt>
                <c:pt idx="26">
                  <c:v>45836</c:v>
                </c:pt>
                <c:pt idx="27">
                  <c:v>45825</c:v>
                </c:pt>
                <c:pt idx="28">
                  <c:v>45854</c:v>
                </c:pt>
                <c:pt idx="29">
                  <c:v>45829</c:v>
                </c:pt>
                <c:pt idx="30">
                  <c:v>45693</c:v>
                </c:pt>
                <c:pt idx="31">
                  <c:v>45736</c:v>
                </c:pt>
                <c:pt idx="32">
                  <c:v>45794</c:v>
                </c:pt>
                <c:pt idx="33">
                  <c:v>45829</c:v>
                </c:pt>
                <c:pt idx="34">
                  <c:v>45889</c:v>
                </c:pt>
                <c:pt idx="35">
                  <c:v>45693</c:v>
                </c:pt>
                <c:pt idx="36">
                  <c:v>45758</c:v>
                </c:pt>
                <c:pt idx="37">
                  <c:v>45801</c:v>
                </c:pt>
                <c:pt idx="38">
                  <c:v>45836</c:v>
                </c:pt>
                <c:pt idx="39">
                  <c:v>45868</c:v>
                </c:pt>
                <c:pt idx="40">
                  <c:v>45889</c:v>
                </c:pt>
                <c:pt idx="41">
                  <c:v>45934</c:v>
                </c:pt>
                <c:pt idx="42">
                  <c:v>45693</c:v>
                </c:pt>
                <c:pt idx="43">
                  <c:v>45738</c:v>
                </c:pt>
                <c:pt idx="44">
                  <c:v>45799</c:v>
                </c:pt>
                <c:pt idx="45">
                  <c:v>45857</c:v>
                </c:pt>
                <c:pt idx="46">
                  <c:v>45934</c:v>
                </c:pt>
                <c:pt idx="47">
                  <c:v>45862</c:v>
                </c:pt>
                <c:pt idx="48">
                  <c:v>45731</c:v>
                </c:pt>
                <c:pt idx="49">
                  <c:v>45801</c:v>
                </c:pt>
                <c:pt idx="50">
                  <c:v>45819</c:v>
                </c:pt>
                <c:pt idx="51">
                  <c:v>45833</c:v>
                </c:pt>
                <c:pt idx="52">
                  <c:v>45862</c:v>
                </c:pt>
              </c:numCache>
            </c:numRef>
          </c:xVal>
          <c:yVal>
            <c:numLit>
              <c:formatCode>General</c:formatCode>
              <c:ptCount val="53"/>
              <c:pt idx="0">
                <c:v>1.5</c:v>
              </c:pt>
              <c:pt idx="1">
                <c:v>2.5</c:v>
              </c:pt>
              <c:pt idx="2">
                <c:v>3.5</c:v>
              </c:pt>
              <c:pt idx="3">
                <c:v>4.5</c:v>
              </c:pt>
              <c:pt idx="4">
                <c:v>5.5</c:v>
              </c:pt>
              <c:pt idx="5">
                <c:v>6.5</c:v>
              </c:pt>
              <c:pt idx="6">
                <c:v>7.5</c:v>
              </c:pt>
              <c:pt idx="7">
                <c:v>8.5</c:v>
              </c:pt>
              <c:pt idx="8">
                <c:v>9.5</c:v>
              </c:pt>
              <c:pt idx="9">
                <c:v>10.5</c:v>
              </c:pt>
              <c:pt idx="10">
                <c:v>11.5</c:v>
              </c:pt>
              <c:pt idx="11">
                <c:v>12.5</c:v>
              </c:pt>
              <c:pt idx="12">
                <c:v>13.5</c:v>
              </c:pt>
              <c:pt idx="13">
                <c:v>14.5</c:v>
              </c:pt>
              <c:pt idx="14">
                <c:v>15.5</c:v>
              </c:pt>
              <c:pt idx="15">
                <c:v>16.5</c:v>
              </c:pt>
              <c:pt idx="16">
                <c:v>17.5</c:v>
              </c:pt>
              <c:pt idx="17">
                <c:v>18.5</c:v>
              </c:pt>
              <c:pt idx="18">
                <c:v>19.5</c:v>
              </c:pt>
              <c:pt idx="19">
                <c:v>20.5</c:v>
              </c:pt>
              <c:pt idx="20">
                <c:v>21.5</c:v>
              </c:pt>
              <c:pt idx="21">
                <c:v>22.5</c:v>
              </c:pt>
              <c:pt idx="22">
                <c:v>23.5</c:v>
              </c:pt>
              <c:pt idx="23">
                <c:v>24.5</c:v>
              </c:pt>
              <c:pt idx="24">
                <c:v>25.5</c:v>
              </c:pt>
              <c:pt idx="25">
                <c:v>26.5</c:v>
              </c:pt>
              <c:pt idx="26">
                <c:v>27.5</c:v>
              </c:pt>
              <c:pt idx="27">
                <c:v>28.5</c:v>
              </c:pt>
              <c:pt idx="28">
                <c:v>29.5</c:v>
              </c:pt>
              <c:pt idx="29">
                <c:v>30.5</c:v>
              </c:pt>
              <c:pt idx="30">
                <c:v>31.5</c:v>
              </c:pt>
              <c:pt idx="31">
                <c:v>32.5</c:v>
              </c:pt>
              <c:pt idx="32">
                <c:v>33.5</c:v>
              </c:pt>
              <c:pt idx="33">
                <c:v>34.5</c:v>
              </c:pt>
              <c:pt idx="34">
                <c:v>35.5</c:v>
              </c:pt>
              <c:pt idx="35">
                <c:v>36.5</c:v>
              </c:pt>
              <c:pt idx="36">
                <c:v>37.5</c:v>
              </c:pt>
              <c:pt idx="37">
                <c:v>38.5</c:v>
              </c:pt>
              <c:pt idx="38">
                <c:v>39.5</c:v>
              </c:pt>
              <c:pt idx="39">
                <c:v>40.5</c:v>
              </c:pt>
              <c:pt idx="40">
                <c:v>41.5</c:v>
              </c:pt>
              <c:pt idx="41">
                <c:v>42.5</c:v>
              </c:pt>
              <c:pt idx="42">
                <c:v>43.5</c:v>
              </c:pt>
              <c:pt idx="43">
                <c:v>44.5</c:v>
              </c:pt>
              <c:pt idx="44">
                <c:v>45.5</c:v>
              </c:pt>
              <c:pt idx="45">
                <c:v>46.5</c:v>
              </c:pt>
              <c:pt idx="46">
                <c:v>47.5</c:v>
              </c:pt>
              <c:pt idx="47">
                <c:v>48.5</c:v>
              </c:pt>
              <c:pt idx="48">
                <c:v>49.5</c:v>
              </c:pt>
              <c:pt idx="49">
                <c:v>50.5</c:v>
              </c:pt>
              <c:pt idx="50">
                <c:v>51.5</c:v>
              </c:pt>
              <c:pt idx="51">
                <c:v>52.5</c:v>
              </c:pt>
              <c:pt idx="52">
                <c:v>53.5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WorkSchedule!$S$12:$S$64</c15:f>
                <c15:dlblRangeCache>
                  <c:ptCount val="53"/>
                  <c:pt idx="0">
                    <c:v>100%</c:v>
                  </c:pt>
                  <c:pt idx="1">
                    <c:v>100%</c:v>
                  </c:pt>
                  <c:pt idx="2">
                    <c:v>100%</c:v>
                  </c:pt>
                  <c:pt idx="3">
                    <c:v>100%</c:v>
                  </c:pt>
                  <c:pt idx="4">
                    <c:v>100%</c:v>
                  </c:pt>
                  <c:pt idx="5">
                    <c:v>100%</c:v>
                  </c:pt>
                  <c:pt idx="6">
                    <c:v>61% (61%)</c:v>
                  </c:pt>
                  <c:pt idx="7">
                    <c:v>50% (50%)</c:v>
                  </c:pt>
                  <c:pt idx="8">
                    <c:v>100%</c:v>
                  </c:pt>
                  <c:pt idx="9">
                    <c:v>100%</c:v>
                  </c:pt>
                  <c:pt idx="10">
                    <c:v>100%</c:v>
                  </c:pt>
                  <c:pt idx="11">
                    <c:v>100%</c:v>
                  </c:pt>
                  <c:pt idx="12">
                    <c:v>100%</c:v>
                  </c:pt>
                  <c:pt idx="13">
                    <c:v>100%</c:v>
                  </c:pt>
                  <c:pt idx="14">
                    <c:v>0%</c:v>
                  </c:pt>
                  <c:pt idx="15">
                    <c:v>0%</c:v>
                  </c:pt>
                  <c:pt idx="16">
                    <c:v>0%</c:v>
                  </c:pt>
                  <c:pt idx="17">
                    <c:v>0%</c:v>
                  </c:pt>
                  <c:pt idx="18">
                    <c:v>0%</c:v>
                  </c:pt>
                  <c:pt idx="19">
                    <c:v>0%</c:v>
                  </c:pt>
                  <c:pt idx="20">
                    <c:v>100%</c:v>
                  </c:pt>
                  <c:pt idx="21">
                    <c:v>100%</c:v>
                  </c:pt>
                  <c:pt idx="22">
                    <c:v>100%</c:v>
                  </c:pt>
                  <c:pt idx="23">
                    <c:v>75% (75%)</c:v>
                  </c:pt>
                  <c:pt idx="24">
                    <c:v>100%</c:v>
                  </c:pt>
                  <c:pt idx="25">
                    <c:v>100%</c:v>
                  </c:pt>
                  <c:pt idx="26">
                    <c:v>50% (50%)</c:v>
                  </c:pt>
                  <c:pt idx="27">
                    <c:v>100%</c:v>
                  </c:pt>
                  <c:pt idx="28">
                    <c:v>0%</c:v>
                  </c:pt>
                  <c:pt idx="29">
                    <c:v>100%</c:v>
                  </c:pt>
                  <c:pt idx="30">
                    <c:v>100%</c:v>
                  </c:pt>
                  <c:pt idx="31">
                    <c:v>100%</c:v>
                  </c:pt>
                  <c:pt idx="32">
                    <c:v>100%</c:v>
                  </c:pt>
                  <c:pt idx="33">
                    <c:v>100%</c:v>
                  </c:pt>
                  <c:pt idx="34">
                    <c:v>21% (21%)</c:v>
                  </c:pt>
                  <c:pt idx="35">
                    <c:v>100%</c:v>
                  </c:pt>
                  <c:pt idx="36">
                    <c:v>100%</c:v>
                  </c:pt>
                  <c:pt idx="37">
                    <c:v>100%</c:v>
                  </c:pt>
                  <c:pt idx="38">
                    <c:v>0%</c:v>
                  </c:pt>
                  <c:pt idx="39">
                    <c:v>0%</c:v>
                  </c:pt>
                  <c:pt idx="40">
                    <c:v>0%</c:v>
                  </c:pt>
                  <c:pt idx="41">
                    <c:v>38% (38%)</c:v>
                  </c:pt>
                  <c:pt idx="42">
                    <c:v>100%</c:v>
                  </c:pt>
                  <c:pt idx="43">
                    <c:v>100%</c:v>
                  </c:pt>
                  <c:pt idx="44">
                    <c:v>100%</c:v>
                  </c:pt>
                  <c:pt idx="45">
                    <c:v>0%</c:v>
                  </c:pt>
                  <c:pt idx="46">
                    <c:v>0%</c:v>
                  </c:pt>
                  <c:pt idx="47">
                    <c:v>53% (53%)</c:v>
                  </c:pt>
                  <c:pt idx="48">
                    <c:v>100%</c:v>
                  </c:pt>
                  <c:pt idx="49">
                    <c:v>100%</c:v>
                  </c:pt>
                  <c:pt idx="50">
                    <c:v>100%</c:v>
                  </c:pt>
                  <c:pt idx="51">
                    <c:v>80% (80%)</c:v>
                  </c:pt>
                  <c:pt idx="52">
                    <c:v>0%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5-617B-498F-B776-CC25393326CF}"/>
            </c:ext>
          </c:extLst>
        </c:ser>
        <c:ser>
          <c:idx val="6"/>
          <c:order val="6"/>
          <c:tx>
            <c:v>DataLabels</c:v>
          </c:tx>
          <c:spPr>
            <a:ln w="38100" cap="rnd" cmpd="sng" algn="ctr">
              <a:noFill/>
              <a:prstDash val="solid"/>
              <a:round/>
            </a:ln>
            <a:effectLst/>
            <a:extLst>
              <a:ext uri="{91240B29-F687-4F45-9708-019B960494DF}">
                <a14:hiddenLine xmlns:a14="http://schemas.microsoft.com/office/drawing/2010/main" w="38100" cap="rnd" cmpd="sng" algn="ctr">
                  <a:solidFill>
                    <a:srgbClr val="156082">
                      <a:tint val="77000"/>
                    </a:srgbClr>
                  </a:solidFill>
                  <a:prstDash val="solid"/>
                  <a:round/>
                </a14:hiddenLine>
              </a:ext>
            </a:extLst>
          </c:spPr>
          <c:marker>
            <c:spPr>
              <a:solidFill>
                <a:srgbClr val="156082">
                  <a:tint val="77000"/>
                </a:srgbClr>
              </a:solidFill>
              <a:ln w="12700" cap="flat" cmpd="sng" algn="ctr">
                <a:noFill/>
                <a:prstDash val="solid"/>
                <a:round/>
              </a:ln>
              <a:effectLst/>
              <a:extLst>
                <a:ext uri="{91240B29-F687-4F45-9708-019B960494DF}">
                  <a14:hiddenLine xmlns:a14="http://schemas.microsoft.com/office/drawing/2010/main" w="12700" cap="flat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</c:marker>
          <c:dPt>
            <c:idx val="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C-617B-498F-B776-CC25393326CF}"/>
              </c:ext>
            </c:extLst>
          </c:dPt>
          <c:dPt>
            <c:idx val="1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D-617B-498F-B776-CC25393326CF}"/>
              </c:ext>
            </c:extLst>
          </c:dPt>
          <c:dPt>
            <c:idx val="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E-617B-498F-B776-CC25393326CF}"/>
              </c:ext>
            </c:extLst>
          </c:dPt>
          <c:dPt>
            <c:idx val="3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3F-617B-498F-B776-CC25393326CF}"/>
              </c:ext>
            </c:extLst>
          </c:dPt>
          <c:dPt>
            <c:idx val="4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0-617B-498F-B776-CC25393326CF}"/>
              </c:ext>
            </c:extLst>
          </c:dPt>
          <c:dPt>
            <c:idx val="5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1-617B-498F-B776-CC25393326CF}"/>
              </c:ext>
            </c:extLst>
          </c:dPt>
          <c:dPt>
            <c:idx val="6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2-617B-498F-B776-CC25393326CF}"/>
              </c:ext>
            </c:extLst>
          </c:dPt>
          <c:dPt>
            <c:idx val="7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3-617B-498F-B776-CC25393326CF}"/>
              </c:ext>
            </c:extLst>
          </c:dPt>
          <c:dPt>
            <c:idx val="8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4-617B-498F-B776-CC25393326CF}"/>
              </c:ext>
            </c:extLst>
          </c:dPt>
          <c:dPt>
            <c:idx val="9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5-617B-498F-B776-CC25393326CF}"/>
              </c:ext>
            </c:extLst>
          </c:dPt>
          <c:dPt>
            <c:idx val="1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6-617B-498F-B776-CC25393326CF}"/>
              </c:ext>
            </c:extLst>
          </c:dPt>
          <c:dPt>
            <c:idx val="11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7-617B-498F-B776-CC25393326CF}"/>
              </c:ext>
            </c:extLst>
          </c:dPt>
          <c:dPt>
            <c:idx val="1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8-617B-498F-B776-CC25393326CF}"/>
              </c:ext>
            </c:extLst>
          </c:dPt>
          <c:dPt>
            <c:idx val="13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9-617B-498F-B776-CC25393326CF}"/>
              </c:ext>
            </c:extLst>
          </c:dPt>
          <c:dPt>
            <c:idx val="14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A-617B-498F-B776-CC25393326CF}"/>
              </c:ext>
            </c:extLst>
          </c:dPt>
          <c:dPt>
            <c:idx val="15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B-617B-498F-B776-CC25393326CF}"/>
              </c:ext>
            </c:extLst>
          </c:dPt>
          <c:dPt>
            <c:idx val="16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C-617B-498F-B776-CC25393326CF}"/>
              </c:ext>
            </c:extLst>
          </c:dPt>
          <c:dPt>
            <c:idx val="17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D-617B-498F-B776-CC25393326CF}"/>
              </c:ext>
            </c:extLst>
          </c:dPt>
          <c:dPt>
            <c:idx val="18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E-617B-498F-B776-CC25393326CF}"/>
              </c:ext>
            </c:extLst>
          </c:dPt>
          <c:dPt>
            <c:idx val="19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4F-617B-498F-B776-CC25393326CF}"/>
              </c:ext>
            </c:extLst>
          </c:dPt>
          <c:dPt>
            <c:idx val="2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0-617B-498F-B776-CC25393326CF}"/>
              </c:ext>
            </c:extLst>
          </c:dPt>
          <c:dPt>
            <c:idx val="21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1-617B-498F-B776-CC25393326CF}"/>
              </c:ext>
            </c:extLst>
          </c:dPt>
          <c:dPt>
            <c:idx val="2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2-617B-498F-B776-CC25393326CF}"/>
              </c:ext>
            </c:extLst>
          </c:dPt>
          <c:dPt>
            <c:idx val="23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3-617B-498F-B776-CC25393326CF}"/>
              </c:ext>
            </c:extLst>
          </c:dPt>
          <c:dPt>
            <c:idx val="24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4-617B-498F-B776-CC25393326CF}"/>
              </c:ext>
            </c:extLst>
          </c:dPt>
          <c:dPt>
            <c:idx val="25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5-617B-498F-B776-CC25393326CF}"/>
              </c:ext>
            </c:extLst>
          </c:dPt>
          <c:dPt>
            <c:idx val="26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6-617B-498F-B776-CC25393326CF}"/>
              </c:ext>
            </c:extLst>
          </c:dPt>
          <c:dPt>
            <c:idx val="27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7-617B-498F-B776-CC25393326CF}"/>
              </c:ext>
            </c:extLst>
          </c:dPt>
          <c:dPt>
            <c:idx val="28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8-617B-498F-B776-CC25393326CF}"/>
              </c:ext>
            </c:extLst>
          </c:dPt>
          <c:dPt>
            <c:idx val="29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9-617B-498F-B776-CC25393326CF}"/>
              </c:ext>
            </c:extLst>
          </c:dPt>
          <c:dPt>
            <c:idx val="3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A-617B-498F-B776-CC25393326CF}"/>
              </c:ext>
            </c:extLst>
          </c:dPt>
          <c:dPt>
            <c:idx val="31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B-617B-498F-B776-CC25393326CF}"/>
              </c:ext>
            </c:extLst>
          </c:dPt>
          <c:dPt>
            <c:idx val="3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C-617B-498F-B776-CC25393326CF}"/>
              </c:ext>
            </c:extLst>
          </c:dPt>
          <c:dPt>
            <c:idx val="33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D-617B-498F-B776-CC25393326CF}"/>
              </c:ext>
            </c:extLst>
          </c:dPt>
          <c:dPt>
            <c:idx val="34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E-617B-498F-B776-CC25393326CF}"/>
              </c:ext>
            </c:extLst>
          </c:dPt>
          <c:dPt>
            <c:idx val="35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5F-617B-498F-B776-CC25393326CF}"/>
              </c:ext>
            </c:extLst>
          </c:dPt>
          <c:dPt>
            <c:idx val="36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0-617B-498F-B776-CC25393326CF}"/>
              </c:ext>
            </c:extLst>
          </c:dPt>
          <c:dPt>
            <c:idx val="37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1-617B-498F-B776-CC25393326CF}"/>
              </c:ext>
            </c:extLst>
          </c:dPt>
          <c:dPt>
            <c:idx val="38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2-617B-498F-B776-CC25393326CF}"/>
              </c:ext>
            </c:extLst>
          </c:dPt>
          <c:dPt>
            <c:idx val="39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3-617B-498F-B776-CC25393326CF}"/>
              </c:ext>
            </c:extLst>
          </c:dPt>
          <c:dPt>
            <c:idx val="4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4-617B-498F-B776-CC25393326CF}"/>
              </c:ext>
            </c:extLst>
          </c:dPt>
          <c:dPt>
            <c:idx val="41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5-617B-498F-B776-CC25393326CF}"/>
              </c:ext>
            </c:extLst>
          </c:dPt>
          <c:dPt>
            <c:idx val="4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6-617B-498F-B776-CC25393326CF}"/>
              </c:ext>
            </c:extLst>
          </c:dPt>
          <c:dPt>
            <c:idx val="43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7-617B-498F-B776-CC25393326CF}"/>
              </c:ext>
            </c:extLst>
          </c:dPt>
          <c:dPt>
            <c:idx val="44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8-617B-498F-B776-CC25393326CF}"/>
              </c:ext>
            </c:extLst>
          </c:dPt>
          <c:dPt>
            <c:idx val="45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9-617B-498F-B776-CC25393326CF}"/>
              </c:ext>
            </c:extLst>
          </c:dPt>
          <c:dPt>
            <c:idx val="46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A-617B-498F-B776-CC25393326CF}"/>
              </c:ext>
            </c:extLst>
          </c:dPt>
          <c:dPt>
            <c:idx val="47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B-617B-498F-B776-CC25393326CF}"/>
              </c:ext>
            </c:extLst>
          </c:dPt>
          <c:dPt>
            <c:idx val="48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C-617B-498F-B776-CC25393326CF}"/>
              </c:ext>
            </c:extLst>
          </c:dPt>
          <c:dPt>
            <c:idx val="49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D-617B-498F-B776-CC25393326CF}"/>
              </c:ext>
            </c:extLst>
          </c:dPt>
          <c:dPt>
            <c:idx val="50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E-617B-498F-B776-CC25393326CF}"/>
              </c:ext>
            </c:extLst>
          </c:dPt>
          <c:dPt>
            <c:idx val="51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6F-617B-498F-B776-CC25393326CF}"/>
              </c:ext>
            </c:extLst>
          </c:dPt>
          <c:dPt>
            <c:idx val="52"/>
            <c:marker>
              <c:symbol val="none"/>
            </c:marker>
            <c:bubble3D val="0"/>
            <c:spPr>
              <a:ln w="38100" cap="rnd" cmpd="sng" algn="ctr">
                <a:noFill/>
                <a:prstDash val="solid"/>
                <a:round/>
              </a:ln>
              <a:effectLst>
                <a:outerShdw blurRad="50800" dist="38100" dir="2700000" algn="tl">
                  <a:prstClr val="black">
                    <a:alpha val="40000"/>
                  </a:prstClr>
                </a:outerShdw>
              </a:effectLst>
              <a:extLst>
                <a:ext uri="{91240B29-F687-4F45-9708-019B960494DF}">
                  <a14:hiddenLine xmlns:a14="http://schemas.microsoft.com/office/drawing/2010/main" w="38100" cap="rnd" cmpd="sng" algn="ctr">
                    <a:solidFill>
                      <a:srgbClr val="156082">
                        <a:tint val="77000"/>
                      </a:srgbClr>
                    </a:solidFill>
                    <a:prstDash val="solid"/>
                    <a:round/>
                  </a14:hiddenLine>
                </a:ext>
              </a:extLst>
            </c:spPr>
            <c:extLst>
              <c:ext xmlns:c16="http://schemas.microsoft.com/office/drawing/2014/chart" uri="{C3380CC4-5D6E-409C-BE32-E72D297353CC}">
                <c16:uniqueId val="{00000070-617B-498F-B776-CC25393326CF}"/>
              </c:ext>
            </c:extLst>
          </c:dPt>
          <c:dLbls>
            <c:dLbl>
              <c:idx val="0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1774D33B-24B9-4AA7-A5A8-69EEC0FC882D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C-617B-498F-B776-CC25393326CF}"/>
                </c:ext>
              </c:extLst>
            </c:dLbl>
            <c:dLbl>
              <c:idx val="1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BEFAD962-9406-4848-99D9-31BF660763CC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D-617B-498F-B776-CC25393326CF}"/>
                </c:ext>
              </c:extLst>
            </c:dLbl>
            <c:dLbl>
              <c:idx val="2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3C43C46D-F82A-44A0-8357-21272FA525FC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E-617B-498F-B776-CC25393326CF}"/>
                </c:ext>
              </c:extLst>
            </c:dLbl>
            <c:dLbl>
              <c:idx val="3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9580DAB0-D49B-4D72-A973-0E066D0F9855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3F-617B-498F-B776-CC25393326CF}"/>
                </c:ext>
              </c:extLst>
            </c:dLbl>
            <c:dLbl>
              <c:idx val="4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B72D84DC-18FF-4902-AA52-F3086E5FC193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0-617B-498F-B776-CC25393326CF}"/>
                </c:ext>
              </c:extLst>
            </c:dLbl>
            <c:dLbl>
              <c:idx val="5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CB6330AD-5CF3-4B95-B563-95612A13BB16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1-617B-498F-B776-CC25393326CF}"/>
                </c:ext>
              </c:extLst>
            </c:dLbl>
            <c:dLbl>
              <c:idx val="6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8A8F5526-D100-4D6C-9FA8-D2486C464D14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2-617B-498F-B776-CC25393326CF}"/>
                </c:ext>
              </c:extLst>
            </c:dLbl>
            <c:dLbl>
              <c:idx val="7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D4C77A24-4FF6-457F-A147-6C7B2CA0210C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3-617B-498F-B776-CC25393326CF}"/>
                </c:ext>
              </c:extLst>
            </c:dLbl>
            <c:dLbl>
              <c:idx val="8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6EA95794-7EB9-4397-A627-B171DF8C9FCC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4-617B-498F-B776-CC25393326CF}"/>
                </c:ext>
              </c:extLst>
            </c:dLbl>
            <c:dLbl>
              <c:idx val="9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6F82CFAE-8097-4165-9267-7FE20DDB2EE2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5-617B-498F-B776-CC25393326CF}"/>
                </c:ext>
              </c:extLst>
            </c:dLbl>
            <c:dLbl>
              <c:idx val="10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26C87C64-F183-4612-817F-E86B013C520C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6-617B-498F-B776-CC25393326CF}"/>
                </c:ext>
              </c:extLst>
            </c:dLbl>
            <c:dLbl>
              <c:idx val="11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3ACC3E68-51D6-4350-87B5-1933A48A23AA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7-617B-498F-B776-CC25393326CF}"/>
                </c:ext>
              </c:extLst>
            </c:dLbl>
            <c:dLbl>
              <c:idx val="12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49EB4A73-F96F-4A88-A25B-D9E95CF68618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8-617B-498F-B776-CC25393326CF}"/>
                </c:ext>
              </c:extLst>
            </c:dLbl>
            <c:dLbl>
              <c:idx val="13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68641211-4E2E-4D04-8538-B70A311DF7B0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9-617B-498F-B776-CC25393326CF}"/>
                </c:ext>
              </c:extLst>
            </c:dLbl>
            <c:dLbl>
              <c:idx val="14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92BF18F7-D2CC-4BDA-B5AF-E40D40DD4811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A-617B-498F-B776-CC25393326CF}"/>
                </c:ext>
              </c:extLst>
            </c:dLbl>
            <c:dLbl>
              <c:idx val="15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27A595DA-877D-47FB-96E0-1DA3CFCCF818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B-617B-498F-B776-CC25393326CF}"/>
                </c:ext>
              </c:extLst>
            </c:dLbl>
            <c:dLbl>
              <c:idx val="16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07F251B0-7E6E-457B-819C-0E69ACE4CCC3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C-617B-498F-B776-CC25393326CF}"/>
                </c:ext>
              </c:extLst>
            </c:dLbl>
            <c:dLbl>
              <c:idx val="17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FCBC62CD-0EB4-40BA-9BF9-30105F9F6A6B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D-617B-498F-B776-CC25393326CF}"/>
                </c:ext>
              </c:extLst>
            </c:dLbl>
            <c:dLbl>
              <c:idx val="18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293C0E6D-1AC6-4A11-9878-04965A538E3E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E-617B-498F-B776-CC25393326CF}"/>
                </c:ext>
              </c:extLst>
            </c:dLbl>
            <c:dLbl>
              <c:idx val="19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A131D176-9F86-49F8-8A65-4709A62F4EF4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4F-617B-498F-B776-CC25393326CF}"/>
                </c:ext>
              </c:extLst>
            </c:dLbl>
            <c:dLbl>
              <c:idx val="20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C853B421-9B3E-4EDF-B3D9-272666E2ABAD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0-617B-498F-B776-CC25393326CF}"/>
                </c:ext>
              </c:extLst>
            </c:dLbl>
            <c:dLbl>
              <c:idx val="21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EC056BDC-12BE-4241-B481-08AB5B9A49BB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1-617B-498F-B776-CC25393326CF}"/>
                </c:ext>
              </c:extLst>
            </c:dLbl>
            <c:dLbl>
              <c:idx val="22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179431B1-6176-45C9-BE2A-2AF096CC5E4D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2-617B-498F-B776-CC25393326CF}"/>
                </c:ext>
              </c:extLst>
            </c:dLbl>
            <c:dLbl>
              <c:idx val="23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9AA6333F-0213-4C0D-8C85-A0715FD2678F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3-617B-498F-B776-CC25393326CF}"/>
                </c:ext>
              </c:extLst>
            </c:dLbl>
            <c:dLbl>
              <c:idx val="24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F9C75BDC-387F-4AD6-8769-6972A1763FD5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4-617B-498F-B776-CC25393326CF}"/>
                </c:ext>
              </c:extLst>
            </c:dLbl>
            <c:dLbl>
              <c:idx val="25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1F95B483-81C5-4C37-AA6F-503EC3DB8DF2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5-617B-498F-B776-CC25393326CF}"/>
                </c:ext>
              </c:extLst>
            </c:dLbl>
            <c:dLbl>
              <c:idx val="26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80FAFEAD-59D0-44CF-9C1B-B37A3761F7B0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6-617B-498F-B776-CC25393326CF}"/>
                </c:ext>
              </c:extLst>
            </c:dLbl>
            <c:dLbl>
              <c:idx val="27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9E9582F9-734E-414D-9BC4-4F191F6C310A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7-617B-498F-B776-CC25393326CF}"/>
                </c:ext>
              </c:extLst>
            </c:dLbl>
            <c:dLbl>
              <c:idx val="28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B6F53F22-5C57-4012-8E1B-11EC2CE276CD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8-617B-498F-B776-CC25393326CF}"/>
                </c:ext>
              </c:extLst>
            </c:dLbl>
            <c:dLbl>
              <c:idx val="29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3257083C-B51A-46B4-822C-8FFB7D16FA66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9-617B-498F-B776-CC25393326CF}"/>
                </c:ext>
              </c:extLst>
            </c:dLbl>
            <c:dLbl>
              <c:idx val="30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5557984F-BD6D-479E-B8E1-A95BB8C9DB06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A-617B-498F-B776-CC25393326CF}"/>
                </c:ext>
              </c:extLst>
            </c:dLbl>
            <c:dLbl>
              <c:idx val="31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134A62D7-5A32-4960-8AB3-D860100F3A6B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B-617B-498F-B776-CC25393326CF}"/>
                </c:ext>
              </c:extLst>
            </c:dLbl>
            <c:dLbl>
              <c:idx val="32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1437B6A0-7962-49E4-A126-6687ED79EE12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C-617B-498F-B776-CC25393326CF}"/>
                </c:ext>
              </c:extLst>
            </c:dLbl>
            <c:dLbl>
              <c:idx val="33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FA7849B2-A61C-41BF-8882-9FFDD36DD5B0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D-617B-498F-B776-CC25393326CF}"/>
                </c:ext>
              </c:extLst>
            </c:dLbl>
            <c:dLbl>
              <c:idx val="34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0CE12E2C-CB6C-4D49-8496-FF6D63A3BAE3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E-617B-498F-B776-CC25393326CF}"/>
                </c:ext>
              </c:extLst>
            </c:dLbl>
            <c:dLbl>
              <c:idx val="35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4EBA5084-9503-4BFA-A055-05CBAAB6A260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5F-617B-498F-B776-CC25393326CF}"/>
                </c:ext>
              </c:extLst>
            </c:dLbl>
            <c:dLbl>
              <c:idx val="36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149ADC43-B35D-44DC-8908-882069755737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0-617B-498F-B776-CC25393326CF}"/>
                </c:ext>
              </c:extLst>
            </c:dLbl>
            <c:dLbl>
              <c:idx val="37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755F6EE9-DFD9-4611-ADD7-BCF8E6A7729D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1-617B-498F-B776-CC25393326CF}"/>
                </c:ext>
              </c:extLst>
            </c:dLbl>
            <c:dLbl>
              <c:idx val="38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83C6CF04-333F-4DC5-9AB2-F478D7F72800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2-617B-498F-B776-CC25393326CF}"/>
                </c:ext>
              </c:extLst>
            </c:dLbl>
            <c:dLbl>
              <c:idx val="39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E2B0C13A-F659-44EC-B592-4A87A608E062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3-617B-498F-B776-CC25393326CF}"/>
                </c:ext>
              </c:extLst>
            </c:dLbl>
            <c:dLbl>
              <c:idx val="40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D1D7ACA5-2B8F-40B7-B23F-3E447576B432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4-617B-498F-B776-CC25393326CF}"/>
                </c:ext>
              </c:extLst>
            </c:dLbl>
            <c:dLbl>
              <c:idx val="41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3F6AAFE4-BC34-44C2-BBB3-D36B7FFDBC39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5-617B-498F-B776-CC25393326CF}"/>
                </c:ext>
              </c:extLst>
            </c:dLbl>
            <c:dLbl>
              <c:idx val="42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4D9D30B7-66D7-4444-BEE7-7D5AEE0FF6C1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6-617B-498F-B776-CC25393326CF}"/>
                </c:ext>
              </c:extLst>
            </c:dLbl>
            <c:dLbl>
              <c:idx val="43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C7EFEC9C-A739-46FF-B603-06036FEE1CB4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7-617B-498F-B776-CC25393326CF}"/>
                </c:ext>
              </c:extLst>
            </c:dLbl>
            <c:dLbl>
              <c:idx val="44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81E8D5AE-543D-4DD9-9742-D6035563C0F5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8-617B-498F-B776-CC25393326CF}"/>
                </c:ext>
              </c:extLst>
            </c:dLbl>
            <c:dLbl>
              <c:idx val="45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D3A0A1FF-F1BA-4061-9E18-9B491048E7DA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9-617B-498F-B776-CC25393326CF}"/>
                </c:ext>
              </c:extLst>
            </c:dLbl>
            <c:dLbl>
              <c:idx val="46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876AB912-FEA0-45FF-9485-07F685161EA4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A-617B-498F-B776-CC25393326CF}"/>
                </c:ext>
              </c:extLst>
            </c:dLbl>
            <c:dLbl>
              <c:idx val="47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6E937306-0976-4414-86AC-97382AC918DA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B-617B-498F-B776-CC25393326CF}"/>
                </c:ext>
              </c:extLst>
            </c:dLbl>
            <c:dLbl>
              <c:idx val="48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C5541DE1-D2D9-4830-8AB7-6D27AC42A174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C-617B-498F-B776-CC25393326CF}"/>
                </c:ext>
              </c:extLst>
            </c:dLbl>
            <c:dLbl>
              <c:idx val="49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FDB4B8CB-7ED7-4A15-82F9-48FA2A12730F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D-617B-498F-B776-CC25393326CF}"/>
                </c:ext>
              </c:extLst>
            </c:dLbl>
            <c:dLbl>
              <c:idx val="50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445CA031-0D07-47EC-ADB3-595F52F17A7C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E-617B-498F-B776-CC25393326CF}"/>
                </c:ext>
              </c:extLst>
            </c:dLbl>
            <c:dLbl>
              <c:idx val="51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061E307E-F7FD-4A36-8B29-6EE06B53E856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6F-617B-498F-B776-CC25393326CF}"/>
                </c:ext>
              </c:extLst>
            </c:dLbl>
            <c:dLbl>
              <c:idx val="52"/>
              <c:tx>
                <c:rich>
                  <a:bodyPr wrap="square" lIns="0" tIns="0" rIns="0" bIns="0" anchor="ctr">
                    <a:spAutoFit/>
                  </a:bodyPr>
                  <a:lstStyle/>
                  <a:p>
                    <a:pPr>
                      <a:defRPr sz="900">
                        <a:solidFill>
                          <a:srgbClr val="0D0D0D"/>
                        </a:solidFill>
                        <a:latin typeface="Calibri"/>
                        <a:ea typeface="Calibri"/>
                        <a:cs typeface="Calibri"/>
                      </a:defRPr>
                    </a:pPr>
                    <a:fld id="{3B64065C-AD71-46C3-B321-C16F16040445}" type="CELLRANGE">
                      <a:rPr lang="en-US"/>
                      <a:pPr>
                        <a:defRPr sz="900">
                          <a:solidFill>
                            <a:srgbClr val="0D0D0D"/>
                          </a:solidFill>
                          <a:latin typeface="Calibri"/>
                          <a:ea typeface="Calibri"/>
                          <a:cs typeface="Calibri"/>
                        </a:defRPr>
                      </a:pPr>
                      <a:t>[CELLRANGE]</a:t>
                    </a:fld>
                    <a:endParaRPr lang="en-US"/>
                  </a:p>
                </c:rich>
              </c:tx>
              <c:spPr>
                <a:solidFill>
                  <a:srgbClr val="FFFFFF"/>
                </a:solidFill>
                <a:ln>
                  <a:noFill/>
                </a:ln>
                <a:effectLst/>
              </c:sp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70-617B-498F-B776-CC25393326CF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6350">
                      <a:solidFill>
                        <a:srgbClr val="7F7F7F"/>
                      </a:solidFill>
                      <a:prstDash val="solid"/>
                    </a:ln>
                  </c:spPr>
                </c15:leaderLines>
              </c:ext>
            </c:extLst>
          </c:dLbls>
          <c:xVal>
            <c:numRef>
              <c:f>WorkSchedule!$I$12:$I$64</c:f>
              <c:numCache>
                <c:formatCode>m/d/yyyy</c:formatCode>
                <c:ptCount val="53"/>
                <c:pt idx="0">
                  <c:v>45719</c:v>
                </c:pt>
                <c:pt idx="1">
                  <c:v>45719</c:v>
                </c:pt>
                <c:pt idx="2">
                  <c:v>45719</c:v>
                </c:pt>
                <c:pt idx="3">
                  <c:v>45719</c:v>
                </c:pt>
                <c:pt idx="4">
                  <c:v>45790</c:v>
                </c:pt>
                <c:pt idx="5">
                  <c:v>45790</c:v>
                </c:pt>
                <c:pt idx="6">
                  <c:v>45667</c:v>
                </c:pt>
                <c:pt idx="7">
                  <c:v>45667</c:v>
                </c:pt>
                <c:pt idx="8">
                  <c:v>45667</c:v>
                </c:pt>
                <c:pt idx="9">
                  <c:v>45698</c:v>
                </c:pt>
                <c:pt idx="10">
                  <c:v>45726</c:v>
                </c:pt>
                <c:pt idx="11">
                  <c:v>45757</c:v>
                </c:pt>
                <c:pt idx="12">
                  <c:v>45790</c:v>
                </c:pt>
                <c:pt idx="13">
                  <c:v>45818</c:v>
                </c:pt>
                <c:pt idx="14">
                  <c:v>45849</c:v>
                </c:pt>
                <c:pt idx="15">
                  <c:v>45882</c:v>
                </c:pt>
                <c:pt idx="16">
                  <c:v>45910</c:v>
                </c:pt>
                <c:pt idx="17">
                  <c:v>45940</c:v>
                </c:pt>
                <c:pt idx="18">
                  <c:v>45971</c:v>
                </c:pt>
                <c:pt idx="19">
                  <c:v>46002</c:v>
                </c:pt>
                <c:pt idx="20">
                  <c:v>45733</c:v>
                </c:pt>
                <c:pt idx="21">
                  <c:v>45733</c:v>
                </c:pt>
                <c:pt idx="22">
                  <c:v>45775</c:v>
                </c:pt>
                <c:pt idx="23">
                  <c:v>45733</c:v>
                </c:pt>
                <c:pt idx="24">
                  <c:v>45733</c:v>
                </c:pt>
                <c:pt idx="25">
                  <c:v>45803</c:v>
                </c:pt>
                <c:pt idx="26">
                  <c:v>45824</c:v>
                </c:pt>
                <c:pt idx="27">
                  <c:v>45824</c:v>
                </c:pt>
                <c:pt idx="28">
                  <c:v>45853</c:v>
                </c:pt>
                <c:pt idx="29">
                  <c:v>45691</c:v>
                </c:pt>
                <c:pt idx="30">
                  <c:v>45691</c:v>
                </c:pt>
                <c:pt idx="31">
                  <c:v>45734</c:v>
                </c:pt>
                <c:pt idx="32">
                  <c:v>45790</c:v>
                </c:pt>
                <c:pt idx="33">
                  <c:v>45828</c:v>
                </c:pt>
                <c:pt idx="34">
                  <c:v>45691</c:v>
                </c:pt>
                <c:pt idx="35">
                  <c:v>45691</c:v>
                </c:pt>
                <c:pt idx="36">
                  <c:v>45751</c:v>
                </c:pt>
                <c:pt idx="37">
                  <c:v>45796</c:v>
                </c:pt>
                <c:pt idx="38">
                  <c:v>45834</c:v>
                </c:pt>
                <c:pt idx="39">
                  <c:v>45838</c:v>
                </c:pt>
                <c:pt idx="40">
                  <c:v>45856</c:v>
                </c:pt>
                <c:pt idx="41">
                  <c:v>45691</c:v>
                </c:pt>
                <c:pt idx="42">
                  <c:v>45691</c:v>
                </c:pt>
                <c:pt idx="43">
                  <c:v>45736</c:v>
                </c:pt>
                <c:pt idx="44">
                  <c:v>45798</c:v>
                </c:pt>
                <c:pt idx="45">
                  <c:v>45852</c:v>
                </c:pt>
                <c:pt idx="46">
                  <c:v>45931</c:v>
                </c:pt>
                <c:pt idx="47">
                  <c:v>45719</c:v>
                </c:pt>
                <c:pt idx="48">
                  <c:v>45719</c:v>
                </c:pt>
                <c:pt idx="49">
                  <c:v>45796</c:v>
                </c:pt>
                <c:pt idx="50">
                  <c:v>45817</c:v>
                </c:pt>
                <c:pt idx="51">
                  <c:v>45819</c:v>
                </c:pt>
                <c:pt idx="52">
                  <c:v>45833</c:v>
                </c:pt>
              </c:numCache>
            </c:numRef>
          </c:xVal>
          <c:yVal>
            <c:numLit>
              <c:formatCode>General</c:formatCode>
              <c:ptCount val="53"/>
              <c:pt idx="0">
                <c:v>1.5</c:v>
              </c:pt>
              <c:pt idx="1">
                <c:v>2.5</c:v>
              </c:pt>
              <c:pt idx="2">
                <c:v>3.5</c:v>
              </c:pt>
              <c:pt idx="3">
                <c:v>4.5</c:v>
              </c:pt>
              <c:pt idx="4">
                <c:v>5.5</c:v>
              </c:pt>
              <c:pt idx="5">
                <c:v>6.5</c:v>
              </c:pt>
              <c:pt idx="6">
                <c:v>7.5</c:v>
              </c:pt>
              <c:pt idx="7">
                <c:v>8.5</c:v>
              </c:pt>
              <c:pt idx="8">
                <c:v>9.5</c:v>
              </c:pt>
              <c:pt idx="9">
                <c:v>10.5</c:v>
              </c:pt>
              <c:pt idx="10">
                <c:v>11.5</c:v>
              </c:pt>
              <c:pt idx="11">
                <c:v>12.5</c:v>
              </c:pt>
              <c:pt idx="12">
                <c:v>13.5</c:v>
              </c:pt>
              <c:pt idx="13">
                <c:v>14.5</c:v>
              </c:pt>
              <c:pt idx="14">
                <c:v>15.5</c:v>
              </c:pt>
              <c:pt idx="15">
                <c:v>16.5</c:v>
              </c:pt>
              <c:pt idx="16">
                <c:v>17.5</c:v>
              </c:pt>
              <c:pt idx="17">
                <c:v>18.5</c:v>
              </c:pt>
              <c:pt idx="18">
                <c:v>19.5</c:v>
              </c:pt>
              <c:pt idx="19">
                <c:v>20.5</c:v>
              </c:pt>
              <c:pt idx="20">
                <c:v>21.5</c:v>
              </c:pt>
              <c:pt idx="21">
                <c:v>22.5</c:v>
              </c:pt>
              <c:pt idx="22">
                <c:v>23.5</c:v>
              </c:pt>
              <c:pt idx="23">
                <c:v>24.5</c:v>
              </c:pt>
              <c:pt idx="24">
                <c:v>25.5</c:v>
              </c:pt>
              <c:pt idx="25">
                <c:v>26.5</c:v>
              </c:pt>
              <c:pt idx="26">
                <c:v>27.5</c:v>
              </c:pt>
              <c:pt idx="27">
                <c:v>28.5</c:v>
              </c:pt>
              <c:pt idx="28">
                <c:v>29.5</c:v>
              </c:pt>
              <c:pt idx="29">
                <c:v>30.5</c:v>
              </c:pt>
              <c:pt idx="30">
                <c:v>31.5</c:v>
              </c:pt>
              <c:pt idx="31">
                <c:v>32.5</c:v>
              </c:pt>
              <c:pt idx="32">
                <c:v>33.5</c:v>
              </c:pt>
              <c:pt idx="33">
                <c:v>34.5</c:v>
              </c:pt>
              <c:pt idx="34">
                <c:v>35.5</c:v>
              </c:pt>
              <c:pt idx="35">
                <c:v>36.5</c:v>
              </c:pt>
              <c:pt idx="36">
                <c:v>37.5</c:v>
              </c:pt>
              <c:pt idx="37">
                <c:v>38.5</c:v>
              </c:pt>
              <c:pt idx="38">
                <c:v>39.5</c:v>
              </c:pt>
              <c:pt idx="39">
                <c:v>40.5</c:v>
              </c:pt>
              <c:pt idx="40">
                <c:v>41.5</c:v>
              </c:pt>
              <c:pt idx="41">
                <c:v>42.5</c:v>
              </c:pt>
              <c:pt idx="42">
                <c:v>43.5</c:v>
              </c:pt>
              <c:pt idx="43">
                <c:v>44.5</c:v>
              </c:pt>
              <c:pt idx="44">
                <c:v>45.5</c:v>
              </c:pt>
              <c:pt idx="45">
                <c:v>46.5</c:v>
              </c:pt>
              <c:pt idx="46">
                <c:v>47.5</c:v>
              </c:pt>
              <c:pt idx="47">
                <c:v>48.5</c:v>
              </c:pt>
              <c:pt idx="48">
                <c:v>49.5</c:v>
              </c:pt>
              <c:pt idx="49">
                <c:v>50.5</c:v>
              </c:pt>
              <c:pt idx="50">
                <c:v>51.5</c:v>
              </c:pt>
              <c:pt idx="51">
                <c:v>52.5</c:v>
              </c:pt>
              <c:pt idx="52">
                <c:v>53.5</c:v>
              </c:pt>
            </c:numLit>
          </c:yVal>
          <c:smooth val="0"/>
          <c:extLst>
            <c:ext xmlns:c15="http://schemas.microsoft.com/office/drawing/2012/chart" uri="{02D57815-91ED-43cb-92C2-25804820EDAC}">
              <c15:datalabelsRange>
                <c15:f>WorkSchedule!$D$12:$D$64</c15:f>
                <c15:dlblRangeCache>
                  <c:ptCount val="53"/>
                  <c:pt idx="0">
                    <c:v>Project Setup</c:v>
                  </c:pt>
                  <c:pt idx="1">
                    <c:v>Project Charter</c:v>
                  </c:pt>
                  <c:pt idx="2">
                    <c:v>BU's Requirement</c:v>
                  </c:pt>
                  <c:pt idx="3">
                    <c:v>Initial Analysis</c:v>
                  </c:pt>
                  <c:pt idx="4">
                    <c:v>Ease of Implementation</c:v>
                  </c:pt>
                  <c:pt idx="5">
                    <c:v>Project Approval</c:v>
                  </c:pt>
                  <c:pt idx="6">
                    <c:v>STIP &amp; VPTL &amp; VRSM Testing</c:v>
                  </c:pt>
                  <c:pt idx="7">
                    <c:v>VSRM - Credit Portfolio</c:v>
                  </c:pt>
                  <c:pt idx="8">
                    <c:v>VSRM R1</c:v>
                  </c:pt>
                  <c:pt idx="9">
                    <c:v>VSRM R2</c:v>
                  </c:pt>
                  <c:pt idx="10">
                    <c:v>VSRM R3</c:v>
                  </c:pt>
                  <c:pt idx="11">
                    <c:v>VSRM R4</c:v>
                  </c:pt>
                  <c:pt idx="12">
                    <c:v>VSRM R5</c:v>
                  </c:pt>
                  <c:pt idx="13">
                    <c:v>VSRM R6</c:v>
                  </c:pt>
                  <c:pt idx="14">
                    <c:v>VSRM R7</c:v>
                  </c:pt>
                  <c:pt idx="15">
                    <c:v>VSRM R8</c:v>
                  </c:pt>
                  <c:pt idx="16">
                    <c:v>VSRM R9</c:v>
                  </c:pt>
                  <c:pt idx="17">
                    <c:v>VSRM R10</c:v>
                  </c:pt>
                  <c:pt idx="18">
                    <c:v>VSRM R11</c:v>
                  </c:pt>
                  <c:pt idx="19">
                    <c:v>VSRM R12</c:v>
                  </c:pt>
                  <c:pt idx="20">
                    <c:v>STIP Optimization</c:v>
                  </c:pt>
                  <c:pt idx="21">
                    <c:v>Kick-Off meeting</c:v>
                  </c:pt>
                  <c:pt idx="22">
                    <c:v>Recom.</c:v>
                  </c:pt>
                  <c:pt idx="23">
                    <c:v>VPTL – Credit &amp; Debit</c:v>
                  </c:pt>
                  <c:pt idx="24">
                    <c:v>Kick-Off meeting</c:v>
                  </c:pt>
                  <c:pt idx="25">
                    <c:v>2-week testing (Credit)</c:v>
                  </c:pt>
                  <c:pt idx="26">
                    <c:v>2-week testing (Debit)</c:v>
                  </c:pt>
                  <c:pt idx="27">
                    <c:v>Recom. (Credit)</c:v>
                  </c:pt>
                  <c:pt idx="28">
                    <c:v>Recom. (Debit)</c:v>
                  </c:pt>
                  <c:pt idx="29">
                    <c:v>Enterprise Fraud Mgmt.</c:v>
                  </c:pt>
                  <c:pt idx="30">
                    <c:v>Kick-Off Meeting</c:v>
                  </c:pt>
                  <c:pt idx="31">
                    <c:v>WS1</c:v>
                  </c:pt>
                  <c:pt idx="32">
                    <c:v>WS2</c:v>
                  </c:pt>
                  <c:pt idx="33">
                    <c:v>Final Delivery</c:v>
                  </c:pt>
                  <c:pt idx="34">
                    <c:v>Fraud Risk Analytics </c:v>
                  </c:pt>
                  <c:pt idx="35">
                    <c:v>Kick-Off meetings</c:v>
                  </c:pt>
                  <c:pt idx="36">
                    <c:v>Metric shortlisting</c:v>
                  </c:pt>
                  <c:pt idx="37">
                    <c:v>Workshop</c:v>
                  </c:pt>
                  <c:pt idx="38">
                    <c:v>Visa's Deliverables</c:v>
                  </c:pt>
                  <c:pt idx="39">
                    <c:v>Master Table Design</c:v>
                  </c:pt>
                  <c:pt idx="40">
                    <c:v>Dashboard Design</c:v>
                  </c:pt>
                  <c:pt idx="41">
                    <c:v>Upskilling Workshops</c:v>
                  </c:pt>
                  <c:pt idx="42">
                    <c:v>Kick-Off meeting</c:v>
                  </c:pt>
                  <c:pt idx="43">
                    <c:v>WS1 (4 mods)</c:v>
                  </c:pt>
                  <c:pt idx="44">
                    <c:v>WS2 (1 mod)</c:v>
                  </c:pt>
                  <c:pt idx="45">
                    <c:v>WS3 (5 mods)</c:v>
                  </c:pt>
                  <c:pt idx="46">
                    <c:v>WS4 (5 mods)</c:v>
                  </c:pt>
                  <c:pt idx="47">
                    <c:v>VCAS (Authentication)</c:v>
                  </c:pt>
                  <c:pt idx="48">
                    <c:v>Biz Feasibility #1</c:v>
                  </c:pt>
                  <c:pt idx="49">
                    <c:v>Tech. Feasibility</c:v>
                  </c:pt>
                  <c:pt idx="50">
                    <c:v>Visa's assessment</c:v>
                  </c:pt>
                  <c:pt idx="51">
                    <c:v>Biz Feasibility #2</c:v>
                  </c:pt>
                  <c:pt idx="52">
                    <c:v>IT investment (prep)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3B-617B-498F-B776-CC25393326CF}"/>
            </c:ext>
          </c:extLst>
        </c:ser>
        <c:ser>
          <c:idx val="7"/>
          <c:order val="7"/>
          <c:tx>
            <c:v>We are here!!</c:v>
          </c:tx>
          <c:spPr>
            <a:ln w="19050">
              <a:solidFill>
                <a:srgbClr val="FA0000"/>
              </a:solidFill>
            </a:ln>
          </c:spPr>
          <c:marker>
            <c:symbol val="none"/>
          </c:marker>
          <c:xVal>
            <c:numRef>
              <c:f>(WorkSchedule!$C$5,WorkSchedule!$C$5)</c:f>
              <c:numCache>
                <c:formatCode>m/d/yyyy</c:formatCode>
                <c:ptCount val="2"/>
                <c:pt idx="0">
                  <c:v>45831</c:v>
                </c:pt>
                <c:pt idx="1">
                  <c:v>45831</c:v>
                </c:pt>
              </c:numCache>
            </c:numRef>
          </c:xVal>
          <c:yVal>
            <c:numLit>
              <c:formatCode>General</c:formatCode>
              <c:ptCount val="2"/>
              <c:pt idx="0">
                <c:v>0</c:v>
              </c:pt>
              <c:pt idx="1">
                <c:v>54</c:v>
              </c:pt>
            </c:numLit>
          </c:yVal>
          <c:smooth val="0"/>
          <c:extLst>
            <c:ext xmlns:c16="http://schemas.microsoft.com/office/drawing/2014/chart" uri="{C3380CC4-5D6E-409C-BE32-E72D297353CC}">
              <c16:uniqueId val="{00000071-617B-498F-B776-CC253933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5904943"/>
        <c:axId val="315904463"/>
      </c:scatterChart>
      <c:catAx>
        <c:axId val="315898703"/>
        <c:scaling>
          <c:orientation val="maxMin"/>
        </c:scaling>
        <c:delete val="0"/>
        <c:axPos val="l"/>
        <c:title>
          <c:tx>
            <c:rich>
              <a:bodyPr/>
              <a:lstStyle/>
              <a:p>
                <a:pPr>
                  <a:defRPr sz="1000" b="1">
                    <a:solidFill>
                      <a:srgbClr val="000000"/>
                    </a:solidFill>
                    <a:latin typeface="Calibri" panose="020F0502020204030204" pitchFamily="34" charset="0"/>
                  </a:defRPr>
                </a:pPr>
                <a:r>
                  <a:rPr lang="en-US" sz="1000" b="1">
                    <a:solidFill>
                      <a:srgbClr val="000000"/>
                    </a:solidFill>
                    <a:latin typeface="Calibri" panose="020F0502020204030204" pitchFamily="34" charset="0"/>
                  </a:rPr>
                  <a:t>Task IDs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5889583"/>
        <c:crosses val="autoZero"/>
        <c:auto val="1"/>
        <c:lblAlgn val="ctr"/>
        <c:lblOffset val="100"/>
        <c:noMultiLvlLbl val="0"/>
      </c:catAx>
      <c:valAx>
        <c:axId val="315889583"/>
        <c:scaling>
          <c:orientation val="minMax"/>
          <c:max val="46054"/>
          <c:min val="45597"/>
        </c:scaling>
        <c:delete val="0"/>
        <c:axPos val="t"/>
        <c:minorGridlines>
          <c:spPr>
            <a:ln w="6350">
              <a:solidFill>
                <a:srgbClr val="BFBFBF"/>
              </a:solidFill>
            </a:ln>
          </c:spPr>
        </c:minorGridlines>
        <c:numFmt formatCode="[$-409]mmm\-yy;@" sourceLinked="0"/>
        <c:majorTickMark val="out"/>
        <c:minorTickMark val="none"/>
        <c:tickLblPos val="nextTo"/>
        <c:txPr>
          <a:bodyPr/>
          <a:lstStyle/>
          <a:p>
            <a:pPr>
              <a:defRPr sz="100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315898703"/>
        <c:crosses val="autoZero"/>
        <c:crossBetween val="between"/>
        <c:majorUnit val="61.36"/>
        <c:minorUnit val="30.68"/>
      </c:valAx>
      <c:valAx>
        <c:axId val="315904463"/>
        <c:scaling>
          <c:orientation val="maxMin"/>
          <c:max val="54"/>
          <c:min val="1"/>
        </c:scaling>
        <c:delete val="1"/>
        <c:axPos val="r"/>
        <c:numFmt formatCode="General" sourceLinked="1"/>
        <c:majorTickMark val="out"/>
        <c:minorTickMark val="none"/>
        <c:tickLblPos val="nextTo"/>
        <c:crossAx val="315904943"/>
        <c:crosses val="max"/>
        <c:crossBetween val="midCat"/>
      </c:valAx>
      <c:valAx>
        <c:axId val="315904943"/>
        <c:scaling>
          <c:orientation val="minMax"/>
        </c:scaling>
        <c:delete val="1"/>
        <c:axPos val="t"/>
        <c:numFmt formatCode="m/d/yyyy" sourceLinked="1"/>
        <c:majorTickMark val="out"/>
        <c:minorTickMark val="none"/>
        <c:tickLblPos val="nextTo"/>
        <c:crossAx val="315904463"/>
        <c:crosses val="autoZero"/>
        <c:crossBetween val="midCat"/>
      </c:valAx>
      <c:spPr>
        <a:ln w="6350">
          <a:solidFill>
            <a:srgbClr val="BFBFBF"/>
          </a:solidFill>
        </a:ln>
      </c:spPr>
    </c:plotArea>
    <c:legend>
      <c:legendPos val="t"/>
      <c:legendEntry>
        <c:idx val="0"/>
        <c:delete val="1"/>
      </c:legendEntry>
      <c:legendEntry>
        <c:idx val="5"/>
        <c:delete val="1"/>
      </c:legendEntry>
      <c:legendEntry>
        <c:idx val="6"/>
        <c:delete val="1"/>
      </c:legendEntry>
      <c:overlay val="0"/>
    </c:legend>
    <c:plotVisOnly val="0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12700" cap="flat" cmpd="sng" algn="ctr">
      <a:noFill/>
      <a:prstDash val="solid"/>
      <a:round/>
    </a:ln>
    <a:effectLst/>
    <a:extLst>
      <a:ext uri="{909E8E84-426E-40DD-AFC4-6F175D3DCCD1}">
        <a14:hiddenFill xmlns:a14="http://schemas.microsoft.com/office/drawing/2010/main">
          <a:solidFill>
            <a:sysClr val="window" lastClr="FFFFFF"/>
          </a:solidFill>
        </a14:hiddenFill>
      </a:ext>
      <a:ext uri="{91240B29-F687-4F45-9708-019B960494DF}">
        <a14:hiddenLine xmlns:a14="http://schemas.microsoft.com/office/drawing/2010/main" w="12700" cap="flat" cmpd="sng" algn="ctr">
          <a:solidFill>
            <a:sysClr val="windowText" lastClr="000000">
              <a:tint val="75000"/>
            </a:sysClr>
          </a:solidFill>
          <a:prstDash val="solid"/>
          <a:round/>
        </a14:hiddenLine>
      </a:ext>
    </a:extLst>
  </c:spPr>
  <c:printSettings>
    <c:headerFooter/>
    <c:pageMargins b="0.75" l="0.7" r="0.7" t="0.75" header="0.3" footer="0.3"/>
    <c:pageSetup/>
  </c:printSettings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6696CDB-57C4-4C84-8E38-B5449ABE919A}">
  <sheetPr codeName="Chart3"/>
  <sheetViews>
    <sheetView zoomScale="174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84138" cy="6043448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D50AEE5B-22CD-5B27-388B-FA9579A13D4A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32</xdr:col>
      <xdr:colOff>0</xdr:colOff>
      <xdr:row>8</xdr:row>
      <xdr:rowOff>0</xdr:rowOff>
    </xdr:from>
    <xdr:to>
      <xdr:col>44</xdr:col>
      <xdr:colOff>304800</xdr:colOff>
      <xdr:row>64</xdr:row>
      <xdr:rowOff>0</xdr:rowOff>
    </xdr:to>
    <xdr:graphicFrame macro="">
      <xdr:nvGraphicFramePr>
        <xdr:cNvPr id="3" name="GanttChart">
          <a:extLst>
            <a:ext uri="{FF2B5EF4-FFF2-40B4-BE49-F238E27FC236}">
              <a16:creationId xmlns:a16="http://schemas.microsoft.com/office/drawing/2014/main" id="{CCFC1057-C9E1-0FCD-219D-7A5BA143228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C81192-5917-4004-9676-2112587F148C}">
  <sheetPr codeName="Sheet2"/>
  <dimension ref="A1:B106"/>
  <sheetViews>
    <sheetView showGridLines="0" topLeftCell="A26" zoomScaleNormal="100" workbookViewId="0">
      <selection activeCell="N71" sqref="N71"/>
    </sheetView>
  </sheetViews>
  <sheetFormatPr defaultColWidth="8" defaultRowHeight="13" x14ac:dyDescent="0.35"/>
  <cols>
    <col min="1" max="1" width="42.90625" style="1" bestFit="1" customWidth="1"/>
    <col min="2" max="2" width="9.08984375" style="1" bestFit="1" customWidth="1"/>
    <col min="3" max="16384" width="8" style="1"/>
  </cols>
  <sheetData>
    <row r="1" spans="1:2" ht="20.25" customHeight="1" x14ac:dyDescent="0.35">
      <c r="A1" s="38" t="s">
        <v>0</v>
      </c>
      <c r="B1" s="38" t="s">
        <v>1</v>
      </c>
    </row>
    <row r="2" spans="1:2" ht="15" customHeight="1" x14ac:dyDescent="0.35">
      <c r="A2" s="39" t="s">
        <v>2</v>
      </c>
      <c r="B2" s="40">
        <v>44564</v>
      </c>
    </row>
    <row r="3" spans="1:2" ht="15" customHeight="1" x14ac:dyDescent="0.35">
      <c r="A3" s="39" t="s">
        <v>3</v>
      </c>
      <c r="B3" s="41">
        <v>44608</v>
      </c>
    </row>
    <row r="4" spans="1:2" ht="15" customHeight="1" x14ac:dyDescent="0.35">
      <c r="A4" s="39" t="s">
        <v>4</v>
      </c>
      <c r="B4" s="40">
        <v>44657</v>
      </c>
    </row>
    <row r="5" spans="1:2" ht="15" customHeight="1" x14ac:dyDescent="0.35">
      <c r="A5" s="39" t="s">
        <v>5</v>
      </c>
      <c r="B5" s="41">
        <v>44664</v>
      </c>
    </row>
    <row r="6" spans="1:2" ht="15" customHeight="1" x14ac:dyDescent="0.35">
      <c r="A6" s="39" t="s">
        <v>5</v>
      </c>
      <c r="B6" s="40">
        <v>44665</v>
      </c>
    </row>
    <row r="7" spans="1:2" ht="15" customHeight="1" x14ac:dyDescent="0.35">
      <c r="A7" s="42" t="s">
        <v>5</v>
      </c>
      <c r="B7" s="41">
        <v>44666</v>
      </c>
    </row>
    <row r="8" spans="1:2" ht="15" customHeight="1" x14ac:dyDescent="0.35">
      <c r="A8" s="43" t="s">
        <v>6</v>
      </c>
      <c r="B8" s="40">
        <v>44683</v>
      </c>
    </row>
    <row r="9" spans="1:2" ht="15" customHeight="1" x14ac:dyDescent="0.35">
      <c r="A9" s="39" t="s">
        <v>7</v>
      </c>
      <c r="B9" s="41">
        <v>44685</v>
      </c>
    </row>
    <row r="10" spans="1:2" ht="15" customHeight="1" x14ac:dyDescent="0.35">
      <c r="A10" s="39" t="s">
        <v>8</v>
      </c>
      <c r="B10" s="40">
        <v>44697</v>
      </c>
    </row>
    <row r="11" spans="1:2" ht="15" customHeight="1" x14ac:dyDescent="0.35">
      <c r="A11" s="39" t="s">
        <v>9</v>
      </c>
      <c r="B11" s="41">
        <v>44715</v>
      </c>
    </row>
    <row r="12" spans="1:2" ht="15" customHeight="1" x14ac:dyDescent="0.35">
      <c r="A12" s="39" t="s">
        <v>10</v>
      </c>
      <c r="B12" s="40">
        <v>44755</v>
      </c>
    </row>
    <row r="13" spans="1:2" ht="15" customHeight="1" x14ac:dyDescent="0.35">
      <c r="A13" s="39" t="s">
        <v>11</v>
      </c>
      <c r="B13" s="41">
        <v>44770</v>
      </c>
    </row>
    <row r="14" spans="1:2" ht="15" customHeight="1" x14ac:dyDescent="0.35">
      <c r="A14" s="39" t="s">
        <v>12</v>
      </c>
      <c r="B14" s="40">
        <v>44771</v>
      </c>
    </row>
    <row r="15" spans="1:2" ht="15" customHeight="1" x14ac:dyDescent="0.35">
      <c r="A15" s="39" t="s">
        <v>13</v>
      </c>
      <c r="B15" s="41">
        <v>44785</v>
      </c>
    </row>
    <row r="16" spans="1:2" ht="15" customHeight="1" x14ac:dyDescent="0.35">
      <c r="A16" s="39" t="s">
        <v>14</v>
      </c>
      <c r="B16" s="40">
        <v>44841</v>
      </c>
    </row>
    <row r="17" spans="1:2" ht="15" customHeight="1" x14ac:dyDescent="0.35">
      <c r="A17" s="39" t="s">
        <v>15</v>
      </c>
      <c r="B17" s="40">
        <v>44847</v>
      </c>
    </row>
    <row r="18" spans="1:2" ht="15" customHeight="1" x14ac:dyDescent="0.35">
      <c r="A18" s="39" t="s">
        <v>16</v>
      </c>
      <c r="B18" s="41">
        <v>44848</v>
      </c>
    </row>
    <row r="19" spans="1:2" ht="15" customHeight="1" x14ac:dyDescent="0.35">
      <c r="A19" s="39" t="s">
        <v>17</v>
      </c>
      <c r="B19" s="40">
        <v>44858</v>
      </c>
    </row>
    <row r="20" spans="1:2" ht="15" customHeight="1" x14ac:dyDescent="0.35">
      <c r="A20" s="39" t="s">
        <v>18</v>
      </c>
      <c r="B20" s="41">
        <v>44900</v>
      </c>
    </row>
    <row r="21" spans="1:2" ht="15" customHeight="1" x14ac:dyDescent="0.35">
      <c r="A21" s="39" t="s">
        <v>19</v>
      </c>
      <c r="B21" s="40">
        <v>44907</v>
      </c>
    </row>
    <row r="22" spans="1:2" ht="15" customHeight="1" x14ac:dyDescent="0.35">
      <c r="A22" s="39" t="s">
        <v>20</v>
      </c>
      <c r="B22" s="41">
        <v>44928</v>
      </c>
    </row>
    <row r="23" spans="1:2" ht="15" customHeight="1" x14ac:dyDescent="0.35">
      <c r="A23" s="39" t="s">
        <v>21</v>
      </c>
      <c r="B23" s="41">
        <v>44991</v>
      </c>
    </row>
    <row r="24" spans="1:2" ht="15" customHeight="1" x14ac:dyDescent="0.35">
      <c r="A24" s="39" t="s">
        <v>4</v>
      </c>
      <c r="B24" s="41">
        <v>45022</v>
      </c>
    </row>
    <row r="25" spans="1:2" ht="15" customHeight="1" x14ac:dyDescent="0.35">
      <c r="A25" s="39" t="s">
        <v>5</v>
      </c>
      <c r="B25" s="41">
        <v>45029</v>
      </c>
    </row>
    <row r="26" spans="1:2" ht="15" customHeight="1" x14ac:dyDescent="0.35">
      <c r="A26" s="39" t="s">
        <v>5</v>
      </c>
      <c r="B26" s="41">
        <v>45030</v>
      </c>
    </row>
    <row r="27" spans="1:2" ht="15" customHeight="1" x14ac:dyDescent="0.35">
      <c r="A27" s="39" t="s">
        <v>22</v>
      </c>
      <c r="B27" s="41">
        <v>45047</v>
      </c>
    </row>
    <row r="28" spans="1:2" ht="15" customHeight="1" x14ac:dyDescent="0.35">
      <c r="A28" s="39" t="s">
        <v>23</v>
      </c>
      <c r="B28" s="41">
        <v>45050</v>
      </c>
    </row>
    <row r="29" spans="1:2" ht="15" customHeight="1" x14ac:dyDescent="0.35">
      <c r="A29" s="39" t="s">
        <v>24</v>
      </c>
      <c r="B29" s="41">
        <v>45082</v>
      </c>
    </row>
    <row r="30" spans="1:2" ht="15" customHeight="1" x14ac:dyDescent="0.35">
      <c r="A30" s="39" t="s">
        <v>11</v>
      </c>
      <c r="B30" s="41">
        <v>45135</v>
      </c>
    </row>
    <row r="31" spans="1:2" ht="15" customHeight="1" x14ac:dyDescent="0.35">
      <c r="A31" s="39" t="s">
        <v>25</v>
      </c>
      <c r="B31" s="41">
        <v>45139</v>
      </c>
    </row>
    <row r="32" spans="1:2" ht="15" customHeight="1" x14ac:dyDescent="0.35">
      <c r="A32" s="39" t="s">
        <v>26</v>
      </c>
      <c r="B32" s="41">
        <v>45152</v>
      </c>
    </row>
    <row r="33" spans="1:2" ht="15" customHeight="1" x14ac:dyDescent="0.35">
      <c r="A33" s="39" t="s">
        <v>15</v>
      </c>
      <c r="B33" s="40">
        <v>45212</v>
      </c>
    </row>
    <row r="34" spans="1:2" ht="15" customHeight="1" x14ac:dyDescent="0.35">
      <c r="A34" s="39" t="s">
        <v>27</v>
      </c>
      <c r="B34" s="41">
        <v>45222</v>
      </c>
    </row>
    <row r="35" spans="1:2" ht="15" customHeight="1" x14ac:dyDescent="0.35">
      <c r="A35" s="39" t="s">
        <v>18</v>
      </c>
      <c r="B35" s="41">
        <v>45265</v>
      </c>
    </row>
    <row r="36" spans="1:2" ht="15" customHeight="1" x14ac:dyDescent="0.35">
      <c r="A36" s="39" t="s">
        <v>19</v>
      </c>
      <c r="B36" s="41">
        <v>45271</v>
      </c>
    </row>
    <row r="37" spans="1:2" ht="15" customHeight="1" x14ac:dyDescent="0.35">
      <c r="A37" s="39" t="s">
        <v>20</v>
      </c>
      <c r="B37" s="41">
        <v>45289</v>
      </c>
    </row>
    <row r="38" spans="1:2" ht="15" customHeight="1" x14ac:dyDescent="0.35">
      <c r="A38" s="39" t="s">
        <v>20</v>
      </c>
      <c r="B38" s="41">
        <v>45292</v>
      </c>
    </row>
    <row r="39" spans="1:2" ht="15" customHeight="1" x14ac:dyDescent="0.35">
      <c r="A39" s="39" t="s">
        <v>21</v>
      </c>
      <c r="B39" s="41">
        <v>45348</v>
      </c>
    </row>
    <row r="40" spans="1:2" ht="15" customHeight="1" x14ac:dyDescent="0.35">
      <c r="A40" s="39" t="s">
        <v>4</v>
      </c>
      <c r="B40" s="41">
        <v>45390</v>
      </c>
    </row>
    <row r="41" spans="1:2" ht="15" customHeight="1" x14ac:dyDescent="0.35">
      <c r="A41" s="39" t="s">
        <v>5</v>
      </c>
      <c r="B41" s="41">
        <v>45394</v>
      </c>
    </row>
    <row r="42" spans="1:2" ht="15" customHeight="1" x14ac:dyDescent="0.35">
      <c r="A42" s="39" t="s">
        <v>5</v>
      </c>
      <c r="B42" s="41">
        <v>45397</v>
      </c>
    </row>
    <row r="43" spans="1:2" ht="15" customHeight="1" x14ac:dyDescent="0.35">
      <c r="A43" s="39" t="s">
        <v>22</v>
      </c>
      <c r="B43" s="41">
        <v>45413</v>
      </c>
    </row>
    <row r="44" spans="1:2" ht="15" customHeight="1" x14ac:dyDescent="0.35">
      <c r="A44" s="39" t="s">
        <v>23</v>
      </c>
      <c r="B44" s="41">
        <v>45418</v>
      </c>
    </row>
    <row r="45" spans="1:2" ht="15" customHeight="1" x14ac:dyDescent="0.35">
      <c r="A45" s="39" t="s">
        <v>24</v>
      </c>
      <c r="B45" s="41">
        <v>45434</v>
      </c>
    </row>
    <row r="46" spans="1:2" ht="15" customHeight="1" x14ac:dyDescent="0.35">
      <c r="A46" s="39" t="s">
        <v>9</v>
      </c>
      <c r="B46" s="41">
        <v>45446</v>
      </c>
    </row>
    <row r="47" spans="1:2" ht="15" customHeight="1" x14ac:dyDescent="0.35">
      <c r="A47" s="39" t="s">
        <v>25</v>
      </c>
      <c r="B47" s="41">
        <v>45495</v>
      </c>
    </row>
    <row r="48" spans="1:2" ht="15" customHeight="1" x14ac:dyDescent="0.35">
      <c r="A48" s="39" t="s">
        <v>11</v>
      </c>
      <c r="B48" s="41">
        <v>45502</v>
      </c>
    </row>
    <row r="49" spans="1:2" ht="15" customHeight="1" x14ac:dyDescent="0.35">
      <c r="A49" s="39" t="s">
        <v>26</v>
      </c>
      <c r="B49" s="41">
        <v>45516</v>
      </c>
    </row>
    <row r="50" spans="1:2" ht="15" customHeight="1" x14ac:dyDescent="0.35">
      <c r="A50" s="39" t="s">
        <v>15</v>
      </c>
      <c r="B50" s="41">
        <v>45579</v>
      </c>
    </row>
    <row r="51" spans="1:2" ht="15" customHeight="1" x14ac:dyDescent="0.35">
      <c r="A51" s="39" t="s">
        <v>27</v>
      </c>
      <c r="B51" s="41">
        <v>45588</v>
      </c>
    </row>
    <row r="52" spans="1:2" ht="15" customHeight="1" x14ac:dyDescent="0.35">
      <c r="A52" s="39" t="s">
        <v>28</v>
      </c>
      <c r="B52" s="41">
        <v>45590</v>
      </c>
    </row>
    <row r="53" spans="1:2" ht="15" customHeight="1" x14ac:dyDescent="0.35">
      <c r="A53" s="39" t="s">
        <v>18</v>
      </c>
      <c r="B53" s="41">
        <v>45631</v>
      </c>
    </row>
    <row r="54" spans="1:2" ht="15" customHeight="1" x14ac:dyDescent="0.35">
      <c r="A54" s="39" t="s">
        <v>19</v>
      </c>
      <c r="B54" s="41">
        <v>45636</v>
      </c>
    </row>
    <row r="55" spans="1:2" ht="15" customHeight="1" x14ac:dyDescent="0.35">
      <c r="A55" s="39" t="s">
        <v>20</v>
      </c>
      <c r="B55" s="41">
        <v>45657</v>
      </c>
    </row>
    <row r="56" spans="1:2" ht="15" customHeight="1" x14ac:dyDescent="0.35">
      <c r="A56" s="39" t="s">
        <v>29</v>
      </c>
      <c r="B56" s="41">
        <v>45658</v>
      </c>
    </row>
    <row r="57" spans="1:2" ht="15" customHeight="1" x14ac:dyDescent="0.35">
      <c r="A57" s="39" t="s">
        <v>21</v>
      </c>
      <c r="B57" s="41">
        <v>45700</v>
      </c>
    </row>
    <row r="58" spans="1:2" ht="15" customHeight="1" x14ac:dyDescent="0.35">
      <c r="A58" s="39" t="s">
        <v>30</v>
      </c>
      <c r="B58" s="41">
        <v>45754</v>
      </c>
    </row>
    <row r="59" spans="1:2" ht="15" customHeight="1" x14ac:dyDescent="0.35">
      <c r="A59" s="39" t="s">
        <v>5</v>
      </c>
      <c r="B59" s="41">
        <v>45761</v>
      </c>
    </row>
    <row r="60" spans="1:2" ht="15" customHeight="1" x14ac:dyDescent="0.35">
      <c r="A60" s="39" t="s">
        <v>5</v>
      </c>
      <c r="B60" s="41">
        <v>45762</v>
      </c>
    </row>
    <row r="61" spans="1:2" ht="15" customHeight="1" x14ac:dyDescent="0.35">
      <c r="A61" s="39" t="s">
        <v>22</v>
      </c>
      <c r="B61" s="41">
        <v>45778</v>
      </c>
    </row>
    <row r="62" spans="1:2" ht="15" customHeight="1" x14ac:dyDescent="0.35">
      <c r="A62" s="39" t="s">
        <v>31</v>
      </c>
      <c r="B62" s="41">
        <v>45782</v>
      </c>
    </row>
    <row r="63" spans="1:2" ht="15" customHeight="1" x14ac:dyDescent="0.35">
      <c r="A63" s="39" t="s">
        <v>32</v>
      </c>
      <c r="B63" s="41">
        <v>45789</v>
      </c>
    </row>
    <row r="64" spans="1:2" ht="15" customHeight="1" x14ac:dyDescent="0.35">
      <c r="A64" s="39" t="s">
        <v>33</v>
      </c>
      <c r="B64" s="41">
        <v>45810</v>
      </c>
    </row>
    <row r="65" spans="1:2" ht="15" customHeight="1" x14ac:dyDescent="0.35">
      <c r="A65" s="39" t="s">
        <v>9</v>
      </c>
      <c r="B65" s="41">
        <v>45811</v>
      </c>
    </row>
    <row r="66" spans="1:2" ht="15" customHeight="1" x14ac:dyDescent="0.35">
      <c r="A66" s="39" t="s">
        <v>25</v>
      </c>
      <c r="B66" s="41">
        <v>45848</v>
      </c>
    </row>
    <row r="67" spans="1:2" ht="15" customHeight="1" x14ac:dyDescent="0.35">
      <c r="A67" s="39" t="s">
        <v>11</v>
      </c>
      <c r="B67" s="41">
        <v>45866</v>
      </c>
    </row>
    <row r="68" spans="1:2" ht="15" customHeight="1" x14ac:dyDescent="0.35">
      <c r="A68" s="39" t="s">
        <v>33</v>
      </c>
      <c r="B68" s="41">
        <v>45880</v>
      </c>
    </row>
    <row r="69" spans="1:2" ht="15" customHeight="1" x14ac:dyDescent="0.35">
      <c r="A69" s="39" t="s">
        <v>26</v>
      </c>
      <c r="B69" s="41">
        <v>45881</v>
      </c>
    </row>
    <row r="70" spans="1:2" ht="15" customHeight="1" x14ac:dyDescent="0.35">
      <c r="A70" s="39" t="s">
        <v>15</v>
      </c>
      <c r="B70" s="41">
        <v>45943</v>
      </c>
    </row>
    <row r="71" spans="1:2" ht="15" customHeight="1" x14ac:dyDescent="0.35">
      <c r="A71" s="39" t="s">
        <v>27</v>
      </c>
      <c r="B71" s="41">
        <v>45953</v>
      </c>
    </row>
    <row r="72" spans="1:2" ht="15" customHeight="1" x14ac:dyDescent="0.35">
      <c r="A72" s="39" t="s">
        <v>18</v>
      </c>
      <c r="B72" s="41">
        <v>45996</v>
      </c>
    </row>
    <row r="73" spans="1:2" ht="15" customHeight="1" x14ac:dyDescent="0.35">
      <c r="A73" s="39" t="s">
        <v>34</v>
      </c>
      <c r="B73" s="41">
        <v>46001</v>
      </c>
    </row>
    <row r="74" spans="1:2" ht="15" customHeight="1" x14ac:dyDescent="0.35">
      <c r="A74" s="39" t="s">
        <v>35</v>
      </c>
      <c r="B74" s="41">
        <v>46022</v>
      </c>
    </row>
    <row r="75" spans="1:2" ht="15" customHeight="1" x14ac:dyDescent="0.35"/>
    <row r="76" spans="1:2" ht="15" customHeight="1" x14ac:dyDescent="0.35"/>
    <row r="77" spans="1:2" ht="15" customHeight="1" x14ac:dyDescent="0.35"/>
    <row r="78" spans="1:2" ht="15" customHeight="1" x14ac:dyDescent="0.35"/>
    <row r="79" spans="1:2" ht="15" customHeight="1" x14ac:dyDescent="0.35"/>
    <row r="80" spans="1:2" ht="15" customHeight="1" x14ac:dyDescent="0.35"/>
    <row r="81" s="1" customFormat="1" ht="15" customHeight="1" x14ac:dyDescent="0.35"/>
    <row r="82" s="1" customFormat="1" ht="15" customHeight="1" x14ac:dyDescent="0.35"/>
    <row r="83" s="1" customFormat="1" ht="15" customHeight="1" x14ac:dyDescent="0.35"/>
    <row r="84" s="1" customFormat="1" ht="15" customHeight="1" x14ac:dyDescent="0.35"/>
    <row r="85" s="1" customFormat="1" ht="15" customHeight="1" x14ac:dyDescent="0.35"/>
    <row r="86" s="1" customFormat="1" ht="15" customHeight="1" x14ac:dyDescent="0.35"/>
    <row r="87" s="1" customFormat="1" ht="15" customHeight="1" x14ac:dyDescent="0.35"/>
    <row r="88" s="1" customFormat="1" ht="15" customHeight="1" x14ac:dyDescent="0.35"/>
    <row r="89" s="1" customFormat="1" ht="15" customHeight="1" x14ac:dyDescent="0.35"/>
    <row r="90" s="1" customFormat="1" ht="15" customHeight="1" x14ac:dyDescent="0.35"/>
    <row r="91" s="1" customFormat="1" ht="15" customHeight="1" x14ac:dyDescent="0.35"/>
    <row r="92" s="1" customFormat="1" ht="15" customHeight="1" x14ac:dyDescent="0.35"/>
    <row r="93" s="1" customFormat="1" ht="15" customHeight="1" x14ac:dyDescent="0.35"/>
    <row r="94" s="1" customFormat="1" ht="15" customHeight="1" x14ac:dyDescent="0.35"/>
    <row r="95" s="1" customFormat="1" ht="15" customHeight="1" x14ac:dyDescent="0.35"/>
    <row r="96" s="1" customFormat="1" ht="15" customHeight="1" x14ac:dyDescent="0.35"/>
    <row r="97" s="1" customFormat="1" ht="15" customHeight="1" x14ac:dyDescent="0.35"/>
    <row r="98" s="1" customFormat="1" ht="15" customHeight="1" x14ac:dyDescent="0.35"/>
    <row r="99" s="1" customFormat="1" ht="15" customHeight="1" x14ac:dyDescent="0.35"/>
    <row r="100" s="1" customFormat="1" ht="15" customHeight="1" x14ac:dyDescent="0.35"/>
    <row r="101" s="1" customFormat="1" ht="15" customHeight="1" x14ac:dyDescent="0.35"/>
    <row r="102" s="1" customFormat="1" ht="15" customHeight="1" x14ac:dyDescent="0.35"/>
    <row r="103" s="1" customFormat="1" ht="15" customHeight="1" x14ac:dyDescent="0.35"/>
    <row r="104" s="1" customFormat="1" ht="15" customHeight="1" x14ac:dyDescent="0.35"/>
    <row r="105" s="1" customFormat="1" ht="15" customHeight="1" x14ac:dyDescent="0.35"/>
    <row r="106" s="1" customFormat="1" ht="15" customHeight="1" x14ac:dyDescent="0.35"/>
  </sheetData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3A38B3-437B-465F-B637-FE617FAF8806}">
  <sheetPr codeName="Sheet7"/>
  <dimension ref="B1:AF64"/>
  <sheetViews>
    <sheetView showGridLines="0" tabSelected="1" zoomScaleNormal="100" workbookViewId="0">
      <selection activeCell="K6" sqref="K6"/>
    </sheetView>
  </sheetViews>
  <sheetFormatPr defaultColWidth="8" defaultRowHeight="13" outlineLevelCol="1" x14ac:dyDescent="0.35"/>
  <cols>
    <col min="1" max="1" width="3.54296875" style="1" customWidth="1"/>
    <col min="2" max="2" width="6.54296875" style="1" customWidth="1"/>
    <col min="3" max="3" width="30.54296875" style="1" customWidth="1"/>
    <col min="4" max="4" width="20.54296875" style="1" customWidth="1"/>
    <col min="5" max="5" width="20.54296875" style="1" hidden="1" customWidth="1" outlineLevel="1"/>
    <col min="6" max="6" width="10.54296875" style="1" customWidth="1" collapsed="1"/>
    <col min="7" max="8" width="7.54296875" style="1" customWidth="1"/>
    <col min="9" max="10" width="10.54296875" style="1" customWidth="1"/>
    <col min="11" max="13" width="7.54296875" style="1" customWidth="1"/>
    <col min="14" max="19" width="7.54296875" style="1" hidden="1" customWidth="1" outlineLevel="1"/>
    <col min="20" max="20" width="7.54296875" style="1" customWidth="1" collapsed="1"/>
    <col min="21" max="21" width="7.54296875" style="1" customWidth="1"/>
    <col min="22" max="31" width="7.54296875" style="1" hidden="1" customWidth="1" outlineLevel="1"/>
    <col min="32" max="32" width="3.54296875" style="1" customWidth="1" collapsed="1"/>
    <col min="33" max="16384" width="8" style="1"/>
  </cols>
  <sheetData>
    <row r="1" spans="2:32" x14ac:dyDescent="0.35">
      <c r="B1" s="1" t="s">
        <v>91</v>
      </c>
    </row>
    <row r="2" spans="2:32" ht="15" customHeight="1" x14ac:dyDescent="0.35">
      <c r="B2" s="23" t="s">
        <v>52</v>
      </c>
    </row>
    <row r="3" spans="2:32" ht="15" customHeight="1" x14ac:dyDescent="0.35">
      <c r="B3" s="25" t="s">
        <v>53</v>
      </c>
      <c r="C3" s="26" t="s">
        <v>177</v>
      </c>
    </row>
    <row r="4" spans="2:32" ht="15" customHeight="1" x14ac:dyDescent="0.35">
      <c r="B4" s="29" t="s">
        <v>54</v>
      </c>
      <c r="C4" s="30" t="s">
        <v>178</v>
      </c>
    </row>
    <row r="5" spans="2:32" ht="15" customHeight="1" x14ac:dyDescent="0.35">
      <c r="B5" s="24" t="s">
        <v>55</v>
      </c>
      <c r="C5" s="27">
        <f ca="1">TODAY()</f>
        <v>45831</v>
      </c>
      <c r="AD5" s="34"/>
    </row>
    <row r="6" spans="2:32" ht="15" customHeight="1" x14ac:dyDescent="0.35">
      <c r="B6" s="24" t="s">
        <v>39</v>
      </c>
      <c r="C6" s="27">
        <f>MIN(I12:J64)</f>
        <v>45667</v>
      </c>
    </row>
    <row r="7" spans="2:32" ht="15" customHeight="1" x14ac:dyDescent="0.35">
      <c r="B7" s="24" t="s">
        <v>51</v>
      </c>
      <c r="C7" s="27">
        <f>MAX(I12:J64)</f>
        <v>46007</v>
      </c>
    </row>
    <row r="8" spans="2:32" ht="15" customHeight="1" x14ac:dyDescent="0.35">
      <c r="B8" s="28" t="s">
        <v>42</v>
      </c>
      <c r="C8" s="33" t="str">
        <f>TEXT(C7-C6,"#,##0") &amp; " days"</f>
        <v>340 days</v>
      </c>
    </row>
    <row r="9" spans="2:32" ht="15" customHeight="1" x14ac:dyDescent="0.35"/>
    <row r="10" spans="2:32" ht="15" customHeight="1" x14ac:dyDescent="0.35">
      <c r="B10" s="198" t="s">
        <v>45</v>
      </c>
      <c r="C10" s="186" t="s">
        <v>37</v>
      </c>
      <c r="D10" s="186" t="s">
        <v>48</v>
      </c>
      <c r="E10" s="186" t="s">
        <v>57</v>
      </c>
      <c r="F10" s="186" t="s">
        <v>36</v>
      </c>
      <c r="G10" s="186" t="s">
        <v>42</v>
      </c>
      <c r="H10" s="186" t="s">
        <v>56</v>
      </c>
      <c r="I10" s="192" t="s">
        <v>39</v>
      </c>
      <c r="J10" s="192" t="s">
        <v>51</v>
      </c>
      <c r="K10" s="194" t="s">
        <v>58</v>
      </c>
      <c r="L10" s="192" t="s">
        <v>40</v>
      </c>
      <c r="M10" s="186" t="s">
        <v>41</v>
      </c>
      <c r="N10" s="195" t="s">
        <v>38</v>
      </c>
      <c r="O10" s="196"/>
      <c r="P10" s="196"/>
      <c r="Q10" s="196"/>
      <c r="R10" s="196"/>
      <c r="S10" s="197"/>
      <c r="T10" s="186" t="s">
        <v>69</v>
      </c>
      <c r="U10" s="188" t="s">
        <v>70</v>
      </c>
      <c r="V10" s="190" t="s">
        <v>92</v>
      </c>
      <c r="W10" s="190"/>
      <c r="X10" s="190"/>
      <c r="Y10" s="190"/>
      <c r="Z10" s="190"/>
      <c r="AA10" s="190"/>
      <c r="AB10" s="190"/>
      <c r="AC10" s="190"/>
      <c r="AD10" s="190"/>
      <c r="AE10" s="191"/>
      <c r="AF10" s="37"/>
    </row>
    <row r="11" spans="2:32" ht="15" customHeight="1" x14ac:dyDescent="0.35">
      <c r="B11" s="199"/>
      <c r="C11" s="187"/>
      <c r="D11" s="187"/>
      <c r="E11" s="187"/>
      <c r="F11" s="187"/>
      <c r="G11" s="187"/>
      <c r="H11" s="187"/>
      <c r="I11" s="193"/>
      <c r="J11" s="193"/>
      <c r="K11" s="193"/>
      <c r="L11" s="193"/>
      <c r="M11" s="187"/>
      <c r="N11" s="31" t="s">
        <v>43</v>
      </c>
      <c r="O11" s="31" t="s">
        <v>44</v>
      </c>
      <c r="P11" s="32" t="s">
        <v>47</v>
      </c>
      <c r="Q11" s="32" t="s">
        <v>46</v>
      </c>
      <c r="R11" s="32" t="s">
        <v>49</v>
      </c>
      <c r="S11" s="32" t="s">
        <v>50</v>
      </c>
      <c r="T11" s="187" t="s">
        <v>71</v>
      </c>
      <c r="U11" s="189" t="s">
        <v>71</v>
      </c>
      <c r="V11" s="133" t="s">
        <v>179</v>
      </c>
      <c r="W11" s="35" t="s">
        <v>61</v>
      </c>
      <c r="X11" s="36" t="s">
        <v>62</v>
      </c>
      <c r="Y11" s="35" t="s">
        <v>63</v>
      </c>
      <c r="Z11" s="36" t="s">
        <v>64</v>
      </c>
      <c r="AA11" s="35" t="s">
        <v>65</v>
      </c>
      <c r="AB11" s="36" t="s">
        <v>66</v>
      </c>
      <c r="AC11" s="35" t="s">
        <v>67</v>
      </c>
      <c r="AD11" s="36" t="s">
        <v>68</v>
      </c>
      <c r="AE11" s="143" t="s">
        <v>93</v>
      </c>
      <c r="AF11" s="37"/>
    </row>
    <row r="12" spans="2:32" ht="12" customHeight="1" x14ac:dyDescent="0.35">
      <c r="B12" s="106">
        <v>1</v>
      </c>
      <c r="C12" s="107" t="s">
        <v>94</v>
      </c>
      <c r="D12" s="107" t="s">
        <v>94</v>
      </c>
      <c r="E12" s="132" t="s">
        <v>95</v>
      </c>
      <c r="F12" s="108">
        <f>I12</f>
        <v>45719</v>
      </c>
      <c r="G12" s="109">
        <f>NETWORKDAYS(I12,J12-1,holidays)</f>
        <v>63</v>
      </c>
      <c r="H12" s="110">
        <f>B12</f>
        <v>1</v>
      </c>
      <c r="I12" s="108">
        <f>MIN(I13:I17)</f>
        <v>45719</v>
      </c>
      <c r="J12" s="108">
        <f>MAX(J13:J17)</f>
        <v>45818</v>
      </c>
      <c r="K12" s="111">
        <f t="shared" ref="K12:K31" si="0">J12-I12</f>
        <v>99</v>
      </c>
      <c r="L12" s="112" cm="1">
        <f t="array" aca="1" ref="L12" ca="1">WeightedProgress(L13:L17,G13:G17)</f>
        <v>1</v>
      </c>
      <c r="M12" s="113" cm="1">
        <f t="array" aca="1" ref="M12" ca="1">WeightedProgress(M13:M17,G13:G17)</f>
        <v>1</v>
      </c>
      <c r="N12" s="114">
        <f t="shared" ref="N12:N31" ca="1" si="1">IF(M12&lt;L12,K12,0)</f>
        <v>0</v>
      </c>
      <c r="O12" s="114">
        <f t="shared" ref="O12:O31" ca="1" si="2">IF(M12=1,K12,0)</f>
        <v>99</v>
      </c>
      <c r="P12" s="114">
        <f t="shared" ref="P12:P31" ca="1" si="3">IF(AND(M12&gt;=L12,M12&gt;0,M12&lt;1),K12,0)</f>
        <v>0</v>
      </c>
      <c r="Q12" s="114">
        <f t="shared" ref="Q12:Q31" ca="1" si="4">K12-SUM(N12:P12)</f>
        <v>0</v>
      </c>
      <c r="R12" s="115" t="str">
        <f t="shared" ref="R12:R31" si="5">IF(H12=B12,D12,D12 &amp; TEXT(J12," ([$-en-US]dd-mmm)"))</f>
        <v>Project Setup</v>
      </c>
      <c r="S12" s="116" t="str" cm="1">
        <f t="array" aca="1" ref="S12" ca="1">GetProgressLabel(L12,M12)</f>
        <v>100%</v>
      </c>
      <c r="T12" s="117" t="b">
        <v>1</v>
      </c>
      <c r="U12" s="138" t="s">
        <v>81</v>
      </c>
      <c r="V12" s="134">
        <v>0</v>
      </c>
      <c r="W12" s="118"/>
      <c r="X12" s="118"/>
      <c r="Y12" s="118"/>
      <c r="Z12" s="118"/>
      <c r="AA12" s="118"/>
      <c r="AB12" s="118"/>
      <c r="AC12" s="118"/>
      <c r="AD12" s="118"/>
      <c r="AE12" s="144"/>
      <c r="AF12" s="37"/>
    </row>
    <row r="13" spans="2:32" ht="12" customHeight="1" x14ac:dyDescent="0.35">
      <c r="B13" s="2">
        <f t="shared" ref="B13:B62" si="6">B12+1</f>
        <v>2</v>
      </c>
      <c r="C13" s="20" t="s">
        <v>96</v>
      </c>
      <c r="D13" s="3" t="s">
        <v>97</v>
      </c>
      <c r="E13" s="20" t="s">
        <v>98</v>
      </c>
      <c r="F13" s="4">
        <v>45717</v>
      </c>
      <c r="G13" s="46">
        <v>36</v>
      </c>
      <c r="H13" s="5">
        <f>H12</f>
        <v>1</v>
      </c>
      <c r="I13" s="6">
        <f t="shared" ref="I13:I31" si="7">IFERROR(WORKDAY(F13-1,1,holidays),0)</f>
        <v>45719</v>
      </c>
      <c r="J13" s="6" cm="1">
        <f t="array" ref="J13">FinishDate(I13,G13,holidays)</f>
        <v>45772</v>
      </c>
      <c r="K13" s="44">
        <f t="shared" si="0"/>
        <v>53</v>
      </c>
      <c r="L13" s="16" cm="1">
        <f t="array" aca="1" ref="L13" ca="1">AutoProgress(I13,J13,holidays,$C$5)</f>
        <v>1</v>
      </c>
      <c r="M13" s="17">
        <f t="shared" ref="M13:M31" ca="1" si="8">L13</f>
        <v>1</v>
      </c>
      <c r="N13" s="7">
        <f t="shared" ca="1" si="1"/>
        <v>0</v>
      </c>
      <c r="O13" s="7">
        <f t="shared" ca="1" si="2"/>
        <v>53</v>
      </c>
      <c r="P13" s="7">
        <f t="shared" ca="1" si="3"/>
        <v>0</v>
      </c>
      <c r="Q13" s="7">
        <f t="shared" ca="1" si="4"/>
        <v>0</v>
      </c>
      <c r="R13" s="57" t="str">
        <f t="shared" si="5"/>
        <v>Project Charter (25-Apr)</v>
      </c>
      <c r="S13" s="8" t="str" cm="1">
        <f t="array" aca="1" ref="S13" ca="1">GetProgressLabel(L13,M13)</f>
        <v>100%</v>
      </c>
      <c r="T13" s="59" t="b">
        <v>1</v>
      </c>
      <c r="U13" s="139" t="s">
        <v>81</v>
      </c>
      <c r="V13" s="135">
        <v>1</v>
      </c>
      <c r="W13" s="56"/>
      <c r="X13" s="56"/>
      <c r="Y13" s="56"/>
      <c r="Z13" s="56"/>
      <c r="AA13" s="56"/>
      <c r="AB13" s="56"/>
      <c r="AC13" s="56"/>
      <c r="AD13" s="56"/>
      <c r="AE13" s="145"/>
      <c r="AF13" s="37"/>
    </row>
    <row r="14" spans="2:32" ht="12" customHeight="1" x14ac:dyDescent="0.35">
      <c r="B14" s="2">
        <f t="shared" si="6"/>
        <v>3</v>
      </c>
      <c r="C14" s="20" t="s">
        <v>99</v>
      </c>
      <c r="D14" s="20" t="s">
        <v>200</v>
      </c>
      <c r="E14" s="20" t="s">
        <v>100</v>
      </c>
      <c r="F14" s="4">
        <f>F13</f>
        <v>45717</v>
      </c>
      <c r="G14" s="46">
        <v>45</v>
      </c>
      <c r="H14" s="5">
        <f t="shared" ref="H14:H64" si="9">H13</f>
        <v>1</v>
      </c>
      <c r="I14" s="6">
        <f t="shared" si="7"/>
        <v>45719</v>
      </c>
      <c r="J14" s="6" cm="1">
        <f t="array" ref="J14">FinishDate(I14,G14,holidays)</f>
        <v>45787</v>
      </c>
      <c r="K14" s="44">
        <f t="shared" si="0"/>
        <v>68</v>
      </c>
      <c r="L14" s="16" cm="1">
        <f t="array" aca="1" ref="L14" ca="1">AutoProgress(I14,J14,holidays,$C$5)</f>
        <v>1</v>
      </c>
      <c r="M14" s="17">
        <f t="shared" ca="1" si="8"/>
        <v>1</v>
      </c>
      <c r="N14" s="7">
        <f t="shared" ca="1" si="1"/>
        <v>0</v>
      </c>
      <c r="O14" s="7">
        <f t="shared" ca="1" si="2"/>
        <v>68</v>
      </c>
      <c r="P14" s="7">
        <f t="shared" ca="1" si="3"/>
        <v>0</v>
      </c>
      <c r="Q14" s="7">
        <f t="shared" ca="1" si="4"/>
        <v>0</v>
      </c>
      <c r="R14" s="57" t="str">
        <f t="shared" si="5"/>
        <v>BU's Requirement (10-May)</v>
      </c>
      <c r="S14" s="8" t="str" cm="1">
        <f t="array" aca="1" ref="S14" ca="1">GetProgressLabel(L14,M14)</f>
        <v>100%</v>
      </c>
      <c r="T14" s="59" t="b">
        <v>1</v>
      </c>
      <c r="U14" s="139" t="s">
        <v>81</v>
      </c>
      <c r="V14" s="135">
        <v>1</v>
      </c>
      <c r="W14" s="56"/>
      <c r="X14" s="56"/>
      <c r="Y14" s="56"/>
      <c r="Z14" s="56"/>
      <c r="AA14" s="56"/>
      <c r="AB14" s="56"/>
      <c r="AC14" s="56"/>
      <c r="AD14" s="56"/>
      <c r="AE14" s="145"/>
      <c r="AF14" s="37"/>
    </row>
    <row r="15" spans="2:32" ht="12" customHeight="1" x14ac:dyDescent="0.35">
      <c r="B15" s="2">
        <f t="shared" si="6"/>
        <v>4</v>
      </c>
      <c r="C15" s="20" t="s">
        <v>101</v>
      </c>
      <c r="D15" s="3" t="s">
        <v>102</v>
      </c>
      <c r="E15" s="20" t="s">
        <v>103</v>
      </c>
      <c r="F15" s="4">
        <f>F14</f>
        <v>45717</v>
      </c>
      <c r="G15" s="46">
        <v>45</v>
      </c>
      <c r="H15" s="5">
        <f t="shared" si="9"/>
        <v>1</v>
      </c>
      <c r="I15" s="6">
        <f t="shared" si="7"/>
        <v>45719</v>
      </c>
      <c r="J15" s="6" cm="1">
        <f t="array" ref="J15">FinishDate(I15,G15,holidays)</f>
        <v>45787</v>
      </c>
      <c r="K15" s="44">
        <f t="shared" si="0"/>
        <v>68</v>
      </c>
      <c r="L15" s="16" cm="1">
        <f t="array" aca="1" ref="L15" ca="1">AutoProgress(I15,J15,holidays,$C$5)</f>
        <v>1</v>
      </c>
      <c r="M15" s="17">
        <f t="shared" ca="1" si="8"/>
        <v>1</v>
      </c>
      <c r="N15" s="7">
        <f t="shared" ca="1" si="1"/>
        <v>0</v>
      </c>
      <c r="O15" s="7">
        <f t="shared" ca="1" si="2"/>
        <v>68</v>
      </c>
      <c r="P15" s="7">
        <f t="shared" ca="1" si="3"/>
        <v>0</v>
      </c>
      <c r="Q15" s="7">
        <f t="shared" ca="1" si="4"/>
        <v>0</v>
      </c>
      <c r="R15" s="57" t="str">
        <f t="shared" si="5"/>
        <v>Initial Analysis (10-May)</v>
      </c>
      <c r="S15" s="8" t="str" cm="1">
        <f t="array" aca="1" ref="S15" ca="1">GetProgressLabel(L15,M15)</f>
        <v>100%</v>
      </c>
      <c r="T15" s="59" t="b">
        <v>0</v>
      </c>
      <c r="U15" s="139" t="s">
        <v>81</v>
      </c>
      <c r="V15" s="135">
        <v>2</v>
      </c>
      <c r="W15" s="56"/>
      <c r="X15" s="56"/>
      <c r="Y15" s="56"/>
      <c r="Z15" s="56"/>
      <c r="AA15" s="56"/>
      <c r="AB15" s="56"/>
      <c r="AC15" s="56"/>
      <c r="AD15" s="56"/>
      <c r="AE15" s="145"/>
      <c r="AF15" s="37"/>
    </row>
    <row r="16" spans="2:32" ht="12" customHeight="1" x14ac:dyDescent="0.35">
      <c r="B16" s="2">
        <f t="shared" si="6"/>
        <v>5</v>
      </c>
      <c r="C16" s="20" t="s">
        <v>104</v>
      </c>
      <c r="D16" s="20" t="s">
        <v>105</v>
      </c>
      <c r="E16" s="20" t="s">
        <v>106</v>
      </c>
      <c r="F16" s="4">
        <f>J15+3</f>
        <v>45790</v>
      </c>
      <c r="G16" s="46">
        <v>13</v>
      </c>
      <c r="H16" s="5">
        <f t="shared" si="9"/>
        <v>1</v>
      </c>
      <c r="I16" s="6">
        <f t="shared" si="7"/>
        <v>45790</v>
      </c>
      <c r="J16" s="6" cm="1">
        <f t="array" ref="J16">FinishDate(I16,G16,holidays)</f>
        <v>45807</v>
      </c>
      <c r="K16" s="44">
        <f t="shared" si="0"/>
        <v>17</v>
      </c>
      <c r="L16" s="16" cm="1">
        <f t="array" aca="1" ref="L16" ca="1">AutoProgress(I16,J16,holidays,$C$5)</f>
        <v>1</v>
      </c>
      <c r="M16" s="17">
        <f t="shared" ca="1" si="8"/>
        <v>1</v>
      </c>
      <c r="N16" s="7">
        <f t="shared" ca="1" si="1"/>
        <v>0</v>
      </c>
      <c r="O16" s="7">
        <f t="shared" ca="1" si="2"/>
        <v>17</v>
      </c>
      <c r="P16" s="7">
        <f t="shared" ca="1" si="3"/>
        <v>0</v>
      </c>
      <c r="Q16" s="7">
        <f t="shared" ca="1" si="4"/>
        <v>0</v>
      </c>
      <c r="R16" s="57" t="str">
        <f t="shared" si="5"/>
        <v>Ease of Implementation (30-May)</v>
      </c>
      <c r="S16" s="8" t="str" cm="1">
        <f t="array" aca="1" ref="S16" ca="1">GetProgressLabel(L16,M16)</f>
        <v>100%</v>
      </c>
      <c r="T16" s="59" t="b">
        <v>1</v>
      </c>
      <c r="U16" s="139" t="s">
        <v>81</v>
      </c>
      <c r="V16" s="135">
        <v>2</v>
      </c>
      <c r="W16" s="56"/>
      <c r="X16" s="56"/>
      <c r="Y16" s="56"/>
      <c r="Z16" s="56"/>
      <c r="AA16" s="56"/>
      <c r="AB16" s="56"/>
      <c r="AC16" s="56"/>
      <c r="AD16" s="56"/>
      <c r="AE16" s="145"/>
      <c r="AF16" s="37"/>
    </row>
    <row r="17" spans="2:32" ht="12" customHeight="1" x14ac:dyDescent="0.35">
      <c r="B17" s="9">
        <f t="shared" si="6"/>
        <v>6</v>
      </c>
      <c r="C17" s="21" t="s">
        <v>107</v>
      </c>
      <c r="D17" s="21" t="s">
        <v>108</v>
      </c>
      <c r="E17" s="21" t="s">
        <v>109</v>
      </c>
      <c r="F17" s="153">
        <f>F16</f>
        <v>45790</v>
      </c>
      <c r="G17" s="154">
        <v>18</v>
      </c>
      <c r="H17" s="155">
        <f t="shared" si="9"/>
        <v>1</v>
      </c>
      <c r="I17" s="156">
        <f t="shared" si="7"/>
        <v>45790</v>
      </c>
      <c r="J17" s="156" cm="1">
        <f t="array" ref="J17">FinishDate(I17,G17,holidays)</f>
        <v>45818</v>
      </c>
      <c r="K17" s="157">
        <f t="shared" si="0"/>
        <v>28</v>
      </c>
      <c r="L17" s="158" cm="1">
        <f t="array" aca="1" ref="L17" ca="1">AutoProgress(I17,J17,holidays,$C$5)</f>
        <v>1</v>
      </c>
      <c r="M17" s="159">
        <f t="shared" ca="1" si="8"/>
        <v>1</v>
      </c>
      <c r="N17" s="160">
        <f t="shared" ca="1" si="1"/>
        <v>0</v>
      </c>
      <c r="O17" s="160">
        <f t="shared" ca="1" si="2"/>
        <v>28</v>
      </c>
      <c r="P17" s="160">
        <f t="shared" ca="1" si="3"/>
        <v>0</v>
      </c>
      <c r="Q17" s="160">
        <f t="shared" ca="1" si="4"/>
        <v>0</v>
      </c>
      <c r="R17" s="161" t="str">
        <f t="shared" si="5"/>
        <v>Project Approval (10-Jun)</v>
      </c>
      <c r="S17" s="162" t="str" cm="1">
        <f t="array" aca="1" ref="S17" ca="1">GetProgressLabel(L17,M17)</f>
        <v>100%</v>
      </c>
      <c r="T17" s="163" t="b">
        <v>1</v>
      </c>
      <c r="U17" s="164" t="s">
        <v>81</v>
      </c>
      <c r="V17" s="165">
        <v>1</v>
      </c>
      <c r="W17" s="166"/>
      <c r="X17" s="166"/>
      <c r="Y17" s="166"/>
      <c r="Z17" s="166"/>
      <c r="AA17" s="166"/>
      <c r="AB17" s="166"/>
      <c r="AC17" s="166"/>
      <c r="AD17" s="166"/>
      <c r="AE17" s="167"/>
      <c r="AF17" s="37"/>
    </row>
    <row r="18" spans="2:32" ht="12" customHeight="1" x14ac:dyDescent="0.35">
      <c r="B18" s="168">
        <f t="shared" si="6"/>
        <v>7</v>
      </c>
      <c r="C18" s="169" t="s">
        <v>192</v>
      </c>
      <c r="D18" s="169" t="s">
        <v>192</v>
      </c>
      <c r="E18" s="184"/>
      <c r="F18" s="170">
        <f>I18</f>
        <v>45667</v>
      </c>
      <c r="G18" s="171">
        <f>NETWORKDAYS(I18,J18-1,holidays)</f>
        <v>225</v>
      </c>
      <c r="H18" s="172">
        <f>B18</f>
        <v>7</v>
      </c>
      <c r="I18" s="170">
        <f>MIN(I19:I40)</f>
        <v>45667</v>
      </c>
      <c r="J18" s="170">
        <f>MAX(J19:J40)</f>
        <v>46007</v>
      </c>
      <c r="K18" s="173">
        <f t="shared" si="0"/>
        <v>340</v>
      </c>
      <c r="L18" s="174" cm="1">
        <f t="array" aca="1" ref="L18" ca="1">WeightedProgress(L19:L40,G19:G40)</f>
        <v>0.60606060606060608</v>
      </c>
      <c r="M18" s="175" cm="1">
        <f t="array" aca="1" ref="M18" ca="1">WeightedProgress(M19:M40,G19:G40)</f>
        <v>0.60606060606060608</v>
      </c>
      <c r="N18" s="176">
        <f t="shared" ref="N18" ca="1" si="10">IF(M18&lt;L18,K18,0)</f>
        <v>0</v>
      </c>
      <c r="O18" s="176">
        <f t="shared" ref="O18" ca="1" si="11">IF(M18=1,K18,0)</f>
        <v>0</v>
      </c>
      <c r="P18" s="176">
        <f t="shared" ref="P18" ca="1" si="12">IF(AND(M18&gt;=L18,M18&gt;0,M18&lt;1),K18,0)</f>
        <v>340</v>
      </c>
      <c r="Q18" s="176">
        <f t="shared" ref="Q18" ca="1" si="13">K18-SUM(N18:P18)</f>
        <v>0</v>
      </c>
      <c r="R18" s="177" t="str">
        <f t="shared" ref="R18" si="14">IF(H18=B18,D18,D18 &amp; TEXT(J18," ([$-en-US]dd-mmm)"))</f>
        <v>STIP &amp; VPTL &amp; VRSM Testing</v>
      </c>
      <c r="S18" s="178" t="str" cm="1">
        <f t="array" aca="1" ref="S18" ca="1">GetProgressLabel(L18,M18)</f>
        <v>61% (61%)</v>
      </c>
      <c r="T18" s="179" t="b">
        <v>1</v>
      </c>
      <c r="U18" s="180" t="s">
        <v>84</v>
      </c>
      <c r="V18" s="181">
        <v>0</v>
      </c>
      <c r="W18" s="182"/>
      <c r="X18" s="182"/>
      <c r="Y18" s="182"/>
      <c r="Z18" s="182"/>
      <c r="AA18" s="182"/>
      <c r="AB18" s="182"/>
      <c r="AC18" s="182"/>
      <c r="AD18" s="182"/>
      <c r="AE18" s="183"/>
      <c r="AF18" s="37"/>
    </row>
    <row r="19" spans="2:32" ht="12" customHeight="1" x14ac:dyDescent="0.35">
      <c r="B19" s="119">
        <f>B18+1</f>
        <v>8</v>
      </c>
      <c r="C19" s="120" t="s">
        <v>110</v>
      </c>
      <c r="D19" s="120" t="s">
        <v>110</v>
      </c>
      <c r="E19" s="131"/>
      <c r="F19" s="121">
        <f>I19</f>
        <v>45667</v>
      </c>
      <c r="G19" s="122">
        <f>NETWORKDAYS(I19,J19-1,holidays)</f>
        <v>225</v>
      </c>
      <c r="H19" s="123">
        <f>H18</f>
        <v>7</v>
      </c>
      <c r="I19" s="108">
        <f>MIN(I20:I31)</f>
        <v>45667</v>
      </c>
      <c r="J19" s="108">
        <f>MAX(J20:J31)</f>
        <v>46007</v>
      </c>
      <c r="K19" s="111">
        <f t="shared" ref="K19" si="15">J19-I19</f>
        <v>340</v>
      </c>
      <c r="L19" s="112" cm="1">
        <f t="array" aca="1" ref="L19" ca="1">WeightedProgress(L20:L31,G20:G31)</f>
        <v>0.5</v>
      </c>
      <c r="M19" s="113" cm="1">
        <f t="array" aca="1" ref="M19" ca="1">WeightedProgress(M20:M31,G20:G31)</f>
        <v>0.5</v>
      </c>
      <c r="N19" s="124">
        <f t="shared" ca="1" si="1"/>
        <v>0</v>
      </c>
      <c r="O19" s="124">
        <f t="shared" ca="1" si="2"/>
        <v>0</v>
      </c>
      <c r="P19" s="124">
        <f t="shared" ca="1" si="3"/>
        <v>340</v>
      </c>
      <c r="Q19" s="124">
        <f t="shared" ca="1" si="4"/>
        <v>0</v>
      </c>
      <c r="R19" s="125" t="str">
        <f t="shared" si="5"/>
        <v>VSRM - Credit Portfolio (16-Dec)</v>
      </c>
      <c r="S19" s="126" t="str" cm="1">
        <f t="array" aca="1" ref="S19" ca="1">GetProgressLabel(L19,M19)</f>
        <v>50% (50%)</v>
      </c>
      <c r="T19" s="127" t="b">
        <v>1</v>
      </c>
      <c r="U19" s="141" t="s">
        <v>84</v>
      </c>
      <c r="V19" s="137">
        <v>0</v>
      </c>
      <c r="W19" s="128"/>
      <c r="X19" s="128"/>
      <c r="Y19" s="128"/>
      <c r="Z19" s="128"/>
      <c r="AA19" s="128"/>
      <c r="AB19" s="128"/>
      <c r="AC19" s="128"/>
      <c r="AD19" s="128"/>
      <c r="AE19" s="129"/>
      <c r="AF19" s="37"/>
    </row>
    <row r="20" spans="2:32" ht="12" customHeight="1" x14ac:dyDescent="0.35">
      <c r="B20" s="2">
        <f t="shared" si="6"/>
        <v>9</v>
      </c>
      <c r="C20" s="20" t="s">
        <v>111</v>
      </c>
      <c r="D20" s="20" t="s">
        <v>112</v>
      </c>
      <c r="E20" s="20"/>
      <c r="F20" s="4">
        <v>45667</v>
      </c>
      <c r="G20" s="46">
        <v>3</v>
      </c>
      <c r="H20" s="5">
        <f t="shared" si="9"/>
        <v>7</v>
      </c>
      <c r="I20" s="6">
        <f t="shared" si="7"/>
        <v>45667</v>
      </c>
      <c r="J20" s="6" cm="1">
        <f t="array" ref="J20">FinishDate(I20,G20,holidays)</f>
        <v>45672</v>
      </c>
      <c r="K20" s="44">
        <f t="shared" si="0"/>
        <v>5</v>
      </c>
      <c r="L20" s="16" cm="1">
        <f t="array" aca="1" ref="L20" ca="1">AutoProgress(I20,J20,holidays,$C$5)</f>
        <v>1</v>
      </c>
      <c r="M20" s="17">
        <f t="shared" ca="1" si="8"/>
        <v>1</v>
      </c>
      <c r="N20" s="7">
        <f t="shared" ca="1" si="1"/>
        <v>0</v>
      </c>
      <c r="O20" s="7">
        <f t="shared" ca="1" si="2"/>
        <v>5</v>
      </c>
      <c r="P20" s="7">
        <f t="shared" ca="1" si="3"/>
        <v>0</v>
      </c>
      <c r="Q20" s="7">
        <f t="shared" ca="1" si="4"/>
        <v>0</v>
      </c>
      <c r="R20" s="57" t="str">
        <f t="shared" si="5"/>
        <v>VSRM R1 (15-Jan)</v>
      </c>
      <c r="S20" s="8" t="str" cm="1">
        <f t="array" aca="1" ref="S20" ca="1">GetProgressLabel(L20,M20)</f>
        <v>100%</v>
      </c>
      <c r="T20" s="59" t="b">
        <v>0</v>
      </c>
      <c r="U20" s="139" t="s">
        <v>84</v>
      </c>
      <c r="V20" s="135">
        <v>1</v>
      </c>
      <c r="W20" s="56"/>
      <c r="X20" s="56"/>
      <c r="Y20" s="56"/>
      <c r="Z20" s="56"/>
      <c r="AA20" s="56"/>
      <c r="AB20" s="56"/>
      <c r="AC20" s="56"/>
      <c r="AD20" s="56"/>
      <c r="AE20" s="145"/>
      <c r="AF20" s="37"/>
    </row>
    <row r="21" spans="2:32" ht="12" customHeight="1" x14ac:dyDescent="0.35">
      <c r="B21" s="2">
        <f t="shared" si="6"/>
        <v>10</v>
      </c>
      <c r="C21" s="20" t="s">
        <v>113</v>
      </c>
      <c r="D21" s="20" t="s">
        <v>114</v>
      </c>
      <c r="E21" s="20"/>
      <c r="F21" s="4">
        <v>45698</v>
      </c>
      <c r="G21" s="46">
        <v>3</v>
      </c>
      <c r="H21" s="5">
        <f t="shared" si="9"/>
        <v>7</v>
      </c>
      <c r="I21" s="6">
        <f t="shared" si="7"/>
        <v>45698</v>
      </c>
      <c r="J21" s="6" cm="1">
        <f t="array" ref="J21">FinishDate(I21,G21,holidays)</f>
        <v>45702</v>
      </c>
      <c r="K21" s="44">
        <f t="shared" si="0"/>
        <v>4</v>
      </c>
      <c r="L21" s="16" cm="1">
        <f t="array" aca="1" ref="L21" ca="1">AutoProgress(I21,J21,holidays,$C$5)</f>
        <v>1</v>
      </c>
      <c r="M21" s="17">
        <f t="shared" ca="1" si="8"/>
        <v>1</v>
      </c>
      <c r="N21" s="7">
        <f t="shared" ca="1" si="1"/>
        <v>0</v>
      </c>
      <c r="O21" s="7">
        <f t="shared" ca="1" si="2"/>
        <v>4</v>
      </c>
      <c r="P21" s="7">
        <f t="shared" ca="1" si="3"/>
        <v>0</v>
      </c>
      <c r="Q21" s="7">
        <f t="shared" ca="1" si="4"/>
        <v>0</v>
      </c>
      <c r="R21" s="57" t="str">
        <f t="shared" si="5"/>
        <v>VSRM R2 (14-Feb)</v>
      </c>
      <c r="S21" s="8" t="str" cm="1">
        <f t="array" aca="1" ref="S21" ca="1">GetProgressLabel(L21,M21)</f>
        <v>100%</v>
      </c>
      <c r="T21" s="59" t="b">
        <v>0</v>
      </c>
      <c r="U21" s="139" t="s">
        <v>84</v>
      </c>
      <c r="V21" s="135">
        <v>1</v>
      </c>
      <c r="W21" s="56"/>
      <c r="X21" s="56"/>
      <c r="Y21" s="56"/>
      <c r="Z21" s="56"/>
      <c r="AA21" s="56"/>
      <c r="AB21" s="56"/>
      <c r="AC21" s="56"/>
      <c r="AD21" s="56"/>
      <c r="AE21" s="145"/>
      <c r="AF21" s="37"/>
    </row>
    <row r="22" spans="2:32" ht="12" customHeight="1" x14ac:dyDescent="0.35">
      <c r="B22" s="2">
        <f t="shared" si="6"/>
        <v>11</v>
      </c>
      <c r="C22" s="20" t="s">
        <v>115</v>
      </c>
      <c r="D22" s="3" t="s">
        <v>116</v>
      </c>
      <c r="E22" s="20"/>
      <c r="F22" s="4">
        <v>45726</v>
      </c>
      <c r="G22" s="46">
        <v>3</v>
      </c>
      <c r="H22" s="5">
        <f t="shared" si="9"/>
        <v>7</v>
      </c>
      <c r="I22" s="6">
        <f t="shared" si="7"/>
        <v>45726</v>
      </c>
      <c r="J22" s="6" cm="1">
        <f t="array" ref="J22">FinishDate(I22,G22,holidays)</f>
        <v>45729</v>
      </c>
      <c r="K22" s="44">
        <f t="shared" si="0"/>
        <v>3</v>
      </c>
      <c r="L22" s="16" cm="1">
        <f t="array" aca="1" ref="L22" ca="1">AutoProgress(I22,J22,holidays,$C$5)</f>
        <v>1</v>
      </c>
      <c r="M22" s="17">
        <f t="shared" ca="1" si="8"/>
        <v>1</v>
      </c>
      <c r="N22" s="7">
        <f t="shared" ca="1" si="1"/>
        <v>0</v>
      </c>
      <c r="O22" s="7">
        <f t="shared" ca="1" si="2"/>
        <v>3</v>
      </c>
      <c r="P22" s="7">
        <f t="shared" ca="1" si="3"/>
        <v>0</v>
      </c>
      <c r="Q22" s="7">
        <f t="shared" ca="1" si="4"/>
        <v>0</v>
      </c>
      <c r="R22" s="57" t="str">
        <f t="shared" si="5"/>
        <v>VSRM R3 (13-Mar)</v>
      </c>
      <c r="S22" s="8" t="str" cm="1">
        <f t="array" aca="1" ref="S22" ca="1">GetProgressLabel(L22,M22)</f>
        <v>100%</v>
      </c>
      <c r="T22" s="59" t="b">
        <v>0</v>
      </c>
      <c r="U22" s="139" t="s">
        <v>84</v>
      </c>
      <c r="V22" s="135">
        <v>1</v>
      </c>
      <c r="W22" s="56"/>
      <c r="X22" s="56"/>
      <c r="Y22" s="56"/>
      <c r="Z22" s="56"/>
      <c r="AA22" s="56"/>
      <c r="AB22" s="56"/>
      <c r="AC22" s="56"/>
      <c r="AD22" s="56"/>
      <c r="AE22" s="145"/>
      <c r="AF22" s="37"/>
    </row>
    <row r="23" spans="2:32" ht="12" customHeight="1" x14ac:dyDescent="0.35">
      <c r="B23" s="2">
        <f t="shared" si="6"/>
        <v>12</v>
      </c>
      <c r="C23" s="20" t="s">
        <v>117</v>
      </c>
      <c r="D23" s="20" t="s">
        <v>118</v>
      </c>
      <c r="E23" s="20"/>
      <c r="F23" s="4">
        <v>45757</v>
      </c>
      <c r="G23" s="46">
        <v>3</v>
      </c>
      <c r="H23" s="5">
        <f t="shared" si="9"/>
        <v>7</v>
      </c>
      <c r="I23" s="6">
        <f t="shared" si="7"/>
        <v>45757</v>
      </c>
      <c r="J23" s="6" cm="1">
        <f t="array" ref="J23">FinishDate(I23,G23,holidays)</f>
        <v>45764</v>
      </c>
      <c r="K23" s="44">
        <f t="shared" si="0"/>
        <v>7</v>
      </c>
      <c r="L23" s="16" cm="1">
        <f t="array" aca="1" ref="L23" ca="1">AutoProgress(I23,J23,holidays,$C$5)</f>
        <v>1</v>
      </c>
      <c r="M23" s="17">
        <f t="shared" ca="1" si="8"/>
        <v>1</v>
      </c>
      <c r="N23" s="7">
        <f t="shared" ca="1" si="1"/>
        <v>0</v>
      </c>
      <c r="O23" s="7">
        <f t="shared" ca="1" si="2"/>
        <v>7</v>
      </c>
      <c r="P23" s="7">
        <f t="shared" ca="1" si="3"/>
        <v>0</v>
      </c>
      <c r="Q23" s="7">
        <f t="shared" ca="1" si="4"/>
        <v>0</v>
      </c>
      <c r="R23" s="57" t="str">
        <f t="shared" si="5"/>
        <v>VSRM R4 (17-Apr)</v>
      </c>
      <c r="S23" s="8" t="str" cm="1">
        <f t="array" aca="1" ref="S23" ca="1">GetProgressLabel(L23,M23)</f>
        <v>100%</v>
      </c>
      <c r="T23" s="59" t="b">
        <v>0</v>
      </c>
      <c r="U23" s="139" t="s">
        <v>84</v>
      </c>
      <c r="V23" s="135">
        <v>1</v>
      </c>
      <c r="W23" s="56"/>
      <c r="X23" s="56"/>
      <c r="Y23" s="56"/>
      <c r="Z23" s="56"/>
      <c r="AA23" s="56"/>
      <c r="AB23" s="56"/>
      <c r="AC23" s="56"/>
      <c r="AD23" s="56"/>
      <c r="AE23" s="145"/>
      <c r="AF23" s="37"/>
    </row>
    <row r="24" spans="2:32" ht="12" customHeight="1" x14ac:dyDescent="0.35">
      <c r="B24" s="2">
        <f t="shared" si="6"/>
        <v>13</v>
      </c>
      <c r="C24" s="20" t="s">
        <v>119</v>
      </c>
      <c r="D24" s="3" t="s">
        <v>120</v>
      </c>
      <c r="E24" s="20"/>
      <c r="F24" s="4">
        <v>45787</v>
      </c>
      <c r="G24" s="46">
        <v>3</v>
      </c>
      <c r="H24" s="5">
        <f t="shared" si="9"/>
        <v>7</v>
      </c>
      <c r="I24" s="6">
        <f t="shared" si="7"/>
        <v>45790</v>
      </c>
      <c r="J24" s="6" cm="1">
        <f t="array" ref="J24">FinishDate(I24,G24,holidays)</f>
        <v>45793</v>
      </c>
      <c r="K24" s="44">
        <f t="shared" si="0"/>
        <v>3</v>
      </c>
      <c r="L24" s="16" cm="1">
        <f t="array" aca="1" ref="L24" ca="1">AutoProgress(I24,J24,holidays,$C$5)</f>
        <v>1</v>
      </c>
      <c r="M24" s="17">
        <f t="shared" ca="1" si="8"/>
        <v>1</v>
      </c>
      <c r="N24" s="7">
        <f t="shared" ca="1" si="1"/>
        <v>0</v>
      </c>
      <c r="O24" s="7">
        <f t="shared" ca="1" si="2"/>
        <v>3</v>
      </c>
      <c r="P24" s="7">
        <f t="shared" ca="1" si="3"/>
        <v>0</v>
      </c>
      <c r="Q24" s="7">
        <f t="shared" ca="1" si="4"/>
        <v>0</v>
      </c>
      <c r="R24" s="57" t="str">
        <f t="shared" si="5"/>
        <v>VSRM R5 (16-May)</v>
      </c>
      <c r="S24" s="8" t="str" cm="1">
        <f t="array" aca="1" ref="S24" ca="1">GetProgressLabel(L24,M24)</f>
        <v>100%</v>
      </c>
      <c r="T24" s="59" t="b">
        <v>0</v>
      </c>
      <c r="U24" s="139" t="s">
        <v>84</v>
      </c>
      <c r="V24" s="135">
        <v>1</v>
      </c>
      <c r="W24" s="56"/>
      <c r="X24" s="56"/>
      <c r="Y24" s="56"/>
      <c r="Z24" s="56"/>
      <c r="AA24" s="56"/>
      <c r="AB24" s="56"/>
      <c r="AC24" s="56"/>
      <c r="AD24" s="56"/>
      <c r="AE24" s="145"/>
      <c r="AF24" s="37"/>
    </row>
    <row r="25" spans="2:32" ht="12" customHeight="1" x14ac:dyDescent="0.35">
      <c r="B25" s="2">
        <f t="shared" si="6"/>
        <v>14</v>
      </c>
      <c r="C25" s="20" t="s">
        <v>121</v>
      </c>
      <c r="D25" s="20" t="s">
        <v>122</v>
      </c>
      <c r="E25" s="20"/>
      <c r="F25" s="4">
        <v>45818</v>
      </c>
      <c r="G25" s="46">
        <v>3</v>
      </c>
      <c r="H25" s="5">
        <f t="shared" si="9"/>
        <v>7</v>
      </c>
      <c r="I25" s="6">
        <f t="shared" si="7"/>
        <v>45818</v>
      </c>
      <c r="J25" s="6" cm="1">
        <f t="array" ref="J25">FinishDate(I25,G25,holidays)</f>
        <v>45821</v>
      </c>
      <c r="K25" s="44">
        <f t="shared" si="0"/>
        <v>3</v>
      </c>
      <c r="L25" s="16" cm="1">
        <f t="array" aca="1" ref="L25" ca="1">AutoProgress(I25,J25,holidays,$C$5)</f>
        <v>1</v>
      </c>
      <c r="M25" s="17">
        <f t="shared" ca="1" si="8"/>
        <v>1</v>
      </c>
      <c r="N25" s="7">
        <f t="shared" ca="1" si="1"/>
        <v>0</v>
      </c>
      <c r="O25" s="7">
        <f t="shared" ca="1" si="2"/>
        <v>3</v>
      </c>
      <c r="P25" s="7">
        <f t="shared" ca="1" si="3"/>
        <v>0</v>
      </c>
      <c r="Q25" s="7">
        <f t="shared" ca="1" si="4"/>
        <v>0</v>
      </c>
      <c r="R25" s="57" t="str">
        <f t="shared" si="5"/>
        <v>VSRM R6 (13-Jun)</v>
      </c>
      <c r="S25" s="8" t="str" cm="1">
        <f t="array" aca="1" ref="S25" ca="1">GetProgressLabel(L25,M25)</f>
        <v>100%</v>
      </c>
      <c r="T25" s="59" t="b">
        <v>0</v>
      </c>
      <c r="U25" s="139" t="s">
        <v>84</v>
      </c>
      <c r="V25" s="135">
        <v>1</v>
      </c>
      <c r="W25" s="56"/>
      <c r="X25" s="56"/>
      <c r="Y25" s="56"/>
      <c r="Z25" s="56"/>
      <c r="AA25" s="56"/>
      <c r="AB25" s="56"/>
      <c r="AC25" s="56"/>
      <c r="AD25" s="56"/>
      <c r="AE25" s="145"/>
      <c r="AF25" s="37"/>
    </row>
    <row r="26" spans="2:32" ht="12" customHeight="1" x14ac:dyDescent="0.35">
      <c r="B26" s="2">
        <f t="shared" si="6"/>
        <v>15</v>
      </c>
      <c r="C26" s="20" t="s">
        <v>123</v>
      </c>
      <c r="D26" s="20" t="s">
        <v>124</v>
      </c>
      <c r="E26" s="20"/>
      <c r="F26" s="4">
        <v>45848</v>
      </c>
      <c r="G26" s="46">
        <v>3</v>
      </c>
      <c r="H26" s="5">
        <f t="shared" si="9"/>
        <v>7</v>
      </c>
      <c r="I26" s="6">
        <f t="shared" si="7"/>
        <v>45849</v>
      </c>
      <c r="J26" s="6" cm="1">
        <f t="array" ref="J26">FinishDate(I26,G26,holidays)</f>
        <v>45854</v>
      </c>
      <c r="K26" s="44">
        <f t="shared" si="0"/>
        <v>5</v>
      </c>
      <c r="L26" s="16" cm="1">
        <f t="array" aca="1" ref="L26" ca="1">AutoProgress(I26,J26,holidays,$C$5)</f>
        <v>0</v>
      </c>
      <c r="M26" s="17">
        <f t="shared" ca="1" si="8"/>
        <v>0</v>
      </c>
      <c r="N26" s="7">
        <f t="shared" ca="1" si="1"/>
        <v>0</v>
      </c>
      <c r="O26" s="7">
        <f t="shared" ca="1" si="2"/>
        <v>0</v>
      </c>
      <c r="P26" s="7">
        <f t="shared" ca="1" si="3"/>
        <v>0</v>
      </c>
      <c r="Q26" s="7">
        <f t="shared" ca="1" si="4"/>
        <v>5</v>
      </c>
      <c r="R26" s="57" t="str">
        <f t="shared" si="5"/>
        <v>VSRM R7 (16-Jul)</v>
      </c>
      <c r="S26" s="8" t="str" cm="1">
        <f t="array" aca="1" ref="S26" ca="1">GetProgressLabel(L26,M26)</f>
        <v>0%</v>
      </c>
      <c r="T26" s="59" t="b">
        <v>0</v>
      </c>
      <c r="U26" s="139" t="s">
        <v>84</v>
      </c>
      <c r="V26" s="135">
        <v>1</v>
      </c>
      <c r="W26" s="56"/>
      <c r="X26" s="56"/>
      <c r="Y26" s="56"/>
      <c r="Z26" s="56"/>
      <c r="AA26" s="56"/>
      <c r="AB26" s="56"/>
      <c r="AC26" s="56"/>
      <c r="AD26" s="56"/>
      <c r="AE26" s="145"/>
      <c r="AF26" s="37"/>
    </row>
    <row r="27" spans="2:32" ht="12" customHeight="1" x14ac:dyDescent="0.35">
      <c r="B27" s="2">
        <f t="shared" si="6"/>
        <v>16</v>
      </c>
      <c r="C27" s="20" t="s">
        <v>125</v>
      </c>
      <c r="D27" s="20" t="s">
        <v>126</v>
      </c>
      <c r="E27" s="20"/>
      <c r="F27" s="4">
        <v>45879</v>
      </c>
      <c r="G27" s="46">
        <v>3</v>
      </c>
      <c r="H27" s="5">
        <f t="shared" si="9"/>
        <v>7</v>
      </c>
      <c r="I27" s="6">
        <f t="shared" si="7"/>
        <v>45882</v>
      </c>
      <c r="J27" s="6" cm="1">
        <f t="array" ref="J27">FinishDate(I27,G27,holidays)</f>
        <v>45885</v>
      </c>
      <c r="K27" s="44">
        <f t="shared" si="0"/>
        <v>3</v>
      </c>
      <c r="L27" s="16" cm="1">
        <f t="array" aca="1" ref="L27" ca="1">AutoProgress(I27,J27,holidays,$C$5)</f>
        <v>0</v>
      </c>
      <c r="M27" s="17">
        <f t="shared" ca="1" si="8"/>
        <v>0</v>
      </c>
      <c r="N27" s="7">
        <f t="shared" ca="1" si="1"/>
        <v>0</v>
      </c>
      <c r="O27" s="7">
        <f t="shared" ca="1" si="2"/>
        <v>0</v>
      </c>
      <c r="P27" s="7">
        <f t="shared" ca="1" si="3"/>
        <v>0</v>
      </c>
      <c r="Q27" s="7">
        <f t="shared" ca="1" si="4"/>
        <v>3</v>
      </c>
      <c r="R27" s="57" t="str">
        <f t="shared" si="5"/>
        <v>VSRM R8 (16-Aug)</v>
      </c>
      <c r="S27" s="8" t="str" cm="1">
        <f t="array" aca="1" ref="S27" ca="1">GetProgressLabel(L27,M27)</f>
        <v>0%</v>
      </c>
      <c r="T27" s="59" t="b">
        <v>0</v>
      </c>
      <c r="U27" s="139" t="s">
        <v>84</v>
      </c>
      <c r="V27" s="135">
        <v>1</v>
      </c>
      <c r="W27" s="56"/>
      <c r="X27" s="56"/>
      <c r="Y27" s="56"/>
      <c r="Z27" s="56"/>
      <c r="AA27" s="56"/>
      <c r="AB27" s="56"/>
      <c r="AC27" s="56"/>
      <c r="AD27" s="56"/>
      <c r="AE27" s="145"/>
      <c r="AF27" s="37"/>
    </row>
    <row r="28" spans="2:32" ht="12" customHeight="1" x14ac:dyDescent="0.35">
      <c r="B28" s="2">
        <f t="shared" si="6"/>
        <v>17</v>
      </c>
      <c r="C28" s="20" t="s">
        <v>127</v>
      </c>
      <c r="D28" s="20" t="s">
        <v>128</v>
      </c>
      <c r="E28" s="20"/>
      <c r="F28" s="4">
        <v>45910</v>
      </c>
      <c r="G28" s="46">
        <v>3</v>
      </c>
      <c r="H28" s="5">
        <f t="shared" si="9"/>
        <v>7</v>
      </c>
      <c r="I28" s="6">
        <f t="shared" si="7"/>
        <v>45910</v>
      </c>
      <c r="J28" s="6" cm="1">
        <f t="array" ref="J28">FinishDate(I28,G28,holidays)</f>
        <v>45913</v>
      </c>
      <c r="K28" s="44">
        <f t="shared" si="0"/>
        <v>3</v>
      </c>
      <c r="L28" s="16" cm="1">
        <f t="array" aca="1" ref="L28" ca="1">AutoProgress(I28,J28,holidays,$C$5)</f>
        <v>0</v>
      </c>
      <c r="M28" s="17">
        <f t="shared" ca="1" si="8"/>
        <v>0</v>
      </c>
      <c r="N28" s="7">
        <f t="shared" ca="1" si="1"/>
        <v>0</v>
      </c>
      <c r="O28" s="7">
        <f t="shared" ca="1" si="2"/>
        <v>0</v>
      </c>
      <c r="P28" s="7">
        <f t="shared" ca="1" si="3"/>
        <v>0</v>
      </c>
      <c r="Q28" s="7">
        <f t="shared" ca="1" si="4"/>
        <v>3</v>
      </c>
      <c r="R28" s="57" t="str">
        <f t="shared" si="5"/>
        <v>VSRM R9 (13-Sep)</v>
      </c>
      <c r="S28" s="8" t="str" cm="1">
        <f t="array" aca="1" ref="S28" ca="1">GetProgressLabel(L28,M28)</f>
        <v>0%</v>
      </c>
      <c r="T28" s="59" t="b">
        <v>0</v>
      </c>
      <c r="U28" s="139" t="s">
        <v>84</v>
      </c>
      <c r="V28" s="135">
        <v>1</v>
      </c>
      <c r="W28" s="56"/>
      <c r="X28" s="56"/>
      <c r="Y28" s="56"/>
      <c r="Z28" s="56"/>
      <c r="AA28" s="56"/>
      <c r="AB28" s="56"/>
      <c r="AC28" s="56"/>
      <c r="AD28" s="56"/>
      <c r="AE28" s="145"/>
      <c r="AF28" s="37"/>
    </row>
    <row r="29" spans="2:32" ht="12" customHeight="1" x14ac:dyDescent="0.35">
      <c r="B29" s="2">
        <f t="shared" si="6"/>
        <v>18</v>
      </c>
      <c r="C29" s="20" t="s">
        <v>129</v>
      </c>
      <c r="D29" s="20" t="s">
        <v>130</v>
      </c>
      <c r="E29" s="20"/>
      <c r="F29" s="4">
        <v>45940</v>
      </c>
      <c r="G29" s="46">
        <v>3</v>
      </c>
      <c r="H29" s="5">
        <f t="shared" si="9"/>
        <v>7</v>
      </c>
      <c r="I29" s="6">
        <f t="shared" si="7"/>
        <v>45940</v>
      </c>
      <c r="J29" s="6" cm="1">
        <f t="array" ref="J29">FinishDate(I29,G29,holidays)</f>
        <v>45946</v>
      </c>
      <c r="K29" s="44">
        <f t="shared" si="0"/>
        <v>6</v>
      </c>
      <c r="L29" s="16" cm="1">
        <f t="array" aca="1" ref="L29" ca="1">AutoProgress(I29,J29,holidays,$C$5)</f>
        <v>0</v>
      </c>
      <c r="M29" s="17">
        <f t="shared" ca="1" si="8"/>
        <v>0</v>
      </c>
      <c r="N29" s="7">
        <f t="shared" ca="1" si="1"/>
        <v>0</v>
      </c>
      <c r="O29" s="7">
        <f t="shared" ca="1" si="2"/>
        <v>0</v>
      </c>
      <c r="P29" s="7">
        <f t="shared" ca="1" si="3"/>
        <v>0</v>
      </c>
      <c r="Q29" s="7">
        <f t="shared" ca="1" si="4"/>
        <v>6</v>
      </c>
      <c r="R29" s="57" t="str">
        <f t="shared" si="5"/>
        <v>VSRM R10 (16-Oct)</v>
      </c>
      <c r="S29" s="8" t="str" cm="1">
        <f t="array" aca="1" ref="S29" ca="1">GetProgressLabel(L29,M29)</f>
        <v>0%</v>
      </c>
      <c r="T29" s="59" t="b">
        <v>0</v>
      </c>
      <c r="U29" s="139" t="s">
        <v>84</v>
      </c>
      <c r="V29" s="135">
        <v>1</v>
      </c>
      <c r="W29" s="56"/>
      <c r="X29" s="56"/>
      <c r="Y29" s="56"/>
      <c r="Z29" s="56"/>
      <c r="AA29" s="56"/>
      <c r="AB29" s="56"/>
      <c r="AC29" s="56"/>
      <c r="AD29" s="56"/>
      <c r="AE29" s="145"/>
      <c r="AF29" s="37"/>
    </row>
    <row r="30" spans="2:32" ht="12" customHeight="1" x14ac:dyDescent="0.35">
      <c r="B30" s="2">
        <f t="shared" si="6"/>
        <v>19</v>
      </c>
      <c r="C30" s="20" t="s">
        <v>131</v>
      </c>
      <c r="D30" s="3" t="s">
        <v>132</v>
      </c>
      <c r="E30" s="20"/>
      <c r="F30" s="4">
        <v>45971</v>
      </c>
      <c r="G30" s="46">
        <v>3</v>
      </c>
      <c r="H30" s="5">
        <f t="shared" si="9"/>
        <v>7</v>
      </c>
      <c r="I30" s="6">
        <f t="shared" si="7"/>
        <v>45971</v>
      </c>
      <c r="J30" s="6" cm="1">
        <f t="array" ref="J30">FinishDate(I30,G30,holidays)</f>
        <v>45974</v>
      </c>
      <c r="K30" s="44">
        <f t="shared" si="0"/>
        <v>3</v>
      </c>
      <c r="L30" s="16" cm="1">
        <f t="array" aca="1" ref="L30" ca="1">AutoProgress(I30,J30,holidays,$C$5)</f>
        <v>0</v>
      </c>
      <c r="M30" s="17">
        <f t="shared" ca="1" si="8"/>
        <v>0</v>
      </c>
      <c r="N30" s="7">
        <f t="shared" ca="1" si="1"/>
        <v>0</v>
      </c>
      <c r="O30" s="7">
        <f t="shared" ca="1" si="2"/>
        <v>0</v>
      </c>
      <c r="P30" s="7">
        <f t="shared" ca="1" si="3"/>
        <v>0</v>
      </c>
      <c r="Q30" s="7">
        <f t="shared" ca="1" si="4"/>
        <v>3</v>
      </c>
      <c r="R30" s="57" t="str">
        <f t="shared" si="5"/>
        <v>VSRM R11 (13-Nov)</v>
      </c>
      <c r="S30" s="8" t="str" cm="1">
        <f t="array" aca="1" ref="S30" ca="1">GetProgressLabel(L30,M30)</f>
        <v>0%</v>
      </c>
      <c r="T30" s="59" t="b">
        <v>0</v>
      </c>
      <c r="U30" s="139" t="s">
        <v>84</v>
      </c>
      <c r="V30" s="135">
        <v>1</v>
      </c>
      <c r="W30" s="56"/>
      <c r="X30" s="56"/>
      <c r="Y30" s="56"/>
      <c r="Z30" s="56"/>
      <c r="AA30" s="56"/>
      <c r="AB30" s="56"/>
      <c r="AC30" s="56"/>
      <c r="AD30" s="56"/>
      <c r="AE30" s="145"/>
      <c r="AF30" s="37"/>
    </row>
    <row r="31" spans="2:32" ht="12" customHeight="1" x14ac:dyDescent="0.35">
      <c r="B31" s="92">
        <f t="shared" si="6"/>
        <v>20</v>
      </c>
      <c r="C31" s="93" t="s">
        <v>133</v>
      </c>
      <c r="D31" s="93" t="s">
        <v>134</v>
      </c>
      <c r="E31" s="93"/>
      <c r="F31" s="94">
        <v>46001</v>
      </c>
      <c r="G31" s="95">
        <v>3</v>
      </c>
      <c r="H31" s="96">
        <f t="shared" si="9"/>
        <v>7</v>
      </c>
      <c r="I31" s="97">
        <f t="shared" si="7"/>
        <v>46002</v>
      </c>
      <c r="J31" s="97" cm="1">
        <f t="array" ref="J31">FinishDate(I31,G31,holidays)</f>
        <v>46007</v>
      </c>
      <c r="K31" s="98">
        <f t="shared" si="0"/>
        <v>5</v>
      </c>
      <c r="L31" s="99" cm="1">
        <f t="array" aca="1" ref="L31" ca="1">AutoProgress(I31,J31,holidays,$C$5)</f>
        <v>0</v>
      </c>
      <c r="M31" s="100">
        <f t="shared" ca="1" si="8"/>
        <v>0</v>
      </c>
      <c r="N31" s="101">
        <f t="shared" ca="1" si="1"/>
        <v>0</v>
      </c>
      <c r="O31" s="101">
        <f t="shared" ca="1" si="2"/>
        <v>0</v>
      </c>
      <c r="P31" s="101">
        <f t="shared" ca="1" si="3"/>
        <v>0</v>
      </c>
      <c r="Q31" s="101">
        <f t="shared" ca="1" si="4"/>
        <v>5</v>
      </c>
      <c r="R31" s="102" t="str">
        <f t="shared" si="5"/>
        <v>VSRM R12 (16-Dec)</v>
      </c>
      <c r="S31" s="103" t="str" cm="1">
        <f t="array" aca="1" ref="S31" ca="1">GetProgressLabel(L31,M31)</f>
        <v>0%</v>
      </c>
      <c r="T31" s="104" t="b">
        <v>0</v>
      </c>
      <c r="U31" s="140" t="s">
        <v>84</v>
      </c>
      <c r="V31" s="136">
        <v>1</v>
      </c>
      <c r="W31" s="105"/>
      <c r="X31" s="105"/>
      <c r="Y31" s="105"/>
      <c r="Z31" s="105"/>
      <c r="AA31" s="105"/>
      <c r="AB31" s="105"/>
      <c r="AC31" s="105"/>
      <c r="AD31" s="105"/>
      <c r="AE31" s="146"/>
      <c r="AF31" s="37"/>
    </row>
    <row r="32" spans="2:32" ht="12" customHeight="1" x14ac:dyDescent="0.35">
      <c r="B32" s="119">
        <f t="shared" si="6"/>
        <v>21</v>
      </c>
      <c r="C32" s="120" t="s">
        <v>144</v>
      </c>
      <c r="D32" s="120" t="s">
        <v>193</v>
      </c>
      <c r="E32" s="120"/>
      <c r="F32" s="121">
        <f>I32</f>
        <v>45733</v>
      </c>
      <c r="G32" s="122">
        <f>NETWORKDAYS(I32,J32-1,holidays)</f>
        <v>29</v>
      </c>
      <c r="H32" s="123">
        <f t="shared" ref="H32:H40" si="16">H31</f>
        <v>7</v>
      </c>
      <c r="I32" s="108">
        <f>MIN(I33:I34)</f>
        <v>45733</v>
      </c>
      <c r="J32" s="108">
        <f>MAX(J33:J34)</f>
        <v>45777</v>
      </c>
      <c r="K32" s="111">
        <f t="shared" ref="K32:K40" si="17">J32-I32</f>
        <v>44</v>
      </c>
      <c r="L32" s="112" cm="1">
        <f t="array" aca="1" ref="L32" ca="1">WeightedProgress(L33:L34,G33:G34)</f>
        <v>1</v>
      </c>
      <c r="M32" s="113" cm="1">
        <f t="array" aca="1" ref="M32" ca="1">WeightedProgress(M33:M34,G33:G34)</f>
        <v>1</v>
      </c>
      <c r="N32" s="124">
        <f t="shared" ref="N32:N49" ca="1" si="18">IF(M32&lt;L32,K32,0)</f>
        <v>0</v>
      </c>
      <c r="O32" s="124">
        <f t="shared" ref="O32:O49" ca="1" si="19">IF(M32=1,K32,0)</f>
        <v>44</v>
      </c>
      <c r="P32" s="124">
        <f t="shared" ref="P32:P49" ca="1" si="20">IF(AND(M32&gt;=L32,M32&gt;0,M32&lt;1),K32,0)</f>
        <v>0</v>
      </c>
      <c r="Q32" s="124">
        <f t="shared" ref="Q32:Q49" ca="1" si="21">K32-SUM(N32:P32)</f>
        <v>0</v>
      </c>
      <c r="R32" s="125" t="str">
        <f t="shared" ref="R32:R49" si="22">IF(H32=B32,D32,D32 &amp; TEXT(J32," ([$-en-US]dd-mmm)"))</f>
        <v>STIP Optimization (30-Apr)</v>
      </c>
      <c r="S32" s="126" t="str" cm="1">
        <f t="array" aca="1" ref="S32" ca="1">GetProgressLabel(L32,M32)</f>
        <v>100%</v>
      </c>
      <c r="T32" s="127" t="b">
        <v>1</v>
      </c>
      <c r="U32" s="141" t="s">
        <v>84</v>
      </c>
      <c r="V32" s="137">
        <v>0</v>
      </c>
      <c r="W32" s="151"/>
      <c r="X32" s="151"/>
      <c r="Y32" s="151"/>
      <c r="Z32" s="151"/>
      <c r="AA32" s="151"/>
      <c r="AB32" s="151"/>
      <c r="AC32" s="151"/>
      <c r="AD32" s="151"/>
      <c r="AE32" s="152"/>
      <c r="AF32" s="37"/>
    </row>
    <row r="33" spans="2:32" ht="12" customHeight="1" x14ac:dyDescent="0.35">
      <c r="B33" s="2">
        <f t="shared" si="6"/>
        <v>22</v>
      </c>
      <c r="C33" s="20" t="s">
        <v>136</v>
      </c>
      <c r="D33" s="3" t="s">
        <v>136</v>
      </c>
      <c r="E33" s="20"/>
      <c r="F33" s="4">
        <v>45731</v>
      </c>
      <c r="G33" s="46">
        <v>2</v>
      </c>
      <c r="H33" s="5">
        <f t="shared" si="16"/>
        <v>7</v>
      </c>
      <c r="I33" s="6">
        <f>IFERROR(WORKDAY(F33-1,1,holidays),0)</f>
        <v>45733</v>
      </c>
      <c r="J33" s="6" cm="1">
        <f t="array" ref="J33">FinishDate(I33,G33,holidays)</f>
        <v>45735</v>
      </c>
      <c r="K33" s="44">
        <f t="shared" si="17"/>
        <v>2</v>
      </c>
      <c r="L33" s="16" cm="1">
        <f t="array" aca="1" ref="L33" ca="1">AutoProgress(I33,J33,holidays,$C$5)</f>
        <v>1</v>
      </c>
      <c r="M33" s="17">
        <f ca="1">L33</f>
        <v>1</v>
      </c>
      <c r="N33" s="7">
        <f t="shared" ca="1" si="18"/>
        <v>0</v>
      </c>
      <c r="O33" s="7">
        <f t="shared" ca="1" si="19"/>
        <v>2</v>
      </c>
      <c r="P33" s="7">
        <f t="shared" ca="1" si="20"/>
        <v>0</v>
      </c>
      <c r="Q33" s="7">
        <f t="shared" ca="1" si="21"/>
        <v>0</v>
      </c>
      <c r="R33" s="57" t="str">
        <f t="shared" si="22"/>
        <v>Kick-Off meeting (19-Mar)</v>
      </c>
      <c r="S33" s="8" t="str" cm="1">
        <f t="array" aca="1" ref="S33" ca="1">GetProgressLabel(L33,M33)</f>
        <v>100%</v>
      </c>
      <c r="T33" s="59" t="b">
        <v>0</v>
      </c>
      <c r="U33" s="139" t="s">
        <v>84</v>
      </c>
      <c r="V33" s="135">
        <v>0.5</v>
      </c>
      <c r="W33" s="151"/>
      <c r="X33" s="151"/>
      <c r="Y33" s="151"/>
      <c r="Z33" s="151"/>
      <c r="AA33" s="151"/>
      <c r="AB33" s="151"/>
      <c r="AC33" s="151"/>
      <c r="AD33" s="151"/>
      <c r="AE33" s="152"/>
      <c r="AF33" s="37"/>
    </row>
    <row r="34" spans="2:32" ht="12" customHeight="1" x14ac:dyDescent="0.35">
      <c r="B34" s="92">
        <f t="shared" si="6"/>
        <v>23</v>
      </c>
      <c r="C34" s="93" t="s">
        <v>145</v>
      </c>
      <c r="D34" s="93" t="s">
        <v>185</v>
      </c>
      <c r="E34" s="93"/>
      <c r="F34" s="94">
        <v>45775</v>
      </c>
      <c r="G34" s="95">
        <v>2</v>
      </c>
      <c r="H34" s="96">
        <f t="shared" si="16"/>
        <v>7</v>
      </c>
      <c r="I34" s="97">
        <f>IFERROR(WORKDAY(F34-1,1,holidays),0)</f>
        <v>45775</v>
      </c>
      <c r="J34" s="97" cm="1">
        <f t="array" ref="J34">FinishDate(I34,G34,holidays)</f>
        <v>45777</v>
      </c>
      <c r="K34" s="98">
        <f t="shared" si="17"/>
        <v>2</v>
      </c>
      <c r="L34" s="99" cm="1">
        <f t="array" aca="1" ref="L34" ca="1">AutoProgress(I34,J34,holidays,$C$5)</f>
        <v>1</v>
      </c>
      <c r="M34" s="100">
        <f ca="1">L34</f>
        <v>1</v>
      </c>
      <c r="N34" s="101">
        <f t="shared" ca="1" si="18"/>
        <v>0</v>
      </c>
      <c r="O34" s="101">
        <f t="shared" ca="1" si="19"/>
        <v>2</v>
      </c>
      <c r="P34" s="101">
        <f t="shared" ca="1" si="20"/>
        <v>0</v>
      </c>
      <c r="Q34" s="101">
        <f t="shared" ca="1" si="21"/>
        <v>0</v>
      </c>
      <c r="R34" s="102" t="str">
        <f t="shared" si="22"/>
        <v>Recom. (30-Apr)</v>
      </c>
      <c r="S34" s="103" t="str" cm="1">
        <f t="array" aca="1" ref="S34" ca="1">GetProgressLabel(L34,M34)</f>
        <v>100%</v>
      </c>
      <c r="T34" s="104" t="b">
        <v>0</v>
      </c>
      <c r="U34" s="140" t="s">
        <v>84</v>
      </c>
      <c r="V34" s="136">
        <v>0.5</v>
      </c>
      <c r="W34" s="151"/>
      <c r="X34" s="151"/>
      <c r="Y34" s="151"/>
      <c r="Z34" s="151"/>
      <c r="AA34" s="151"/>
      <c r="AB34" s="151"/>
      <c r="AC34" s="151"/>
      <c r="AD34" s="151"/>
      <c r="AE34" s="152"/>
      <c r="AF34" s="37"/>
    </row>
    <row r="35" spans="2:32" ht="12" customHeight="1" x14ac:dyDescent="0.35">
      <c r="B35" s="119">
        <f t="shared" si="6"/>
        <v>24</v>
      </c>
      <c r="C35" s="120" t="s">
        <v>153</v>
      </c>
      <c r="D35" s="130" t="s">
        <v>194</v>
      </c>
      <c r="E35" s="131"/>
      <c r="F35" s="121">
        <f>I35</f>
        <v>45733</v>
      </c>
      <c r="G35" s="122">
        <f>NETWORKDAYS(I35,J35-1,holidays)</f>
        <v>78</v>
      </c>
      <c r="H35" s="123">
        <f t="shared" si="16"/>
        <v>7</v>
      </c>
      <c r="I35" s="108">
        <f>MIN(I36:I40)</f>
        <v>45733</v>
      </c>
      <c r="J35" s="108">
        <f>MAX(J36:J40)</f>
        <v>45854</v>
      </c>
      <c r="K35" s="111">
        <f t="shared" si="17"/>
        <v>121</v>
      </c>
      <c r="L35" s="112" cm="1">
        <f t="array" aca="1" ref="L35" ca="1">WeightedProgress(L36:L40,G36:G40)</f>
        <v>0.75</v>
      </c>
      <c r="M35" s="113" cm="1">
        <f t="array" aca="1" ref="M35" ca="1">WeightedProgress(M36:M40,G36:G40)</f>
        <v>0.75</v>
      </c>
      <c r="N35" s="124">
        <f t="shared" ca="1" si="18"/>
        <v>0</v>
      </c>
      <c r="O35" s="124">
        <f t="shared" ca="1" si="19"/>
        <v>0</v>
      </c>
      <c r="P35" s="124">
        <f t="shared" ca="1" si="20"/>
        <v>121</v>
      </c>
      <c r="Q35" s="124">
        <f t="shared" ca="1" si="21"/>
        <v>0</v>
      </c>
      <c r="R35" s="125" t="str">
        <f t="shared" si="22"/>
        <v>VPTL – Credit &amp; Debit (16-Jul)</v>
      </c>
      <c r="S35" s="126" t="str" cm="1">
        <f t="array" aca="1" ref="S35" ca="1">GetProgressLabel(L35,M35)</f>
        <v>75% (75%)</v>
      </c>
      <c r="T35" s="127" t="b">
        <v>1</v>
      </c>
      <c r="U35" s="141" t="s">
        <v>84</v>
      </c>
      <c r="V35" s="137">
        <v>0</v>
      </c>
      <c r="W35" s="151"/>
      <c r="X35" s="151"/>
      <c r="Y35" s="151"/>
      <c r="Z35" s="151"/>
      <c r="AA35" s="151"/>
      <c r="AB35" s="151"/>
      <c r="AC35" s="151"/>
      <c r="AD35" s="151"/>
      <c r="AE35" s="152"/>
      <c r="AF35" s="37"/>
    </row>
    <row r="36" spans="2:32" ht="12" customHeight="1" x14ac:dyDescent="0.35">
      <c r="B36" s="2">
        <f t="shared" si="6"/>
        <v>25</v>
      </c>
      <c r="C36" s="20" t="s">
        <v>136</v>
      </c>
      <c r="D36" s="20" t="s">
        <v>136</v>
      </c>
      <c r="E36" s="20"/>
      <c r="F36" s="4">
        <v>45733</v>
      </c>
      <c r="G36" s="46">
        <v>2</v>
      </c>
      <c r="H36" s="5">
        <f t="shared" si="16"/>
        <v>7</v>
      </c>
      <c r="I36" s="6">
        <f>IFERROR(WORKDAY(F36-1,1,holidays),0)</f>
        <v>45733</v>
      </c>
      <c r="J36" s="6" cm="1">
        <f t="array" ref="J36">FinishDate(I36,G36,holidays)</f>
        <v>45735</v>
      </c>
      <c r="K36" s="44">
        <f t="shared" si="17"/>
        <v>2</v>
      </c>
      <c r="L36" s="16" cm="1">
        <f t="array" aca="1" ref="L36" ca="1">AutoProgress(I36,J36,holidays,$C$5)</f>
        <v>1</v>
      </c>
      <c r="M36" s="17">
        <f ca="1">L36</f>
        <v>1</v>
      </c>
      <c r="N36" s="7">
        <f t="shared" ca="1" si="18"/>
        <v>0</v>
      </c>
      <c r="O36" s="7">
        <f t="shared" ca="1" si="19"/>
        <v>2</v>
      </c>
      <c r="P36" s="7">
        <f t="shared" ca="1" si="20"/>
        <v>0</v>
      </c>
      <c r="Q36" s="7">
        <f t="shared" ca="1" si="21"/>
        <v>0</v>
      </c>
      <c r="R36" s="57" t="str">
        <f t="shared" si="22"/>
        <v>Kick-Off meeting (19-Mar)</v>
      </c>
      <c r="S36" s="8" t="str" cm="1">
        <f t="array" aca="1" ref="S36" ca="1">GetProgressLabel(L36,M36)</f>
        <v>100%</v>
      </c>
      <c r="T36" s="59" t="b">
        <v>0</v>
      </c>
      <c r="U36" s="139" t="s">
        <v>84</v>
      </c>
      <c r="V36" s="135">
        <v>0.5</v>
      </c>
      <c r="W36" s="151"/>
      <c r="X36" s="151"/>
      <c r="Y36" s="151"/>
      <c r="Z36" s="151"/>
      <c r="AA36" s="151"/>
      <c r="AB36" s="151"/>
      <c r="AC36" s="151"/>
      <c r="AD36" s="151"/>
      <c r="AE36" s="152"/>
      <c r="AF36" s="37"/>
    </row>
    <row r="37" spans="2:32" ht="12" customHeight="1" x14ac:dyDescent="0.35">
      <c r="B37" s="2">
        <f t="shared" si="6"/>
        <v>26</v>
      </c>
      <c r="C37" s="20" t="s">
        <v>154</v>
      </c>
      <c r="D37" s="20" t="s">
        <v>155</v>
      </c>
      <c r="E37" s="20"/>
      <c r="F37" s="4">
        <v>45803</v>
      </c>
      <c r="G37" s="46">
        <v>10</v>
      </c>
      <c r="H37" s="5">
        <f t="shared" si="16"/>
        <v>7</v>
      </c>
      <c r="I37" s="6">
        <f>IFERROR(WORKDAY(F37-1,1,holidays),0)</f>
        <v>45803</v>
      </c>
      <c r="J37" s="6" cm="1">
        <f t="array" ref="J37">FinishDate(I37,G37,holidays)</f>
        <v>45819</v>
      </c>
      <c r="K37" s="44">
        <f t="shared" si="17"/>
        <v>16</v>
      </c>
      <c r="L37" s="16" cm="1">
        <f t="array" aca="1" ref="L37" ca="1">AutoProgress(I37,J37,holidays,$C$5)</f>
        <v>1</v>
      </c>
      <c r="M37" s="17">
        <f ca="1">L37</f>
        <v>1</v>
      </c>
      <c r="N37" s="7">
        <f t="shared" ca="1" si="18"/>
        <v>0</v>
      </c>
      <c r="O37" s="7">
        <f t="shared" ca="1" si="19"/>
        <v>16</v>
      </c>
      <c r="P37" s="7">
        <f t="shared" ca="1" si="20"/>
        <v>0</v>
      </c>
      <c r="Q37" s="7">
        <f t="shared" ca="1" si="21"/>
        <v>0</v>
      </c>
      <c r="R37" s="57" t="str">
        <f t="shared" si="22"/>
        <v>2-week testing (Credit) (11-Jun)</v>
      </c>
      <c r="S37" s="8" t="str" cm="1">
        <f t="array" aca="1" ref="S37" ca="1">GetProgressLabel(L37,M37)</f>
        <v>100%</v>
      </c>
      <c r="T37" s="59" t="b">
        <v>0</v>
      </c>
      <c r="U37" s="139" t="s">
        <v>84</v>
      </c>
      <c r="V37" s="135">
        <v>1.25</v>
      </c>
      <c r="W37" s="151"/>
      <c r="X37" s="151"/>
      <c r="Y37" s="151"/>
      <c r="Z37" s="151"/>
      <c r="AA37" s="151"/>
      <c r="AB37" s="151"/>
      <c r="AC37" s="151"/>
      <c r="AD37" s="151"/>
      <c r="AE37" s="152"/>
      <c r="AF37" s="37"/>
    </row>
    <row r="38" spans="2:32" ht="12" customHeight="1" x14ac:dyDescent="0.35">
      <c r="B38" s="2">
        <f t="shared" si="6"/>
        <v>27</v>
      </c>
      <c r="C38" s="20" t="s">
        <v>156</v>
      </c>
      <c r="D38" s="20" t="s">
        <v>157</v>
      </c>
      <c r="E38" s="20"/>
      <c r="F38" s="4">
        <v>45824</v>
      </c>
      <c r="G38" s="46">
        <v>10</v>
      </c>
      <c r="H38" s="5">
        <f t="shared" si="16"/>
        <v>7</v>
      </c>
      <c r="I38" s="6">
        <f>IFERROR(WORKDAY(F38-1,1,holidays),0)</f>
        <v>45824</v>
      </c>
      <c r="J38" s="6" cm="1">
        <f t="array" ref="J38">FinishDate(I38,G38,holidays)</f>
        <v>45836</v>
      </c>
      <c r="K38" s="44">
        <f t="shared" si="17"/>
        <v>12</v>
      </c>
      <c r="L38" s="16" cm="1">
        <f t="array" aca="1" ref="L38" ca="1">AutoProgress(I38,J38,holidays,$C$5)</f>
        <v>0.5</v>
      </c>
      <c r="M38" s="17">
        <f ca="1">L38</f>
        <v>0.5</v>
      </c>
      <c r="N38" s="7">
        <f t="shared" ca="1" si="18"/>
        <v>0</v>
      </c>
      <c r="O38" s="7">
        <f t="shared" ca="1" si="19"/>
        <v>0</v>
      </c>
      <c r="P38" s="7">
        <f t="shared" ca="1" si="20"/>
        <v>12</v>
      </c>
      <c r="Q38" s="7">
        <f t="shared" ca="1" si="21"/>
        <v>0</v>
      </c>
      <c r="R38" s="57" t="str">
        <f t="shared" si="22"/>
        <v>2-week testing (Debit) (28-Jun)</v>
      </c>
      <c r="S38" s="8" t="str" cm="1">
        <f t="array" aca="1" ref="S38" ca="1">GetProgressLabel(L38,M38)</f>
        <v>50% (50%)</v>
      </c>
      <c r="T38" s="59" t="b">
        <v>0</v>
      </c>
      <c r="U38" s="139" t="s">
        <v>84</v>
      </c>
      <c r="V38" s="135">
        <v>1.25</v>
      </c>
      <c r="W38" s="151"/>
      <c r="X38" s="151"/>
      <c r="Y38" s="151"/>
      <c r="Z38" s="151"/>
      <c r="AA38" s="151"/>
      <c r="AB38" s="151"/>
      <c r="AC38" s="151"/>
      <c r="AD38" s="151"/>
      <c r="AE38" s="152"/>
      <c r="AF38" s="37"/>
    </row>
    <row r="39" spans="2:32" ht="12" customHeight="1" x14ac:dyDescent="0.35">
      <c r="B39" s="2">
        <f t="shared" si="6"/>
        <v>28</v>
      </c>
      <c r="C39" s="20" t="s">
        <v>158</v>
      </c>
      <c r="D39" s="20" t="s">
        <v>183</v>
      </c>
      <c r="E39" s="20"/>
      <c r="F39" s="4">
        <v>45823</v>
      </c>
      <c r="G39" s="46">
        <v>1</v>
      </c>
      <c r="H39" s="5">
        <f t="shared" si="16"/>
        <v>7</v>
      </c>
      <c r="I39" s="6">
        <f>IFERROR(WORKDAY(F39-1,1,holidays),0)</f>
        <v>45824</v>
      </c>
      <c r="J39" s="6" cm="1">
        <f t="array" ref="J39">FinishDate(I39,G39,holidays)</f>
        <v>45825</v>
      </c>
      <c r="K39" s="44">
        <f t="shared" si="17"/>
        <v>1</v>
      </c>
      <c r="L39" s="16" cm="1">
        <f t="array" aca="1" ref="L39" ca="1">AutoProgress(I39,J39,holidays,$C$5)</f>
        <v>1</v>
      </c>
      <c r="M39" s="17">
        <f ca="1">L39</f>
        <v>1</v>
      </c>
      <c r="N39" s="7">
        <f t="shared" ca="1" si="18"/>
        <v>0</v>
      </c>
      <c r="O39" s="7">
        <f t="shared" ca="1" si="19"/>
        <v>1</v>
      </c>
      <c r="P39" s="7">
        <f t="shared" ca="1" si="20"/>
        <v>0</v>
      </c>
      <c r="Q39" s="7">
        <f t="shared" ca="1" si="21"/>
        <v>0</v>
      </c>
      <c r="R39" s="57" t="str">
        <f t="shared" si="22"/>
        <v>Recom. (Credit) (17-Jun)</v>
      </c>
      <c r="S39" s="8" t="str" cm="1">
        <f t="array" aca="1" ref="S39" ca="1">GetProgressLabel(L39,M39)</f>
        <v>100%</v>
      </c>
      <c r="T39" s="59" t="b">
        <v>0</v>
      </c>
      <c r="U39" s="139" t="s">
        <v>84</v>
      </c>
      <c r="V39" s="135">
        <v>0.25</v>
      </c>
      <c r="W39" s="151"/>
      <c r="X39" s="151"/>
      <c r="Y39" s="151"/>
      <c r="Z39" s="151"/>
      <c r="AA39" s="151"/>
      <c r="AB39" s="151"/>
      <c r="AC39" s="151"/>
      <c r="AD39" s="151"/>
      <c r="AE39" s="152"/>
      <c r="AF39" s="37"/>
    </row>
    <row r="40" spans="2:32" ht="12" customHeight="1" x14ac:dyDescent="0.35">
      <c r="B40" s="92">
        <f t="shared" si="6"/>
        <v>29</v>
      </c>
      <c r="C40" s="93" t="s">
        <v>159</v>
      </c>
      <c r="D40" s="93" t="s">
        <v>184</v>
      </c>
      <c r="E40" s="93"/>
      <c r="F40" s="94">
        <v>45853</v>
      </c>
      <c r="G40" s="95">
        <v>1</v>
      </c>
      <c r="H40" s="96">
        <f t="shared" si="16"/>
        <v>7</v>
      </c>
      <c r="I40" s="97">
        <f>IFERROR(WORKDAY(F40-1,1,holidays),0)</f>
        <v>45853</v>
      </c>
      <c r="J40" s="97" cm="1">
        <f t="array" ref="J40">FinishDate(I40,G40,holidays)</f>
        <v>45854</v>
      </c>
      <c r="K40" s="98">
        <f t="shared" si="17"/>
        <v>1</v>
      </c>
      <c r="L40" s="99" cm="1">
        <f t="array" aca="1" ref="L40" ca="1">AutoProgress(I40,J40,holidays,$C$5)</f>
        <v>0</v>
      </c>
      <c r="M40" s="100">
        <f ca="1">L40</f>
        <v>0</v>
      </c>
      <c r="N40" s="101">
        <f t="shared" ca="1" si="18"/>
        <v>0</v>
      </c>
      <c r="O40" s="101">
        <f t="shared" ca="1" si="19"/>
        <v>0</v>
      </c>
      <c r="P40" s="101">
        <f t="shared" ca="1" si="20"/>
        <v>0</v>
      </c>
      <c r="Q40" s="101">
        <f t="shared" ca="1" si="21"/>
        <v>1</v>
      </c>
      <c r="R40" s="102" t="str">
        <f t="shared" si="22"/>
        <v>Recom. (Debit) (16-Jul)</v>
      </c>
      <c r="S40" s="103" t="str" cm="1">
        <f t="array" aca="1" ref="S40" ca="1">GetProgressLabel(L40,M40)</f>
        <v>0%</v>
      </c>
      <c r="T40" s="104" t="b">
        <v>0</v>
      </c>
      <c r="U40" s="140" t="s">
        <v>84</v>
      </c>
      <c r="V40" s="136">
        <v>0.25</v>
      </c>
      <c r="W40" s="151"/>
      <c r="X40" s="151"/>
      <c r="Y40" s="151"/>
      <c r="Z40" s="151"/>
      <c r="AA40" s="151"/>
      <c r="AB40" s="151"/>
      <c r="AC40" s="151"/>
      <c r="AD40" s="151"/>
      <c r="AE40" s="152"/>
      <c r="AF40" s="37"/>
    </row>
    <row r="41" spans="2:32" ht="12" customHeight="1" x14ac:dyDescent="0.35">
      <c r="B41" s="119">
        <f t="shared" si="6"/>
        <v>30</v>
      </c>
      <c r="C41" s="120" t="s">
        <v>135</v>
      </c>
      <c r="D41" s="130" t="s">
        <v>195</v>
      </c>
      <c r="E41" s="131"/>
      <c r="F41" s="121">
        <f>I41</f>
        <v>45691</v>
      </c>
      <c r="G41" s="122">
        <f>NETWORKDAYS(I41,J41-1,holidays)</f>
        <v>91</v>
      </c>
      <c r="H41" s="123">
        <f>B41</f>
        <v>30</v>
      </c>
      <c r="I41" s="108">
        <f>MIN(I42:I45)</f>
        <v>45691</v>
      </c>
      <c r="J41" s="108">
        <f>MAX(J42:J45)</f>
        <v>45829</v>
      </c>
      <c r="K41" s="111">
        <f t="shared" ref="K41" si="23">J41-I41</f>
        <v>138</v>
      </c>
      <c r="L41" s="112" cm="1">
        <f t="array" aca="1" ref="L41" ca="1">WeightedProgress(L42:L45,G42:G45)</f>
        <v>1</v>
      </c>
      <c r="M41" s="113" cm="1">
        <f t="array" aca="1" ref="M41" ca="1">WeightedProgress(M42:M45,G42:G45)</f>
        <v>1</v>
      </c>
      <c r="N41" s="124">
        <f t="shared" ca="1" si="18"/>
        <v>0</v>
      </c>
      <c r="O41" s="124">
        <f t="shared" ca="1" si="19"/>
        <v>138</v>
      </c>
      <c r="P41" s="124">
        <f t="shared" ca="1" si="20"/>
        <v>0</v>
      </c>
      <c r="Q41" s="124">
        <f t="shared" ca="1" si="21"/>
        <v>0</v>
      </c>
      <c r="R41" s="125" t="str">
        <f t="shared" si="22"/>
        <v>Enterprise Fraud Mgmt.</v>
      </c>
      <c r="S41" s="126" t="str" cm="1">
        <f t="array" aca="1" ref="S41" ca="1">GetProgressLabel(L41,M41)</f>
        <v>100%</v>
      </c>
      <c r="T41" s="127" t="b">
        <v>1</v>
      </c>
      <c r="U41" s="141" t="s">
        <v>84</v>
      </c>
      <c r="V41" s="137">
        <v>0</v>
      </c>
      <c r="W41" s="151"/>
      <c r="X41" s="151"/>
      <c r="Y41" s="151"/>
      <c r="Z41" s="151"/>
      <c r="AA41" s="151"/>
      <c r="AB41" s="151"/>
      <c r="AC41" s="151"/>
      <c r="AD41" s="151"/>
      <c r="AE41" s="152"/>
      <c r="AF41" s="37"/>
    </row>
    <row r="42" spans="2:32" ht="12" customHeight="1" x14ac:dyDescent="0.35">
      <c r="B42" s="2">
        <f t="shared" si="6"/>
        <v>31</v>
      </c>
      <c r="C42" s="20" t="s">
        <v>136</v>
      </c>
      <c r="D42" s="20" t="s">
        <v>137</v>
      </c>
      <c r="E42" s="20"/>
      <c r="F42" s="4">
        <v>45691</v>
      </c>
      <c r="G42" s="46">
        <v>2</v>
      </c>
      <c r="H42" s="5">
        <f>H41</f>
        <v>30</v>
      </c>
      <c r="I42" s="6">
        <f>IFERROR(WORKDAY(F42-1,1,holidays),0)</f>
        <v>45691</v>
      </c>
      <c r="J42" s="6" cm="1">
        <f t="array" ref="J42">FinishDate(I42,G42,holidays)</f>
        <v>45693</v>
      </c>
      <c r="K42" s="44">
        <f>J42-I42</f>
        <v>2</v>
      </c>
      <c r="L42" s="16" cm="1">
        <f t="array" aca="1" ref="L42" ca="1">AutoProgress(I42,J42,holidays,$C$5)</f>
        <v>1</v>
      </c>
      <c r="M42" s="17">
        <f ca="1">L42</f>
        <v>1</v>
      </c>
      <c r="N42" s="7">
        <f t="shared" ca="1" si="18"/>
        <v>0</v>
      </c>
      <c r="O42" s="7">
        <f t="shared" ca="1" si="19"/>
        <v>2</v>
      </c>
      <c r="P42" s="7">
        <f t="shared" ca="1" si="20"/>
        <v>0</v>
      </c>
      <c r="Q42" s="7">
        <f t="shared" ca="1" si="21"/>
        <v>0</v>
      </c>
      <c r="R42" s="57" t="str">
        <f t="shared" si="22"/>
        <v>Kick-Off Meeting (05-Feb)</v>
      </c>
      <c r="S42" s="8" t="str" cm="1">
        <f t="array" aca="1" ref="S42" ca="1">GetProgressLabel(L42,M42)</f>
        <v>100%</v>
      </c>
      <c r="T42" s="59" t="b">
        <v>0</v>
      </c>
      <c r="U42" s="139" t="s">
        <v>84</v>
      </c>
      <c r="V42" s="135">
        <v>0.5</v>
      </c>
      <c r="W42" s="128"/>
      <c r="X42" s="128"/>
      <c r="Y42" s="128"/>
      <c r="Z42" s="128"/>
      <c r="AA42" s="128"/>
      <c r="AB42" s="128"/>
      <c r="AC42" s="128"/>
      <c r="AD42" s="128"/>
      <c r="AE42" s="129"/>
      <c r="AF42" s="37"/>
    </row>
    <row r="43" spans="2:32" ht="12" customHeight="1" x14ac:dyDescent="0.35">
      <c r="B43" s="2">
        <f t="shared" si="6"/>
        <v>32</v>
      </c>
      <c r="C43" s="20" t="s">
        <v>138</v>
      </c>
      <c r="D43" s="20" t="s">
        <v>139</v>
      </c>
      <c r="E43" s="20"/>
      <c r="F43" s="4">
        <v>45734</v>
      </c>
      <c r="G43" s="46">
        <v>2</v>
      </c>
      <c r="H43" s="5">
        <f>H42</f>
        <v>30</v>
      </c>
      <c r="I43" s="6">
        <f>IFERROR(WORKDAY(F43-1,1,holidays),0)</f>
        <v>45734</v>
      </c>
      <c r="J43" s="6" cm="1">
        <f t="array" ref="J43">FinishDate(I43,G43,holidays)</f>
        <v>45736</v>
      </c>
      <c r="K43" s="44">
        <f>J43-I43</f>
        <v>2</v>
      </c>
      <c r="L43" s="16" cm="1">
        <f t="array" aca="1" ref="L43" ca="1">AutoProgress(I43,J43,holidays,$C$5)</f>
        <v>1</v>
      </c>
      <c r="M43" s="17">
        <f ca="1">L43</f>
        <v>1</v>
      </c>
      <c r="N43" s="7">
        <f t="shared" ca="1" si="18"/>
        <v>0</v>
      </c>
      <c r="O43" s="7">
        <f t="shared" ca="1" si="19"/>
        <v>2</v>
      </c>
      <c r="P43" s="7">
        <f t="shared" ca="1" si="20"/>
        <v>0</v>
      </c>
      <c r="Q43" s="7">
        <f t="shared" ca="1" si="21"/>
        <v>0</v>
      </c>
      <c r="R43" s="57" t="str">
        <f t="shared" si="22"/>
        <v>WS1 (20-Mar)</v>
      </c>
      <c r="S43" s="8" t="str" cm="1">
        <f t="array" aca="1" ref="S43" ca="1">GetProgressLabel(L43,M43)</f>
        <v>100%</v>
      </c>
      <c r="T43" s="59" t="b">
        <v>1</v>
      </c>
      <c r="U43" s="139" t="s">
        <v>84</v>
      </c>
      <c r="V43" s="135">
        <v>2</v>
      </c>
      <c r="W43" s="56"/>
      <c r="X43" s="56"/>
      <c r="Y43" s="56"/>
      <c r="Z43" s="56"/>
      <c r="AA43" s="56"/>
      <c r="AB43" s="56"/>
      <c r="AC43" s="56"/>
      <c r="AD43" s="56"/>
      <c r="AE43" s="145"/>
      <c r="AF43" s="37"/>
    </row>
    <row r="44" spans="2:32" ht="12" customHeight="1" x14ac:dyDescent="0.35">
      <c r="B44" s="2">
        <f t="shared" si="6"/>
        <v>33</v>
      </c>
      <c r="C44" s="20" t="s">
        <v>140</v>
      </c>
      <c r="D44" s="20" t="s">
        <v>141</v>
      </c>
      <c r="E44" s="20"/>
      <c r="F44" s="4">
        <v>45790</v>
      </c>
      <c r="G44" s="46">
        <v>4</v>
      </c>
      <c r="H44" s="5">
        <f>H43</f>
        <v>30</v>
      </c>
      <c r="I44" s="6">
        <f>IFERROR(WORKDAY(F44-1,1,holidays),0)</f>
        <v>45790</v>
      </c>
      <c r="J44" s="6" cm="1">
        <f t="array" ref="J44">FinishDate(I44,G44,holidays)</f>
        <v>45794</v>
      </c>
      <c r="K44" s="44">
        <f>J44-I44</f>
        <v>4</v>
      </c>
      <c r="L44" s="16" cm="1">
        <f t="array" aca="1" ref="L44" ca="1">AutoProgress(I44,J44,holidays,$C$5)</f>
        <v>1</v>
      </c>
      <c r="M44" s="17">
        <f ca="1">L44</f>
        <v>1</v>
      </c>
      <c r="N44" s="7">
        <f t="shared" ca="1" si="18"/>
        <v>0</v>
      </c>
      <c r="O44" s="7">
        <f t="shared" ca="1" si="19"/>
        <v>4</v>
      </c>
      <c r="P44" s="7">
        <f t="shared" ca="1" si="20"/>
        <v>0</v>
      </c>
      <c r="Q44" s="7">
        <f t="shared" ca="1" si="21"/>
        <v>0</v>
      </c>
      <c r="R44" s="57" t="str">
        <f t="shared" si="22"/>
        <v>WS2 (17-May)</v>
      </c>
      <c r="S44" s="8" t="str" cm="1">
        <f t="array" aca="1" ref="S44" ca="1">GetProgressLabel(L44,M44)</f>
        <v>100%</v>
      </c>
      <c r="T44" s="59" t="b">
        <v>1</v>
      </c>
      <c r="U44" s="139" t="s">
        <v>84</v>
      </c>
      <c r="V44" s="135">
        <v>4</v>
      </c>
      <c r="W44" s="56"/>
      <c r="X44" s="56"/>
      <c r="Y44" s="56"/>
      <c r="Z44" s="56"/>
      <c r="AA44" s="56"/>
      <c r="AB44" s="56"/>
      <c r="AC44" s="56"/>
      <c r="AD44" s="56"/>
      <c r="AE44" s="145"/>
      <c r="AF44" s="37"/>
    </row>
    <row r="45" spans="2:32" ht="12" customHeight="1" x14ac:dyDescent="0.35">
      <c r="B45" s="92">
        <f t="shared" si="6"/>
        <v>34</v>
      </c>
      <c r="C45" s="93" t="s">
        <v>142</v>
      </c>
      <c r="D45" s="93" t="s">
        <v>143</v>
      </c>
      <c r="E45" s="93"/>
      <c r="F45" s="94">
        <v>45828</v>
      </c>
      <c r="G45" s="95">
        <v>1</v>
      </c>
      <c r="H45" s="96">
        <f>H44</f>
        <v>30</v>
      </c>
      <c r="I45" s="97">
        <f>IFERROR(WORKDAY(F45-1,1,holidays),0)</f>
        <v>45828</v>
      </c>
      <c r="J45" s="97" cm="1">
        <f t="array" ref="J45">FinishDate(I45,G45,holidays)</f>
        <v>45829</v>
      </c>
      <c r="K45" s="98">
        <f>J45-I45</f>
        <v>1</v>
      </c>
      <c r="L45" s="99" cm="1">
        <f t="array" aca="1" ref="L45" ca="1">AutoProgress(I45,J45,holidays,$C$5)</f>
        <v>1</v>
      </c>
      <c r="M45" s="100">
        <f ca="1">L45</f>
        <v>1</v>
      </c>
      <c r="N45" s="101">
        <f t="shared" ca="1" si="18"/>
        <v>0</v>
      </c>
      <c r="O45" s="101">
        <f t="shared" ca="1" si="19"/>
        <v>1</v>
      </c>
      <c r="P45" s="101">
        <f t="shared" ca="1" si="20"/>
        <v>0</v>
      </c>
      <c r="Q45" s="101">
        <f t="shared" ca="1" si="21"/>
        <v>0</v>
      </c>
      <c r="R45" s="102" t="str">
        <f t="shared" si="22"/>
        <v>Final Delivery (21-Jun)</v>
      </c>
      <c r="S45" s="103" t="str" cm="1">
        <f t="array" aca="1" ref="S45" ca="1">GetProgressLabel(L45,M45)</f>
        <v>100%</v>
      </c>
      <c r="T45" s="104" t="b">
        <v>1</v>
      </c>
      <c r="U45" s="140" t="s">
        <v>84</v>
      </c>
      <c r="V45" s="136">
        <v>1</v>
      </c>
      <c r="W45" s="56"/>
      <c r="X45" s="56"/>
      <c r="Y45" s="56"/>
      <c r="Z45" s="56"/>
      <c r="AA45" s="56"/>
      <c r="AB45" s="56"/>
      <c r="AC45" s="56"/>
      <c r="AD45" s="56"/>
      <c r="AE45" s="145"/>
      <c r="AF45" s="37"/>
    </row>
    <row r="46" spans="2:32" ht="12" customHeight="1" x14ac:dyDescent="0.35">
      <c r="B46" s="119">
        <f t="shared" si="6"/>
        <v>35</v>
      </c>
      <c r="C46" s="120" t="s">
        <v>146</v>
      </c>
      <c r="D46" s="130" t="s">
        <v>146</v>
      </c>
      <c r="E46" s="131"/>
      <c r="F46" s="121">
        <f>I46</f>
        <v>45691</v>
      </c>
      <c r="G46" s="122">
        <f>NETWORKDAYS(I46,J46-1,holidays)</f>
        <v>129</v>
      </c>
      <c r="H46" s="123">
        <f>B46</f>
        <v>35</v>
      </c>
      <c r="I46" s="108">
        <f>MIN(I47:I52)</f>
        <v>45691</v>
      </c>
      <c r="J46" s="108">
        <f>MAX(J47:J52)</f>
        <v>45889</v>
      </c>
      <c r="K46" s="111">
        <f t="shared" ref="K46" si="24">J46-I46</f>
        <v>198</v>
      </c>
      <c r="L46" s="112" cm="1">
        <f t="array" aca="1" ref="L46" ca="1">WeightedProgress(L47:L52,G47:G52)</f>
        <v>0.20754716981132076</v>
      </c>
      <c r="M46" s="113" cm="1">
        <f t="array" aca="1" ref="M46" ca="1">WeightedProgress(M47:M52,G47:G52)</f>
        <v>0.20754716981132076</v>
      </c>
      <c r="N46" s="124">
        <f t="shared" ca="1" si="18"/>
        <v>0</v>
      </c>
      <c r="O46" s="124">
        <f t="shared" ca="1" si="19"/>
        <v>0</v>
      </c>
      <c r="P46" s="124">
        <f t="shared" ca="1" si="20"/>
        <v>198</v>
      </c>
      <c r="Q46" s="124">
        <f t="shared" ca="1" si="21"/>
        <v>0</v>
      </c>
      <c r="R46" s="125" t="str">
        <f t="shared" si="22"/>
        <v xml:space="preserve">Fraud Risk Analytics </v>
      </c>
      <c r="S46" s="126" t="str" cm="1">
        <f t="array" aca="1" ref="S46" ca="1">GetProgressLabel(L46,M46)</f>
        <v>21% (21%)</v>
      </c>
      <c r="T46" s="127" t="b">
        <v>1</v>
      </c>
      <c r="U46" s="141" t="s">
        <v>84</v>
      </c>
      <c r="V46" s="137">
        <v>0</v>
      </c>
      <c r="W46" s="105"/>
      <c r="X46" s="105"/>
      <c r="Y46" s="105"/>
      <c r="Z46" s="105"/>
      <c r="AA46" s="105"/>
      <c r="AB46" s="105"/>
      <c r="AC46" s="105"/>
      <c r="AD46" s="105"/>
      <c r="AE46" s="146"/>
      <c r="AF46" s="37"/>
    </row>
    <row r="47" spans="2:32" ht="12" customHeight="1" x14ac:dyDescent="0.35">
      <c r="B47" s="2">
        <f t="shared" si="6"/>
        <v>36</v>
      </c>
      <c r="C47" s="20" t="s">
        <v>147</v>
      </c>
      <c r="D47" s="20" t="s">
        <v>147</v>
      </c>
      <c r="E47" s="20"/>
      <c r="F47" s="4">
        <v>45691</v>
      </c>
      <c r="G47" s="46">
        <v>2</v>
      </c>
      <c r="H47" s="5">
        <f>H46</f>
        <v>35</v>
      </c>
      <c r="I47" s="6">
        <f>IFERROR(WORKDAY(F47-1,1,holidays),0)</f>
        <v>45691</v>
      </c>
      <c r="J47" s="6" cm="1">
        <f t="array" ref="J47">FinishDate(I47,G47,holidays)</f>
        <v>45693</v>
      </c>
      <c r="K47" s="44">
        <f>J47-I47</f>
        <v>2</v>
      </c>
      <c r="L47" s="16" cm="1">
        <f t="array" aca="1" ref="L47" ca="1">AutoProgress(I47,J47,holidays,$C$5)</f>
        <v>1</v>
      </c>
      <c r="M47" s="17">
        <f ca="1">L47</f>
        <v>1</v>
      </c>
      <c r="N47" s="7">
        <f t="shared" ca="1" si="18"/>
        <v>0</v>
      </c>
      <c r="O47" s="7">
        <f t="shared" ca="1" si="19"/>
        <v>2</v>
      </c>
      <c r="P47" s="7">
        <f t="shared" ca="1" si="20"/>
        <v>0</v>
      </c>
      <c r="Q47" s="7">
        <f t="shared" ca="1" si="21"/>
        <v>0</v>
      </c>
      <c r="R47" s="57" t="str">
        <f t="shared" si="22"/>
        <v>Kick-Off meetings (05-Feb)</v>
      </c>
      <c r="S47" s="8" t="str" cm="1">
        <f t="array" aca="1" ref="S47" ca="1">GetProgressLabel(L47,M47)</f>
        <v>100%</v>
      </c>
      <c r="T47" s="59" t="b">
        <v>0</v>
      </c>
      <c r="U47" s="139" t="s">
        <v>84</v>
      </c>
      <c r="V47" s="135">
        <v>0.5</v>
      </c>
      <c r="W47" s="128"/>
      <c r="X47" s="128"/>
      <c r="Y47" s="128"/>
      <c r="Z47" s="128"/>
      <c r="AA47" s="128"/>
      <c r="AB47" s="128"/>
      <c r="AC47" s="128"/>
      <c r="AD47" s="128"/>
      <c r="AE47" s="129"/>
      <c r="AF47" s="37"/>
    </row>
    <row r="48" spans="2:32" ht="12" customHeight="1" x14ac:dyDescent="0.35">
      <c r="B48" s="2">
        <f t="shared" si="6"/>
        <v>37</v>
      </c>
      <c r="C48" s="20" t="s">
        <v>148</v>
      </c>
      <c r="D48" s="20" t="s">
        <v>149</v>
      </c>
      <c r="E48" s="20"/>
      <c r="F48" s="4">
        <v>45751</v>
      </c>
      <c r="G48" s="46">
        <v>4</v>
      </c>
      <c r="H48" s="5">
        <f>H47</f>
        <v>35</v>
      </c>
      <c r="I48" s="6">
        <f>IFERROR(WORKDAY(F48-1,1,holidays),0)</f>
        <v>45751</v>
      </c>
      <c r="J48" s="6" cm="1">
        <f t="array" ref="J48">FinishDate(I48,G48,holidays)</f>
        <v>45758</v>
      </c>
      <c r="K48" s="44">
        <f>J48-I48</f>
        <v>7</v>
      </c>
      <c r="L48" s="16" cm="1">
        <f t="array" aca="1" ref="L48" ca="1">AutoProgress(I48,J48,holidays,$C$5)</f>
        <v>1</v>
      </c>
      <c r="M48" s="17">
        <f ca="1">L48</f>
        <v>1</v>
      </c>
      <c r="N48" s="7">
        <f t="shared" ca="1" si="18"/>
        <v>0</v>
      </c>
      <c r="O48" s="7">
        <f t="shared" ca="1" si="19"/>
        <v>7</v>
      </c>
      <c r="P48" s="7">
        <f t="shared" ca="1" si="20"/>
        <v>0</v>
      </c>
      <c r="Q48" s="7">
        <f t="shared" ca="1" si="21"/>
        <v>0</v>
      </c>
      <c r="R48" s="57" t="str">
        <f t="shared" si="22"/>
        <v>Metric shortlisting (11-Apr)</v>
      </c>
      <c r="S48" s="8" t="str" cm="1">
        <f t="array" aca="1" ref="S48" ca="1">GetProgressLabel(L48,M48)</f>
        <v>100%</v>
      </c>
      <c r="T48" s="59" t="b">
        <v>0</v>
      </c>
      <c r="U48" s="139" t="s">
        <v>84</v>
      </c>
      <c r="V48" s="135">
        <v>4</v>
      </c>
      <c r="W48" s="56"/>
      <c r="X48" s="56"/>
      <c r="Y48" s="56"/>
      <c r="Z48" s="56"/>
      <c r="AA48" s="56"/>
      <c r="AB48" s="56"/>
      <c r="AC48" s="56"/>
      <c r="AD48" s="56"/>
      <c r="AE48" s="145"/>
      <c r="AF48" s="37"/>
    </row>
    <row r="49" spans="2:32" ht="12" customHeight="1" x14ac:dyDescent="0.35">
      <c r="B49" s="2">
        <f t="shared" si="6"/>
        <v>38</v>
      </c>
      <c r="C49" s="20" t="s">
        <v>150</v>
      </c>
      <c r="D49" s="3" t="s">
        <v>151</v>
      </c>
      <c r="E49" s="20"/>
      <c r="F49" s="4">
        <v>45796</v>
      </c>
      <c r="G49" s="46">
        <v>5</v>
      </c>
      <c r="H49" s="5">
        <f>H48</f>
        <v>35</v>
      </c>
      <c r="I49" s="6">
        <f>IFERROR(WORKDAY(F49-1,1,holidays),0)</f>
        <v>45796</v>
      </c>
      <c r="J49" s="6" cm="1">
        <f t="array" ref="J49">FinishDate(I49,G49,holidays)</f>
        <v>45801</v>
      </c>
      <c r="K49" s="44">
        <f>J49-I49</f>
        <v>5</v>
      </c>
      <c r="L49" s="16" cm="1">
        <f t="array" aca="1" ref="L49" ca="1">AutoProgress(I49,J49,holidays,$C$5)</f>
        <v>1</v>
      </c>
      <c r="M49" s="17">
        <f ca="1">L49</f>
        <v>1</v>
      </c>
      <c r="N49" s="7">
        <f t="shared" ca="1" si="18"/>
        <v>0</v>
      </c>
      <c r="O49" s="7">
        <f t="shared" ca="1" si="19"/>
        <v>5</v>
      </c>
      <c r="P49" s="7">
        <f t="shared" ca="1" si="20"/>
        <v>0</v>
      </c>
      <c r="Q49" s="7">
        <f t="shared" ca="1" si="21"/>
        <v>0</v>
      </c>
      <c r="R49" s="57" t="str">
        <f t="shared" si="22"/>
        <v>Workshop (24-May)</v>
      </c>
      <c r="S49" s="8" t="str" cm="1">
        <f t="array" aca="1" ref="S49" ca="1">GetProgressLabel(L49,M49)</f>
        <v>100%</v>
      </c>
      <c r="T49" s="59" t="b">
        <v>1</v>
      </c>
      <c r="U49" s="139" t="s">
        <v>84</v>
      </c>
      <c r="V49" s="135">
        <v>5</v>
      </c>
      <c r="W49" s="105"/>
      <c r="X49" s="105"/>
      <c r="Y49" s="105"/>
      <c r="Z49" s="105"/>
      <c r="AA49" s="105"/>
      <c r="AB49" s="105"/>
      <c r="AC49" s="105"/>
      <c r="AD49" s="105"/>
      <c r="AE49" s="146"/>
      <c r="AF49" s="37"/>
    </row>
    <row r="50" spans="2:32" ht="12" customHeight="1" x14ac:dyDescent="0.35">
      <c r="B50" s="92">
        <f t="shared" si="6"/>
        <v>39</v>
      </c>
      <c r="C50" s="93" t="s">
        <v>152</v>
      </c>
      <c r="D50" s="150" t="s">
        <v>190</v>
      </c>
      <c r="E50" s="93"/>
      <c r="F50" s="94">
        <v>45834</v>
      </c>
      <c r="G50" s="95">
        <v>2</v>
      </c>
      <c r="H50" s="96">
        <f>H49</f>
        <v>35</v>
      </c>
      <c r="I50" s="6">
        <f t="shared" ref="I50:I51" si="25">IFERROR(WORKDAY(F50-1,1,holidays),0)</f>
        <v>45834</v>
      </c>
      <c r="J50" s="6" cm="1">
        <f t="array" ref="J50">FinishDate(I50,G50,holidays)</f>
        <v>45836</v>
      </c>
      <c r="K50" s="44">
        <f t="shared" ref="K50:K51" si="26">J50-I50</f>
        <v>2</v>
      </c>
      <c r="L50" s="16" cm="1">
        <f t="array" aca="1" ref="L50" ca="1">AutoProgress(I50,J50,holidays,$C$5)</f>
        <v>0</v>
      </c>
      <c r="M50" s="17">
        <f t="shared" ref="M50:M51" ca="1" si="27">L50</f>
        <v>0</v>
      </c>
      <c r="N50" s="7">
        <f t="shared" ref="N50:N51" ca="1" si="28">IF(M50&lt;L50,K50,0)</f>
        <v>0</v>
      </c>
      <c r="O50" s="7">
        <f t="shared" ref="O50:O51" ca="1" si="29">IF(M50=1,K50,0)</f>
        <v>0</v>
      </c>
      <c r="P50" s="7">
        <f t="shared" ref="P50:P51" ca="1" si="30">IF(AND(M50&gt;=L50,M50&gt;0,M50&lt;1),K50,0)</f>
        <v>0</v>
      </c>
      <c r="Q50" s="7">
        <f t="shared" ref="Q50:Q51" ca="1" si="31">K50-SUM(N50:P50)</f>
        <v>2</v>
      </c>
      <c r="R50" s="57" t="str">
        <f t="shared" ref="R50:R51" si="32">IF(H50=B50,D50,D50 &amp; TEXT(J50," ([$-en-US]dd-mmm)"))</f>
        <v>Visa's Deliverables (28-Jun)</v>
      </c>
      <c r="S50" s="8" t="str" cm="1">
        <f t="array" aca="1" ref="S50" ca="1">GetProgressLabel(L50,M50)</f>
        <v>0%</v>
      </c>
      <c r="T50" s="59" t="b">
        <v>1</v>
      </c>
      <c r="U50" s="139" t="s">
        <v>84</v>
      </c>
      <c r="V50" s="135">
        <v>0.5</v>
      </c>
      <c r="W50" s="128"/>
      <c r="X50" s="128"/>
      <c r="Y50" s="128"/>
      <c r="Z50" s="128"/>
      <c r="AA50" s="128"/>
      <c r="AB50" s="128"/>
      <c r="AC50" s="128"/>
      <c r="AD50" s="128"/>
      <c r="AE50" s="129"/>
      <c r="AF50" s="37"/>
    </row>
    <row r="51" spans="2:32" ht="12" customHeight="1" x14ac:dyDescent="0.35">
      <c r="B51" s="92">
        <f t="shared" si="6"/>
        <v>40</v>
      </c>
      <c r="C51" s="93" t="s">
        <v>191</v>
      </c>
      <c r="D51" s="150" t="s">
        <v>191</v>
      </c>
      <c r="E51" s="93" t="s">
        <v>187</v>
      </c>
      <c r="F51" s="94">
        <f>J50</f>
        <v>45836</v>
      </c>
      <c r="G51" s="95">
        <v>20</v>
      </c>
      <c r="H51" s="96">
        <f>H50</f>
        <v>35</v>
      </c>
      <c r="I51" s="6">
        <f t="shared" si="25"/>
        <v>45838</v>
      </c>
      <c r="J51" s="6" cm="1">
        <f t="array" ref="J51">FinishDate(I51,G51,holidays)</f>
        <v>45868</v>
      </c>
      <c r="K51" s="44">
        <f t="shared" si="26"/>
        <v>30</v>
      </c>
      <c r="L51" s="16" cm="1">
        <f t="array" aca="1" ref="L51" ca="1">AutoProgress(I51,J51,holidays,$C$5)</f>
        <v>0</v>
      </c>
      <c r="M51" s="17">
        <f t="shared" ca="1" si="27"/>
        <v>0</v>
      </c>
      <c r="N51" s="7">
        <f t="shared" ca="1" si="28"/>
        <v>0</v>
      </c>
      <c r="O51" s="7">
        <f t="shared" ca="1" si="29"/>
        <v>0</v>
      </c>
      <c r="P51" s="7">
        <f t="shared" ca="1" si="30"/>
        <v>0</v>
      </c>
      <c r="Q51" s="7">
        <f t="shared" ca="1" si="31"/>
        <v>30</v>
      </c>
      <c r="R51" s="57" t="str">
        <f t="shared" si="32"/>
        <v>Master Table Design (30-Jul)</v>
      </c>
      <c r="S51" s="8" t="str" cm="1">
        <f t="array" aca="1" ref="S51" ca="1">GetProgressLabel(L51,M51)</f>
        <v>0%</v>
      </c>
      <c r="T51" s="59" t="b">
        <v>1</v>
      </c>
      <c r="U51" s="139" t="s">
        <v>84</v>
      </c>
      <c r="V51" s="135">
        <v>5</v>
      </c>
      <c r="W51" s="56"/>
      <c r="X51" s="56"/>
      <c r="Y51" s="56"/>
      <c r="Z51" s="56"/>
      <c r="AA51" s="56"/>
      <c r="AB51" s="56"/>
      <c r="AC51" s="56"/>
      <c r="AD51" s="56"/>
      <c r="AE51" s="145"/>
      <c r="AF51" s="37"/>
    </row>
    <row r="52" spans="2:32" ht="12" customHeight="1" x14ac:dyDescent="0.35">
      <c r="B52" s="92">
        <f t="shared" si="6"/>
        <v>41</v>
      </c>
      <c r="C52" s="93" t="s">
        <v>188</v>
      </c>
      <c r="D52" s="93" t="s">
        <v>188</v>
      </c>
      <c r="E52" s="93" t="s">
        <v>189</v>
      </c>
      <c r="F52" s="94">
        <f>F51+20</f>
        <v>45856</v>
      </c>
      <c r="G52" s="95">
        <v>20</v>
      </c>
      <c r="H52" s="96">
        <f>H49</f>
        <v>35</v>
      </c>
      <c r="I52" s="97">
        <f>IFERROR(WORKDAY(F52-1,1,holidays),0)</f>
        <v>45856</v>
      </c>
      <c r="J52" s="97" cm="1">
        <f t="array" ref="J52">FinishDate(I52,G52,holidays)</f>
        <v>45889</v>
      </c>
      <c r="K52" s="98">
        <f>J52-I52</f>
        <v>33</v>
      </c>
      <c r="L52" s="99" cm="1">
        <f t="array" aca="1" ref="L52" ca="1">AutoProgress(I52,J52,holidays,$C$5)</f>
        <v>0</v>
      </c>
      <c r="M52" s="100">
        <f ca="1">L52</f>
        <v>0</v>
      </c>
      <c r="N52" s="101">
        <f ca="1">IF(M52&lt;L52,K52,0)</f>
        <v>0</v>
      </c>
      <c r="O52" s="101">
        <f ca="1">IF(M52=1,K52,0)</f>
        <v>0</v>
      </c>
      <c r="P52" s="101">
        <f ca="1">IF(AND(M52&gt;=L52,M52&gt;0,M52&lt;1),K52,0)</f>
        <v>0</v>
      </c>
      <c r="Q52" s="101">
        <f ca="1">K52-SUM(N52:P52)</f>
        <v>33</v>
      </c>
      <c r="R52" s="102" t="str">
        <f>IF(H52=B52,D52,D52 &amp; TEXT(J52," ([$-en-US]dd-mmm)"))</f>
        <v>Dashboard Design (20-Aug)</v>
      </c>
      <c r="S52" s="103" t="str" cm="1">
        <f t="array" aca="1" ref="S52" ca="1">GetProgressLabel(L52,M52)</f>
        <v>0%</v>
      </c>
      <c r="T52" s="104" t="b">
        <v>1</v>
      </c>
      <c r="U52" s="140" t="s">
        <v>84</v>
      </c>
      <c r="V52" s="136">
        <v>5</v>
      </c>
      <c r="W52" s="56"/>
      <c r="X52" s="56"/>
      <c r="Y52" s="56"/>
      <c r="Z52" s="56"/>
      <c r="AA52" s="56"/>
      <c r="AB52" s="56"/>
      <c r="AC52" s="56"/>
      <c r="AD52" s="56"/>
      <c r="AE52" s="145"/>
      <c r="AF52" s="37"/>
    </row>
    <row r="53" spans="2:32" ht="12" customHeight="1" x14ac:dyDescent="0.35">
      <c r="B53" s="119">
        <f t="shared" si="6"/>
        <v>42</v>
      </c>
      <c r="C53" s="120" t="s">
        <v>160</v>
      </c>
      <c r="D53" s="130" t="s">
        <v>196</v>
      </c>
      <c r="E53" s="131"/>
      <c r="F53" s="121">
        <f>I53</f>
        <v>45691</v>
      </c>
      <c r="G53" s="122">
        <f>NETWORKDAYS(I53,J53-1,holidays)</f>
        <v>162</v>
      </c>
      <c r="H53" s="123">
        <f>B53</f>
        <v>42</v>
      </c>
      <c r="I53" s="108">
        <f>MIN(I54:I58)</f>
        <v>45691</v>
      </c>
      <c r="J53" s="108">
        <f>MAX(J54:J58)</f>
        <v>45934</v>
      </c>
      <c r="K53" s="111">
        <f t="shared" ref="K53" si="33">J53-I53</f>
        <v>243</v>
      </c>
      <c r="L53" s="112" cm="1">
        <f t="array" aca="1" ref="L53" ca="1">WeightedProgress(L54:L58,G54:G58)</f>
        <v>0.38461538461538464</v>
      </c>
      <c r="M53" s="113" cm="1">
        <f t="array" aca="1" ref="M53" ca="1">WeightedProgress(M54:M58,G54:G58)</f>
        <v>0.38461538461538464</v>
      </c>
      <c r="N53" s="124">
        <f t="shared" ref="N53:N59" ca="1" si="34">IF(M53&lt;L53,K53,0)</f>
        <v>0</v>
      </c>
      <c r="O53" s="124">
        <f t="shared" ref="O53:O59" ca="1" si="35">IF(M53=1,K53,0)</f>
        <v>0</v>
      </c>
      <c r="P53" s="124">
        <f t="shared" ref="P53:P59" ca="1" si="36">IF(AND(M53&gt;=L53,M53&gt;0,M53&lt;1),K53,0)</f>
        <v>243</v>
      </c>
      <c r="Q53" s="124">
        <f t="shared" ref="Q53:Q59" ca="1" si="37">K53-SUM(N53:P53)</f>
        <v>0</v>
      </c>
      <c r="R53" s="125" t="str">
        <f t="shared" ref="R53:R59" si="38">IF(H53=B53,D53,D53 &amp; TEXT(J53," ([$-en-US]dd-mmm)"))</f>
        <v>Upskilling Workshops</v>
      </c>
      <c r="S53" s="126" t="str" cm="1">
        <f t="array" aca="1" ref="S53" ca="1">GetProgressLabel(L53,M53)</f>
        <v>38% (38%)</v>
      </c>
      <c r="T53" s="127" t="b">
        <v>1</v>
      </c>
      <c r="U53" s="141" t="s">
        <v>84</v>
      </c>
      <c r="V53" s="137">
        <v>0</v>
      </c>
      <c r="W53" s="128"/>
      <c r="X53" s="128"/>
      <c r="Y53" s="128"/>
      <c r="Z53" s="128"/>
      <c r="AA53" s="128"/>
      <c r="AB53" s="128"/>
      <c r="AC53" s="128"/>
      <c r="AD53" s="128"/>
      <c r="AE53" s="129"/>
      <c r="AF53" s="37"/>
    </row>
    <row r="54" spans="2:32" ht="12" customHeight="1" x14ac:dyDescent="0.35">
      <c r="B54" s="2">
        <f t="shared" si="6"/>
        <v>43</v>
      </c>
      <c r="C54" s="20" t="s">
        <v>136</v>
      </c>
      <c r="D54" s="20" t="s">
        <v>136</v>
      </c>
      <c r="E54" s="20"/>
      <c r="F54" s="4">
        <v>45691</v>
      </c>
      <c r="G54" s="46">
        <v>2</v>
      </c>
      <c r="H54" s="5">
        <f t="shared" si="9"/>
        <v>42</v>
      </c>
      <c r="I54" s="6">
        <f t="shared" ref="I54:I64" si="39">IFERROR(WORKDAY(F54-1,1,holidays),0)</f>
        <v>45691</v>
      </c>
      <c r="J54" s="6" cm="1">
        <f t="array" ref="J54">FinishDate(I54,G54,holidays)</f>
        <v>45693</v>
      </c>
      <c r="K54" s="44">
        <f t="shared" ref="K54:K59" si="40">J54-I54</f>
        <v>2</v>
      </c>
      <c r="L54" s="16" cm="1">
        <f t="array" aca="1" ref="L54" ca="1">AutoProgress(I54,J54,holidays,$C$5)</f>
        <v>1</v>
      </c>
      <c r="M54" s="17">
        <f t="shared" ref="M54:M58" ca="1" si="41">L54</f>
        <v>1</v>
      </c>
      <c r="N54" s="7">
        <f t="shared" ca="1" si="34"/>
        <v>0</v>
      </c>
      <c r="O54" s="7">
        <f t="shared" ca="1" si="35"/>
        <v>2</v>
      </c>
      <c r="P54" s="7">
        <f t="shared" ca="1" si="36"/>
        <v>0</v>
      </c>
      <c r="Q54" s="7">
        <f t="shared" ca="1" si="37"/>
        <v>0</v>
      </c>
      <c r="R54" s="57" t="str">
        <f t="shared" si="38"/>
        <v>Kick-Off meeting (05-Feb)</v>
      </c>
      <c r="S54" s="8" t="str" cm="1">
        <f t="array" aca="1" ref="S54" ca="1">GetProgressLabel(L54,M54)</f>
        <v>100%</v>
      </c>
      <c r="T54" s="59" t="b">
        <v>0</v>
      </c>
      <c r="U54" s="139" t="s">
        <v>84</v>
      </c>
      <c r="V54" s="135">
        <v>0.5</v>
      </c>
      <c r="W54" s="56"/>
      <c r="X54" s="56"/>
      <c r="Y54" s="56"/>
      <c r="Z54" s="56"/>
      <c r="AA54" s="56"/>
      <c r="AB54" s="56"/>
      <c r="AC54" s="56"/>
      <c r="AD54" s="56"/>
      <c r="AE54" s="145"/>
      <c r="AF54" s="37"/>
    </row>
    <row r="55" spans="2:32" ht="12" customHeight="1" x14ac:dyDescent="0.35">
      <c r="B55" s="2">
        <f t="shared" si="6"/>
        <v>44</v>
      </c>
      <c r="C55" s="20" t="s">
        <v>161</v>
      </c>
      <c r="D55" s="3" t="s">
        <v>162</v>
      </c>
      <c r="E55" s="20"/>
      <c r="F55" s="4">
        <v>45736</v>
      </c>
      <c r="G55" s="46">
        <v>2</v>
      </c>
      <c r="H55" s="5">
        <f t="shared" si="9"/>
        <v>42</v>
      </c>
      <c r="I55" s="6">
        <f t="shared" si="39"/>
        <v>45736</v>
      </c>
      <c r="J55" s="6" cm="1">
        <f t="array" ref="J55">FinishDate(I55,G55,holidays)</f>
        <v>45738</v>
      </c>
      <c r="K55" s="44">
        <f t="shared" si="40"/>
        <v>2</v>
      </c>
      <c r="L55" s="16" cm="1">
        <f t="array" aca="1" ref="L55" ca="1">AutoProgress(I55,J55,holidays,$C$5)</f>
        <v>1</v>
      </c>
      <c r="M55" s="17">
        <f t="shared" ca="1" si="41"/>
        <v>1</v>
      </c>
      <c r="N55" s="7">
        <f t="shared" ca="1" si="34"/>
        <v>0</v>
      </c>
      <c r="O55" s="7">
        <f t="shared" ca="1" si="35"/>
        <v>2</v>
      </c>
      <c r="P55" s="7">
        <f t="shared" ca="1" si="36"/>
        <v>0</v>
      </c>
      <c r="Q55" s="7">
        <f t="shared" ca="1" si="37"/>
        <v>0</v>
      </c>
      <c r="R55" s="57" t="str">
        <f t="shared" si="38"/>
        <v>WS1 (4 mods) (22-Mar)</v>
      </c>
      <c r="S55" s="8" t="str" cm="1">
        <f t="array" aca="1" ref="S55" ca="1">GetProgressLabel(L55,M55)</f>
        <v>100%</v>
      </c>
      <c r="T55" s="59" t="b">
        <v>1</v>
      </c>
      <c r="U55" s="139" t="s">
        <v>84</v>
      </c>
      <c r="V55" s="135">
        <v>2</v>
      </c>
      <c r="W55" s="56"/>
      <c r="X55" s="56"/>
      <c r="Y55" s="56"/>
      <c r="Z55" s="56"/>
      <c r="AA55" s="56"/>
      <c r="AB55" s="56"/>
      <c r="AC55" s="56"/>
      <c r="AD55" s="56"/>
      <c r="AE55" s="145"/>
      <c r="AF55" s="37"/>
    </row>
    <row r="56" spans="2:32" ht="12" customHeight="1" x14ac:dyDescent="0.35">
      <c r="B56" s="2">
        <f t="shared" si="6"/>
        <v>45</v>
      </c>
      <c r="C56" s="20" t="s">
        <v>163</v>
      </c>
      <c r="D56" s="20" t="s">
        <v>164</v>
      </c>
      <c r="E56" s="20"/>
      <c r="F56" s="4">
        <v>45798</v>
      </c>
      <c r="G56" s="46">
        <v>1</v>
      </c>
      <c r="H56" s="5">
        <f t="shared" si="9"/>
        <v>42</v>
      </c>
      <c r="I56" s="6">
        <f t="shared" si="39"/>
        <v>45798</v>
      </c>
      <c r="J56" s="6" cm="1">
        <f t="array" ref="J56">FinishDate(I56,G56,holidays)</f>
        <v>45799</v>
      </c>
      <c r="K56" s="44">
        <f t="shared" si="40"/>
        <v>1</v>
      </c>
      <c r="L56" s="16" cm="1">
        <f t="array" aca="1" ref="L56" ca="1">AutoProgress(I56,J56,holidays,$C$5)</f>
        <v>1</v>
      </c>
      <c r="M56" s="17">
        <f t="shared" ca="1" si="41"/>
        <v>1</v>
      </c>
      <c r="N56" s="7">
        <f t="shared" ca="1" si="34"/>
        <v>0</v>
      </c>
      <c r="O56" s="7">
        <f t="shared" ca="1" si="35"/>
        <v>1</v>
      </c>
      <c r="P56" s="7">
        <f t="shared" ca="1" si="36"/>
        <v>0</v>
      </c>
      <c r="Q56" s="7">
        <f t="shared" ca="1" si="37"/>
        <v>0</v>
      </c>
      <c r="R56" s="57" t="str">
        <f t="shared" si="38"/>
        <v>WS2 (1 mod) (22-May)</v>
      </c>
      <c r="S56" s="8" t="str" cm="1">
        <f t="array" aca="1" ref="S56" ca="1">GetProgressLabel(L56,M56)</f>
        <v>100%</v>
      </c>
      <c r="T56" s="59" t="b">
        <v>1</v>
      </c>
      <c r="U56" s="139" t="s">
        <v>84</v>
      </c>
      <c r="V56" s="135">
        <v>1</v>
      </c>
      <c r="W56" s="56"/>
      <c r="X56" s="56"/>
      <c r="Y56" s="56"/>
      <c r="Z56" s="56"/>
      <c r="AA56" s="56"/>
      <c r="AB56" s="56"/>
      <c r="AC56" s="56"/>
      <c r="AD56" s="56"/>
      <c r="AE56" s="145"/>
      <c r="AF56" s="37"/>
    </row>
    <row r="57" spans="2:32" ht="12" customHeight="1" x14ac:dyDescent="0.35">
      <c r="B57" s="2">
        <f t="shared" si="6"/>
        <v>46</v>
      </c>
      <c r="C57" s="20" t="s">
        <v>165</v>
      </c>
      <c r="D57" s="20" t="s">
        <v>166</v>
      </c>
      <c r="E57" s="20"/>
      <c r="F57" s="4">
        <v>45852</v>
      </c>
      <c r="G57" s="46">
        <v>5</v>
      </c>
      <c r="H57" s="5">
        <f t="shared" si="9"/>
        <v>42</v>
      </c>
      <c r="I57" s="6">
        <f t="shared" si="39"/>
        <v>45852</v>
      </c>
      <c r="J57" s="6" cm="1">
        <f t="array" ref="J57">FinishDate(I57,G57,holidays)</f>
        <v>45857</v>
      </c>
      <c r="K57" s="44">
        <f t="shared" si="40"/>
        <v>5</v>
      </c>
      <c r="L57" s="16" cm="1">
        <f t="array" aca="1" ref="L57" ca="1">AutoProgress(I57,J57,holidays,$C$5)</f>
        <v>0</v>
      </c>
      <c r="M57" s="17">
        <f t="shared" ca="1" si="41"/>
        <v>0</v>
      </c>
      <c r="N57" s="7">
        <f t="shared" ca="1" si="34"/>
        <v>0</v>
      </c>
      <c r="O57" s="7">
        <f t="shared" ca="1" si="35"/>
        <v>0</v>
      </c>
      <c r="P57" s="7">
        <f t="shared" ca="1" si="36"/>
        <v>0</v>
      </c>
      <c r="Q57" s="7">
        <f t="shared" ca="1" si="37"/>
        <v>5</v>
      </c>
      <c r="R57" s="57" t="str">
        <f t="shared" si="38"/>
        <v>WS3 (5 mods) (19-Jul)</v>
      </c>
      <c r="S57" s="8" t="str" cm="1">
        <f t="array" aca="1" ref="S57" ca="1">GetProgressLabel(L57,M57)</f>
        <v>0%</v>
      </c>
      <c r="T57" s="59" t="b">
        <v>1</v>
      </c>
      <c r="U57" s="139" t="s">
        <v>84</v>
      </c>
      <c r="V57" s="135">
        <v>5</v>
      </c>
      <c r="W57" s="56"/>
      <c r="X57" s="56"/>
      <c r="Y57" s="56"/>
      <c r="Z57" s="56"/>
      <c r="AA57" s="56"/>
      <c r="AB57" s="56"/>
      <c r="AC57" s="56"/>
      <c r="AD57" s="56"/>
      <c r="AE57" s="145"/>
      <c r="AF57" s="37"/>
    </row>
    <row r="58" spans="2:32" ht="12" customHeight="1" x14ac:dyDescent="0.35">
      <c r="B58" s="92">
        <f t="shared" si="6"/>
        <v>47</v>
      </c>
      <c r="C58" s="93" t="s">
        <v>167</v>
      </c>
      <c r="D58" s="93" t="s">
        <v>168</v>
      </c>
      <c r="E58" s="93"/>
      <c r="F58" s="94">
        <v>45931</v>
      </c>
      <c r="G58" s="95">
        <v>3</v>
      </c>
      <c r="H58" s="96">
        <f>H57</f>
        <v>42</v>
      </c>
      <c r="I58" s="97">
        <f t="shared" si="39"/>
        <v>45931</v>
      </c>
      <c r="J58" s="97" cm="1">
        <f t="array" ref="J58">FinishDate(I58,G58,holidays)</f>
        <v>45934</v>
      </c>
      <c r="K58" s="98">
        <f t="shared" si="40"/>
        <v>3</v>
      </c>
      <c r="L58" s="99" cm="1">
        <f t="array" aca="1" ref="L58" ca="1">AutoProgress(I58,J58,holidays,$C$5)</f>
        <v>0</v>
      </c>
      <c r="M58" s="100">
        <f t="shared" ca="1" si="41"/>
        <v>0</v>
      </c>
      <c r="N58" s="101">
        <f t="shared" ca="1" si="34"/>
        <v>0</v>
      </c>
      <c r="O58" s="101">
        <f t="shared" ca="1" si="35"/>
        <v>0</v>
      </c>
      <c r="P58" s="101">
        <f t="shared" ca="1" si="36"/>
        <v>0</v>
      </c>
      <c r="Q58" s="101">
        <f t="shared" ca="1" si="37"/>
        <v>3</v>
      </c>
      <c r="R58" s="102" t="str">
        <f t="shared" si="38"/>
        <v>WS4 (5 mods) (04-Oct)</v>
      </c>
      <c r="S58" s="103" t="str" cm="1">
        <f t="array" aca="1" ref="S58" ca="1">GetProgressLabel(L58,M58)</f>
        <v>0%</v>
      </c>
      <c r="T58" s="104" t="b">
        <v>1</v>
      </c>
      <c r="U58" s="140" t="s">
        <v>84</v>
      </c>
      <c r="V58" s="136">
        <v>3</v>
      </c>
      <c r="W58" s="105"/>
      <c r="X58" s="105"/>
      <c r="Y58" s="105"/>
      <c r="Z58" s="105"/>
      <c r="AA58" s="105"/>
      <c r="AB58" s="105"/>
      <c r="AC58" s="105"/>
      <c r="AD58" s="105"/>
      <c r="AE58" s="146"/>
      <c r="AF58" s="37"/>
    </row>
    <row r="59" spans="2:32" ht="12" customHeight="1" x14ac:dyDescent="0.35">
      <c r="B59" s="119">
        <f t="shared" si="6"/>
        <v>48</v>
      </c>
      <c r="C59" s="120" t="s">
        <v>169</v>
      </c>
      <c r="D59" s="120" t="s">
        <v>197</v>
      </c>
      <c r="E59" s="120"/>
      <c r="F59" s="121">
        <f>I59</f>
        <v>45719</v>
      </c>
      <c r="G59" s="122">
        <f>NETWORKDAYS(I59,J59-1,holidays)</f>
        <v>94</v>
      </c>
      <c r="H59" s="123">
        <f>B59</f>
        <v>48</v>
      </c>
      <c r="I59" s="108">
        <f>MIN(I60:I64)</f>
        <v>45719</v>
      </c>
      <c r="J59" s="108">
        <f>MAX(J60:J64)</f>
        <v>45862</v>
      </c>
      <c r="K59" s="111">
        <f t="shared" si="40"/>
        <v>143</v>
      </c>
      <c r="L59" s="112" cm="1">
        <f t="array" aca="1" ref="L59" ca="1">WeightedProgress(L60:L64,G60:G64)</f>
        <v>0.53191489361702127</v>
      </c>
      <c r="M59" s="113" cm="1">
        <f t="array" aca="1" ref="M59" ca="1">WeightedProgress(M60:M64,G60:G64)</f>
        <v>0.53191489361702127</v>
      </c>
      <c r="N59" s="124">
        <f t="shared" ca="1" si="34"/>
        <v>0</v>
      </c>
      <c r="O59" s="124">
        <f t="shared" ca="1" si="35"/>
        <v>0</v>
      </c>
      <c r="P59" s="124">
        <f t="shared" ca="1" si="36"/>
        <v>143</v>
      </c>
      <c r="Q59" s="124">
        <f t="shared" ca="1" si="37"/>
        <v>0</v>
      </c>
      <c r="R59" s="125" t="str">
        <f t="shared" si="38"/>
        <v>VCAS (Authentication)</v>
      </c>
      <c r="S59" s="126" t="str" cm="1">
        <f t="array" aca="1" ref="S59" ca="1">GetProgressLabel(L59,M59)</f>
        <v>53% (53%)</v>
      </c>
      <c r="T59" s="127" t="b">
        <v>1</v>
      </c>
      <c r="U59" s="141" t="s">
        <v>84</v>
      </c>
      <c r="V59" s="137">
        <v>0</v>
      </c>
      <c r="W59" s="128"/>
      <c r="X59" s="128"/>
      <c r="Y59" s="128"/>
      <c r="Z59" s="128"/>
      <c r="AA59" s="128"/>
      <c r="AB59" s="128"/>
      <c r="AC59" s="128"/>
      <c r="AD59" s="128"/>
      <c r="AE59" s="129"/>
      <c r="AF59" s="37"/>
    </row>
    <row r="60" spans="2:32" ht="12" customHeight="1" x14ac:dyDescent="0.35">
      <c r="B60" s="2">
        <f t="shared" si="6"/>
        <v>49</v>
      </c>
      <c r="C60" s="20" t="s">
        <v>170</v>
      </c>
      <c r="D60" s="3" t="s">
        <v>198</v>
      </c>
      <c r="E60" s="20"/>
      <c r="F60" s="4">
        <v>45717</v>
      </c>
      <c r="G60" s="46">
        <v>10</v>
      </c>
      <c r="H60" s="5">
        <f t="shared" si="9"/>
        <v>48</v>
      </c>
      <c r="I60" s="6">
        <f t="shared" si="39"/>
        <v>45719</v>
      </c>
      <c r="J60" s="6" cm="1">
        <f t="array" ref="J60">FinishDate(I60,G60,holidays)</f>
        <v>45731</v>
      </c>
      <c r="K60" s="44">
        <f t="shared" ref="K60:K64" si="42">J60-I60</f>
        <v>12</v>
      </c>
      <c r="L60" s="16" cm="1">
        <f t="array" aca="1" ref="L60" ca="1">AutoProgress(I60,J60,holidays,$C$5)</f>
        <v>1</v>
      </c>
      <c r="M60" s="17">
        <f t="shared" ref="M60:M64" ca="1" si="43">L60</f>
        <v>1</v>
      </c>
      <c r="N60" s="7">
        <f t="shared" ref="N60:N64" ca="1" si="44">IF(M60&lt;L60,K60,0)</f>
        <v>0</v>
      </c>
      <c r="O60" s="7">
        <f t="shared" ref="O60:O64" ca="1" si="45">IF(M60=1,K60,0)</f>
        <v>12</v>
      </c>
      <c r="P60" s="7">
        <f t="shared" ref="P60:P64" ca="1" si="46">IF(AND(M60&gt;=L60,M60&gt;0,M60&lt;1),K60,0)</f>
        <v>0</v>
      </c>
      <c r="Q60" s="7">
        <f t="shared" ref="Q60:Q64" ca="1" si="47">K60-SUM(N60:P60)</f>
        <v>0</v>
      </c>
      <c r="R60" s="57" t="str">
        <f t="shared" ref="R60:R64" si="48">IF(H60=B60,D60,D60 &amp; TEXT(J60," ([$-en-US]dd-mmm)"))</f>
        <v>Biz Feasibility #1 (15-Mar)</v>
      </c>
      <c r="S60" s="8" t="str" cm="1">
        <f t="array" aca="1" ref="S60" ca="1">GetProgressLabel(L60,M60)</f>
        <v>100%</v>
      </c>
      <c r="T60" s="59" t="b">
        <v>1</v>
      </c>
      <c r="U60" s="139" t="s">
        <v>84</v>
      </c>
      <c r="V60" s="135">
        <v>8.75</v>
      </c>
      <c r="W60" s="56"/>
      <c r="X60" s="56"/>
      <c r="Y60" s="56"/>
      <c r="Z60" s="56"/>
      <c r="AA60" s="56"/>
      <c r="AB60" s="56"/>
      <c r="AC60" s="56"/>
      <c r="AD60" s="56"/>
      <c r="AE60" s="145"/>
      <c r="AF60" s="37"/>
    </row>
    <row r="61" spans="2:32" ht="12" customHeight="1" x14ac:dyDescent="0.35">
      <c r="B61" s="2">
        <f t="shared" si="6"/>
        <v>50</v>
      </c>
      <c r="C61" s="20" t="s">
        <v>171</v>
      </c>
      <c r="D61" s="20" t="s">
        <v>186</v>
      </c>
      <c r="E61" s="20"/>
      <c r="F61" s="4">
        <v>45796</v>
      </c>
      <c r="G61" s="46">
        <v>5</v>
      </c>
      <c r="H61" s="5">
        <f t="shared" si="9"/>
        <v>48</v>
      </c>
      <c r="I61" s="6">
        <f t="shared" si="39"/>
        <v>45796</v>
      </c>
      <c r="J61" s="6" cm="1">
        <f t="array" ref="J61">FinishDate(I61,G61,holidays)</f>
        <v>45801</v>
      </c>
      <c r="K61" s="44">
        <f t="shared" si="42"/>
        <v>5</v>
      </c>
      <c r="L61" s="16" cm="1">
        <f t="array" aca="1" ref="L61" ca="1">AutoProgress(I61,J61,holidays,$C$5)</f>
        <v>1</v>
      </c>
      <c r="M61" s="17">
        <f t="shared" ca="1" si="43"/>
        <v>1</v>
      </c>
      <c r="N61" s="7">
        <f t="shared" ca="1" si="44"/>
        <v>0</v>
      </c>
      <c r="O61" s="7">
        <f t="shared" ca="1" si="45"/>
        <v>5</v>
      </c>
      <c r="P61" s="7">
        <f t="shared" ca="1" si="46"/>
        <v>0</v>
      </c>
      <c r="Q61" s="7">
        <f t="shared" ca="1" si="47"/>
        <v>0</v>
      </c>
      <c r="R61" s="57" t="str">
        <f t="shared" si="48"/>
        <v>Tech. Feasibility (24-May)</v>
      </c>
      <c r="S61" s="8" t="str" cm="1">
        <f t="array" aca="1" ref="S61" ca="1">GetProgressLabel(L61,M61)</f>
        <v>100%</v>
      </c>
      <c r="T61" s="59" t="b">
        <v>0</v>
      </c>
      <c r="U61" s="139" t="s">
        <v>84</v>
      </c>
      <c r="V61" s="135">
        <v>1.25</v>
      </c>
      <c r="W61" s="56"/>
      <c r="X61" s="56"/>
      <c r="Y61" s="56"/>
      <c r="Z61" s="56"/>
      <c r="AA61" s="56"/>
      <c r="AB61" s="56"/>
      <c r="AC61" s="56"/>
      <c r="AD61" s="56"/>
      <c r="AE61" s="145"/>
      <c r="AF61" s="37"/>
    </row>
    <row r="62" spans="2:32" ht="12" customHeight="1" x14ac:dyDescent="0.35">
      <c r="B62" s="2">
        <f t="shared" si="6"/>
        <v>51</v>
      </c>
      <c r="C62" s="20" t="s">
        <v>172</v>
      </c>
      <c r="D62" s="20" t="s">
        <v>173</v>
      </c>
      <c r="E62" s="20"/>
      <c r="F62" s="4">
        <v>45817</v>
      </c>
      <c r="G62" s="46">
        <v>2</v>
      </c>
      <c r="H62" s="5">
        <f t="shared" si="9"/>
        <v>48</v>
      </c>
      <c r="I62" s="6">
        <f t="shared" si="39"/>
        <v>45817</v>
      </c>
      <c r="J62" s="6" cm="1">
        <f t="array" ref="J62">FinishDate(I62,G62,holidays)</f>
        <v>45819</v>
      </c>
      <c r="K62" s="44">
        <f t="shared" si="42"/>
        <v>2</v>
      </c>
      <c r="L62" s="16" cm="1">
        <f t="array" aca="1" ref="L62" ca="1">AutoProgress(I62,J62,holidays,$C$5)</f>
        <v>1</v>
      </c>
      <c r="M62" s="17">
        <f t="shared" ca="1" si="43"/>
        <v>1</v>
      </c>
      <c r="N62" s="7">
        <f t="shared" ca="1" si="44"/>
        <v>0</v>
      </c>
      <c r="O62" s="7">
        <f t="shared" ca="1" si="45"/>
        <v>2</v>
      </c>
      <c r="P62" s="7">
        <f t="shared" ca="1" si="46"/>
        <v>0</v>
      </c>
      <c r="Q62" s="7">
        <f t="shared" ca="1" si="47"/>
        <v>0</v>
      </c>
      <c r="R62" s="57" t="str">
        <f t="shared" si="48"/>
        <v>Visa's assessment (11-Jun)</v>
      </c>
      <c r="S62" s="8" t="str" cm="1">
        <f t="array" aca="1" ref="S62" ca="1">GetProgressLabel(L62,M62)</f>
        <v>100%</v>
      </c>
      <c r="T62" s="59" t="b">
        <v>1</v>
      </c>
      <c r="U62" s="139" t="s">
        <v>84</v>
      </c>
      <c r="V62" s="135">
        <v>0.5</v>
      </c>
      <c r="W62" s="56"/>
      <c r="X62" s="56"/>
      <c r="Y62" s="56"/>
      <c r="Z62" s="56"/>
      <c r="AA62" s="56"/>
      <c r="AB62" s="56"/>
      <c r="AC62" s="56"/>
      <c r="AD62" s="56"/>
      <c r="AE62" s="145"/>
      <c r="AF62" s="37"/>
    </row>
    <row r="63" spans="2:32" ht="12" customHeight="1" x14ac:dyDescent="0.35">
      <c r="B63" s="2">
        <f t="shared" ref="B63:B64" si="49">B62+1</f>
        <v>52</v>
      </c>
      <c r="C63" s="20" t="s">
        <v>174</v>
      </c>
      <c r="D63" s="20" t="s">
        <v>199</v>
      </c>
      <c r="E63" s="20"/>
      <c r="F63" s="4">
        <f>J62</f>
        <v>45819</v>
      </c>
      <c r="G63" s="46">
        <v>10</v>
      </c>
      <c r="H63" s="5">
        <f t="shared" si="9"/>
        <v>48</v>
      </c>
      <c r="I63" s="6">
        <f t="shared" si="39"/>
        <v>45819</v>
      </c>
      <c r="J63" s="6" cm="1">
        <f t="array" ref="J63">FinishDate(I63,G63,holidays)</f>
        <v>45833</v>
      </c>
      <c r="K63" s="44">
        <f t="shared" si="42"/>
        <v>14</v>
      </c>
      <c r="L63" s="16" cm="1">
        <f t="array" aca="1" ref="L63" ca="1">AutoProgress(I63,J63,holidays,$C$5)</f>
        <v>0.8</v>
      </c>
      <c r="M63" s="17">
        <f t="shared" ca="1" si="43"/>
        <v>0.8</v>
      </c>
      <c r="N63" s="7">
        <f t="shared" ca="1" si="44"/>
        <v>0</v>
      </c>
      <c r="O63" s="7">
        <f t="shared" ca="1" si="45"/>
        <v>0</v>
      </c>
      <c r="P63" s="7">
        <f t="shared" ca="1" si="46"/>
        <v>14</v>
      </c>
      <c r="Q63" s="7">
        <f t="shared" ca="1" si="47"/>
        <v>0</v>
      </c>
      <c r="R63" s="57" t="str">
        <f t="shared" si="48"/>
        <v>Biz Feasibility #2 (25-Jun)</v>
      </c>
      <c r="S63" s="8" t="str" cm="1">
        <f t="array" aca="1" ref="S63" ca="1">GetProgressLabel(L63,M63)</f>
        <v>80% (80%)</v>
      </c>
      <c r="T63" s="59" t="b">
        <v>1</v>
      </c>
      <c r="U63" s="139" t="s">
        <v>84</v>
      </c>
      <c r="V63" s="135">
        <v>3</v>
      </c>
      <c r="W63" s="56"/>
      <c r="X63" s="56"/>
      <c r="Y63" s="56"/>
      <c r="Z63" s="56"/>
      <c r="AA63" s="56"/>
      <c r="AB63" s="56"/>
      <c r="AC63" s="56"/>
      <c r="AD63" s="56"/>
      <c r="AE63" s="145"/>
      <c r="AF63" s="37"/>
    </row>
    <row r="64" spans="2:32" ht="12" customHeight="1" x14ac:dyDescent="0.35">
      <c r="B64" s="10">
        <f t="shared" si="49"/>
        <v>53</v>
      </c>
      <c r="C64" s="22" t="s">
        <v>175</v>
      </c>
      <c r="D64" s="22" t="s">
        <v>176</v>
      </c>
      <c r="E64" s="22"/>
      <c r="F64" s="11">
        <f>J63</f>
        <v>45833</v>
      </c>
      <c r="G64" s="47">
        <v>20</v>
      </c>
      <c r="H64" s="12">
        <f t="shared" si="9"/>
        <v>48</v>
      </c>
      <c r="I64" s="13">
        <f t="shared" si="39"/>
        <v>45833</v>
      </c>
      <c r="J64" s="13" cm="1">
        <f t="array" ref="J64">FinishDate(I64,G64,holidays)</f>
        <v>45862</v>
      </c>
      <c r="K64" s="45">
        <f t="shared" si="42"/>
        <v>29</v>
      </c>
      <c r="L64" s="18" cm="1">
        <f t="array" aca="1" ref="L64" ca="1">AutoProgress(I64,J64,holidays,$C$5)</f>
        <v>0</v>
      </c>
      <c r="M64" s="19">
        <f t="shared" ca="1" si="43"/>
        <v>0</v>
      </c>
      <c r="N64" s="14">
        <f t="shared" ca="1" si="44"/>
        <v>0</v>
      </c>
      <c r="O64" s="14">
        <f t="shared" ca="1" si="45"/>
        <v>0</v>
      </c>
      <c r="P64" s="14">
        <f t="shared" ca="1" si="46"/>
        <v>0</v>
      </c>
      <c r="Q64" s="14">
        <f t="shared" ca="1" si="47"/>
        <v>29</v>
      </c>
      <c r="R64" s="58" t="str">
        <f t="shared" si="48"/>
        <v>IT investment (prep) (24-Jul)</v>
      </c>
      <c r="S64" s="15" t="str" cm="1">
        <f t="array" aca="1" ref="S64" ca="1">GetProgressLabel(L64,M64)</f>
        <v>0%</v>
      </c>
      <c r="T64" s="60" t="b">
        <v>1</v>
      </c>
      <c r="U64" s="142" t="s">
        <v>84</v>
      </c>
      <c r="V64" s="147">
        <v>5</v>
      </c>
      <c r="W64" s="148"/>
      <c r="X64" s="148"/>
      <c r="Y64" s="148"/>
      <c r="Z64" s="148"/>
      <c r="AA64" s="148"/>
      <c r="AB64" s="148"/>
      <c r="AC64" s="148"/>
      <c r="AD64" s="148"/>
      <c r="AE64" s="149"/>
      <c r="AF64" s="37"/>
    </row>
  </sheetData>
  <dataConsolidate/>
  <mergeCells count="16">
    <mergeCell ref="B10:B11"/>
    <mergeCell ref="C10:C11"/>
    <mergeCell ref="D10:D11"/>
    <mergeCell ref="H10:H11"/>
    <mergeCell ref="F10:F11"/>
    <mergeCell ref="T10:T11"/>
    <mergeCell ref="U10:U11"/>
    <mergeCell ref="V10:AE10"/>
    <mergeCell ref="E10:E11"/>
    <mergeCell ref="G10:G11"/>
    <mergeCell ref="I10:I11"/>
    <mergeCell ref="J10:J11"/>
    <mergeCell ref="K10:K11"/>
    <mergeCell ref="L10:L11"/>
    <mergeCell ref="M10:M11"/>
    <mergeCell ref="N10:S10"/>
  </mergeCells>
  <phoneticPr fontId="12" type="noConversion"/>
  <conditionalFormatting sqref="M12:M64 V12:AE64 B12:H64">
    <cfRule type="containsBlanks" dxfId="0" priority="18">
      <formula>LEN(TRIM(B12))=0</formula>
    </cfRule>
  </conditionalFormatting>
  <dataValidations count="7">
    <dataValidation allowBlank="1" showErrorMessage="1" sqref="C5:C8 N12:S64 V12:AF64 I12:L64" xr:uid="{99736726-8813-4FF6-AD55-FAE6A42F85DE}"/>
    <dataValidation type="date" allowBlank="1" showErrorMessage="1" sqref="N12:S64 J12:K64 V12:AF64" xr:uid="{898DF574-9917-464F-9CFB-485A1F7D818E}">
      <formula1>45292</formula1>
      <formula2>54789</formula2>
    </dataValidation>
    <dataValidation type="date" allowBlank="1" showErrorMessage="1" sqref="F12:F64" xr:uid="{F640859D-4FE4-4908-83DB-B1B1C734AB98}">
      <formula1>36526</formula1>
      <formula2>219148</formula2>
    </dataValidation>
    <dataValidation type="whole" allowBlank="1" showErrorMessage="1" sqref="G12:H64" xr:uid="{F1C0E0EE-07BD-4BFA-97C2-757ABC618F4F}">
      <formula1>0</formula1>
      <formula2>1000</formula2>
    </dataValidation>
    <dataValidation type="decimal" allowBlank="1" showErrorMessage="1" sqref="M12:M64" xr:uid="{8414890C-126E-456E-A45F-739C71F1FD88}">
      <formula1>0</formula1>
      <formula2>1</formula2>
    </dataValidation>
    <dataValidation type="list" allowBlank="1" showErrorMessage="1" sqref="U12:U64" xr:uid="{94ABA76F-C987-40B7-A5EA-A3F3F4C04FD5}">
      <formula1>"A,B,C,D,E"</formula1>
    </dataValidation>
    <dataValidation type="list" allowBlank="1" showErrorMessage="1" sqref="T12:T64" xr:uid="{B6B31AE6-32AE-4DAF-8FD5-0ED9A6D662B8}">
      <formula1>"TRUE,FALSE"</formula1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4EC7F-BD4D-404A-9EDC-D627BEFEA72D}">
  <sheetPr codeName="Sheet8"/>
  <dimension ref="B2:X32"/>
  <sheetViews>
    <sheetView showGridLines="0" zoomScaleNormal="100" workbookViewId="0">
      <selection activeCell="P33" sqref="P33"/>
    </sheetView>
  </sheetViews>
  <sheetFormatPr defaultColWidth="8" defaultRowHeight="13" x14ac:dyDescent="0.35"/>
  <cols>
    <col min="1" max="1" width="3.453125" style="1" customWidth="1"/>
    <col min="2" max="2" width="6.453125" style="1" customWidth="1"/>
    <col min="3" max="3" width="30.453125" style="1" customWidth="1"/>
    <col min="4" max="6" width="10.453125" style="1" customWidth="1"/>
    <col min="7" max="24" width="7.453125" style="1" customWidth="1"/>
    <col min="25" max="16384" width="8" style="1"/>
  </cols>
  <sheetData>
    <row r="2" spans="2:24" ht="15" customHeight="1" x14ac:dyDescent="0.35">
      <c r="B2" s="23" t="s">
        <v>52</v>
      </c>
    </row>
    <row r="3" spans="2:24" ht="15" customHeight="1" x14ac:dyDescent="0.35">
      <c r="B3" s="61" t="s">
        <v>53</v>
      </c>
      <c r="C3" s="26" t="str">
        <f t="array" ref="C3:C8">WorkSchedule!C3:C8</f>
        <v>PJ2502_0137</v>
      </c>
    </row>
    <row r="4" spans="2:24" ht="15" customHeight="1" x14ac:dyDescent="0.35">
      <c r="B4" s="62" t="s">
        <v>54</v>
      </c>
      <c r="C4" s="30" t="str">
        <v>Visa Fraud Project</v>
      </c>
    </row>
    <row r="5" spans="2:24" ht="15" customHeight="1" x14ac:dyDescent="0.35">
      <c r="B5" s="63" t="s">
        <v>55</v>
      </c>
      <c r="C5" s="27">
        <f ca="1"/>
        <v>45831</v>
      </c>
    </row>
    <row r="6" spans="2:24" ht="15" customHeight="1" x14ac:dyDescent="0.35">
      <c r="B6" s="63" t="s">
        <v>39</v>
      </c>
      <c r="C6" s="27">
        <v>45667</v>
      </c>
    </row>
    <row r="7" spans="2:24" ht="15" customHeight="1" x14ac:dyDescent="0.35">
      <c r="B7" s="63" t="s">
        <v>51</v>
      </c>
      <c r="C7" s="27">
        <v>46007</v>
      </c>
    </row>
    <row r="8" spans="2:24" ht="15" customHeight="1" x14ac:dyDescent="0.35">
      <c r="B8" s="64" t="s">
        <v>42</v>
      </c>
      <c r="C8" s="33" t="str">
        <v>340 days</v>
      </c>
    </row>
    <row r="9" spans="2:24" ht="15" customHeight="1" x14ac:dyDescent="0.35"/>
    <row r="10" spans="2:24" ht="15" customHeight="1" x14ac:dyDescent="0.35">
      <c r="B10" s="209" t="s">
        <v>74</v>
      </c>
      <c r="C10" s="186" t="s">
        <v>59</v>
      </c>
      <c r="D10" s="186" t="s">
        <v>60</v>
      </c>
      <c r="E10" s="186" t="s">
        <v>75</v>
      </c>
      <c r="F10" s="200" t="s">
        <v>76</v>
      </c>
      <c r="G10" s="65">
        <v>1</v>
      </c>
      <c r="H10" s="65">
        <f>G10+1</f>
        <v>2</v>
      </c>
      <c r="I10" s="65">
        <f t="shared" ref="I10:X10" si="0">H10+1</f>
        <v>3</v>
      </c>
      <c r="J10" s="65">
        <f t="shared" si="0"/>
        <v>4</v>
      </c>
      <c r="K10" s="65">
        <f t="shared" si="0"/>
        <v>5</v>
      </c>
      <c r="L10" s="65">
        <f t="shared" si="0"/>
        <v>6</v>
      </c>
      <c r="M10" s="65">
        <f t="shared" si="0"/>
        <v>7</v>
      </c>
      <c r="N10" s="65">
        <f t="shared" si="0"/>
        <v>8</v>
      </c>
      <c r="O10" s="65">
        <f t="shared" si="0"/>
        <v>9</v>
      </c>
      <c r="P10" s="65">
        <f t="shared" si="0"/>
        <v>10</v>
      </c>
      <c r="Q10" s="65">
        <f t="shared" si="0"/>
        <v>11</v>
      </c>
      <c r="R10" s="65">
        <f t="shared" si="0"/>
        <v>12</v>
      </c>
      <c r="S10" s="65">
        <f t="shared" si="0"/>
        <v>13</v>
      </c>
      <c r="T10" s="65">
        <f t="shared" si="0"/>
        <v>14</v>
      </c>
      <c r="U10" s="65">
        <f t="shared" si="0"/>
        <v>15</v>
      </c>
      <c r="V10" s="65">
        <f t="shared" si="0"/>
        <v>16</v>
      </c>
      <c r="W10" s="65">
        <f t="shared" si="0"/>
        <v>17</v>
      </c>
      <c r="X10" s="66">
        <f t="shared" si="0"/>
        <v>18</v>
      </c>
    </row>
    <row r="11" spans="2:24" ht="15" customHeight="1" x14ac:dyDescent="0.35">
      <c r="B11" s="210"/>
      <c r="C11" s="187"/>
      <c r="D11" s="187"/>
      <c r="E11" s="187"/>
      <c r="F11" s="201"/>
      <c r="G11" s="67">
        <f ca="1">IFERROR(DATE(YEAR($C$6),MONTH($C$6),1),DATE(YEAR(TODAY()),MONTH(TODAY()),1))</f>
        <v>45658</v>
      </c>
      <c r="H11" s="67">
        <f ca="1">EOMONTH(G11,0)+1</f>
        <v>45689</v>
      </c>
      <c r="I11" s="67">
        <f t="shared" ref="I11:X11" ca="1" si="1">EOMONTH(H11,0)+1</f>
        <v>45717</v>
      </c>
      <c r="J11" s="67">
        <f t="shared" ca="1" si="1"/>
        <v>45748</v>
      </c>
      <c r="K11" s="67">
        <f t="shared" ca="1" si="1"/>
        <v>45778</v>
      </c>
      <c r="L11" s="67">
        <f t="shared" ca="1" si="1"/>
        <v>45809</v>
      </c>
      <c r="M11" s="67">
        <f t="shared" ca="1" si="1"/>
        <v>45839</v>
      </c>
      <c r="N11" s="67">
        <f t="shared" ca="1" si="1"/>
        <v>45870</v>
      </c>
      <c r="O11" s="67">
        <f t="shared" ca="1" si="1"/>
        <v>45901</v>
      </c>
      <c r="P11" s="67">
        <f t="shared" ca="1" si="1"/>
        <v>45931</v>
      </c>
      <c r="Q11" s="67">
        <f t="shared" ca="1" si="1"/>
        <v>45962</v>
      </c>
      <c r="R11" s="67">
        <f t="shared" ca="1" si="1"/>
        <v>45992</v>
      </c>
      <c r="S11" s="67">
        <f t="shared" ca="1" si="1"/>
        <v>46023</v>
      </c>
      <c r="T11" s="67">
        <f t="shared" ca="1" si="1"/>
        <v>46054</v>
      </c>
      <c r="U11" s="67">
        <f t="shared" ca="1" si="1"/>
        <v>46082</v>
      </c>
      <c r="V11" s="67">
        <f t="shared" ca="1" si="1"/>
        <v>46113</v>
      </c>
      <c r="W11" s="67">
        <f t="shared" ca="1" si="1"/>
        <v>46143</v>
      </c>
      <c r="X11" s="68">
        <f t="shared" ca="1" si="1"/>
        <v>46174</v>
      </c>
    </row>
    <row r="12" spans="2:24" ht="14" customHeight="1" x14ac:dyDescent="0.35">
      <c r="B12" s="48">
        <v>1</v>
      </c>
      <c r="C12" s="49" t="s">
        <v>180</v>
      </c>
      <c r="D12" s="69" t="s">
        <v>181</v>
      </c>
      <c r="E12" s="70" t="s">
        <v>182</v>
      </c>
      <c r="F12" s="50">
        <f t="shared" ref="F12:F21" si="2">SUM(G12:X12)</f>
        <v>80.999789999999976</v>
      </c>
      <c r="G12" s="52">
        <f t="shared" ref="G12:P21" si="3">IFERROR(SUMPRODUCT(_xlfn.CHOOSECOLS(contribution,$B12),_xlfn.CHOOSECOLS(workingdays,G$10)),0)</f>
        <v>0.99999000000000005</v>
      </c>
      <c r="H12" s="52">
        <f t="shared" si="3"/>
        <v>2.4999899999999999</v>
      </c>
      <c r="I12" s="52">
        <f t="shared" si="3"/>
        <v>16.733229999999999</v>
      </c>
      <c r="J12" s="52">
        <f t="shared" si="3"/>
        <v>7.18323</v>
      </c>
      <c r="K12" s="52">
        <f t="shared" si="3"/>
        <v>15.986180000000001</v>
      </c>
      <c r="L12" s="52">
        <f t="shared" si="3"/>
        <v>9.5972299999999997</v>
      </c>
      <c r="M12" s="52">
        <f t="shared" si="3"/>
        <v>17.24999</v>
      </c>
      <c r="N12" s="52">
        <f t="shared" si="3"/>
        <v>3.7499899999999999</v>
      </c>
      <c r="O12" s="52">
        <f t="shared" si="3"/>
        <v>0.99999000000000005</v>
      </c>
      <c r="P12" s="52">
        <f t="shared" si="3"/>
        <v>3.9999899999999999</v>
      </c>
      <c r="Q12" s="52">
        <f t="shared" ref="Q12:X21" si="4">IFERROR(SUMPRODUCT(_xlfn.CHOOSECOLS(contribution,$B12),_xlfn.CHOOSECOLS(workingdays,Q$10)),0)</f>
        <v>0.99999000000000005</v>
      </c>
      <c r="R12" s="52">
        <f t="shared" si="4"/>
        <v>0.99999000000000005</v>
      </c>
      <c r="S12" s="52">
        <f t="shared" si="4"/>
        <v>0</v>
      </c>
      <c r="T12" s="52">
        <f t="shared" si="4"/>
        <v>0</v>
      </c>
      <c r="U12" s="52">
        <f t="shared" si="4"/>
        <v>0</v>
      </c>
      <c r="V12" s="52">
        <f t="shared" si="4"/>
        <v>0</v>
      </c>
      <c r="W12" s="52">
        <f t="shared" si="4"/>
        <v>0</v>
      </c>
      <c r="X12" s="53">
        <f t="shared" si="4"/>
        <v>0</v>
      </c>
    </row>
    <row r="13" spans="2:24" ht="13" customHeight="1" x14ac:dyDescent="0.35">
      <c r="B13" s="2">
        <v>2</v>
      </c>
      <c r="C13" s="20"/>
      <c r="D13" s="71"/>
      <c r="E13" s="72"/>
      <c r="F13" s="46">
        <f t="shared" si="2"/>
        <v>0</v>
      </c>
      <c r="G13" s="52">
        <f t="shared" si="3"/>
        <v>0</v>
      </c>
      <c r="H13" s="52">
        <f t="shared" si="3"/>
        <v>0</v>
      </c>
      <c r="I13" s="52">
        <f t="shared" si="3"/>
        <v>0</v>
      </c>
      <c r="J13" s="52">
        <f t="shared" si="3"/>
        <v>0</v>
      </c>
      <c r="K13" s="52">
        <f t="shared" si="3"/>
        <v>0</v>
      </c>
      <c r="L13" s="52">
        <f t="shared" si="3"/>
        <v>0</v>
      </c>
      <c r="M13" s="52">
        <f t="shared" si="3"/>
        <v>0</v>
      </c>
      <c r="N13" s="52">
        <f t="shared" si="3"/>
        <v>0</v>
      </c>
      <c r="O13" s="52">
        <f t="shared" si="3"/>
        <v>0</v>
      </c>
      <c r="P13" s="52">
        <f t="shared" si="3"/>
        <v>0</v>
      </c>
      <c r="Q13" s="52">
        <f t="shared" si="4"/>
        <v>0</v>
      </c>
      <c r="R13" s="52">
        <f t="shared" si="4"/>
        <v>0</v>
      </c>
      <c r="S13" s="52">
        <f t="shared" si="4"/>
        <v>0</v>
      </c>
      <c r="T13" s="52">
        <f t="shared" si="4"/>
        <v>0</v>
      </c>
      <c r="U13" s="52">
        <f t="shared" si="4"/>
        <v>0</v>
      </c>
      <c r="V13" s="52">
        <f t="shared" si="4"/>
        <v>0</v>
      </c>
      <c r="W13" s="52">
        <f t="shared" si="4"/>
        <v>0</v>
      </c>
      <c r="X13" s="53">
        <f t="shared" si="4"/>
        <v>0</v>
      </c>
    </row>
    <row r="14" spans="2:24" ht="13" customHeight="1" x14ac:dyDescent="0.35">
      <c r="B14" s="2">
        <v>3</v>
      </c>
      <c r="C14" s="20"/>
      <c r="D14" s="71"/>
      <c r="E14" s="72"/>
      <c r="F14" s="46">
        <f t="shared" si="2"/>
        <v>0</v>
      </c>
      <c r="G14" s="52">
        <f t="shared" si="3"/>
        <v>0</v>
      </c>
      <c r="H14" s="52">
        <f t="shared" si="3"/>
        <v>0</v>
      </c>
      <c r="I14" s="52">
        <f t="shared" si="3"/>
        <v>0</v>
      </c>
      <c r="J14" s="52">
        <f t="shared" si="3"/>
        <v>0</v>
      </c>
      <c r="K14" s="52">
        <f t="shared" si="3"/>
        <v>0</v>
      </c>
      <c r="L14" s="52">
        <f t="shared" si="3"/>
        <v>0</v>
      </c>
      <c r="M14" s="52">
        <f t="shared" si="3"/>
        <v>0</v>
      </c>
      <c r="N14" s="52">
        <f t="shared" si="3"/>
        <v>0</v>
      </c>
      <c r="O14" s="52">
        <f t="shared" si="3"/>
        <v>0</v>
      </c>
      <c r="P14" s="52">
        <f t="shared" si="3"/>
        <v>0</v>
      </c>
      <c r="Q14" s="52">
        <f t="shared" si="4"/>
        <v>0</v>
      </c>
      <c r="R14" s="52">
        <f t="shared" si="4"/>
        <v>0</v>
      </c>
      <c r="S14" s="52">
        <f t="shared" si="4"/>
        <v>0</v>
      </c>
      <c r="T14" s="52">
        <f t="shared" si="4"/>
        <v>0</v>
      </c>
      <c r="U14" s="52">
        <f t="shared" si="4"/>
        <v>0</v>
      </c>
      <c r="V14" s="52">
        <f t="shared" si="4"/>
        <v>0</v>
      </c>
      <c r="W14" s="52">
        <f t="shared" si="4"/>
        <v>0</v>
      </c>
      <c r="X14" s="53">
        <f t="shared" si="4"/>
        <v>0</v>
      </c>
    </row>
    <row r="15" spans="2:24" x14ac:dyDescent="0.35">
      <c r="B15" s="2">
        <f t="shared" ref="B15:B21" si="5">B14+1</f>
        <v>4</v>
      </c>
      <c r="C15" s="20"/>
      <c r="D15" s="71"/>
      <c r="E15" s="72"/>
      <c r="F15" s="46">
        <f t="shared" si="2"/>
        <v>0</v>
      </c>
      <c r="G15" s="52">
        <f t="shared" si="3"/>
        <v>0</v>
      </c>
      <c r="H15" s="52">
        <f t="shared" si="3"/>
        <v>0</v>
      </c>
      <c r="I15" s="52">
        <f t="shared" si="3"/>
        <v>0</v>
      </c>
      <c r="J15" s="52">
        <f t="shared" si="3"/>
        <v>0</v>
      </c>
      <c r="K15" s="52">
        <f t="shared" si="3"/>
        <v>0</v>
      </c>
      <c r="L15" s="52">
        <f t="shared" si="3"/>
        <v>0</v>
      </c>
      <c r="M15" s="52">
        <f t="shared" si="3"/>
        <v>0</v>
      </c>
      <c r="N15" s="52">
        <f t="shared" si="3"/>
        <v>0</v>
      </c>
      <c r="O15" s="52">
        <f t="shared" si="3"/>
        <v>0</v>
      </c>
      <c r="P15" s="52">
        <f t="shared" si="3"/>
        <v>0</v>
      </c>
      <c r="Q15" s="52">
        <f t="shared" si="4"/>
        <v>0</v>
      </c>
      <c r="R15" s="52">
        <f t="shared" si="4"/>
        <v>0</v>
      </c>
      <c r="S15" s="52">
        <f t="shared" si="4"/>
        <v>0</v>
      </c>
      <c r="T15" s="52">
        <f t="shared" si="4"/>
        <v>0</v>
      </c>
      <c r="U15" s="52">
        <f t="shared" si="4"/>
        <v>0</v>
      </c>
      <c r="V15" s="52">
        <f t="shared" si="4"/>
        <v>0</v>
      </c>
      <c r="W15" s="52">
        <f t="shared" si="4"/>
        <v>0</v>
      </c>
      <c r="X15" s="53">
        <f t="shared" si="4"/>
        <v>0</v>
      </c>
    </row>
    <row r="16" spans="2:24" x14ac:dyDescent="0.35">
      <c r="B16" s="2">
        <f t="shared" si="5"/>
        <v>5</v>
      </c>
      <c r="C16" s="20"/>
      <c r="D16" s="71"/>
      <c r="E16" s="72"/>
      <c r="F16" s="46">
        <f t="shared" si="2"/>
        <v>0</v>
      </c>
      <c r="G16" s="52">
        <f t="shared" si="3"/>
        <v>0</v>
      </c>
      <c r="H16" s="52">
        <f t="shared" si="3"/>
        <v>0</v>
      </c>
      <c r="I16" s="52">
        <f t="shared" si="3"/>
        <v>0</v>
      </c>
      <c r="J16" s="52">
        <f t="shared" si="3"/>
        <v>0</v>
      </c>
      <c r="K16" s="52">
        <f t="shared" si="3"/>
        <v>0</v>
      </c>
      <c r="L16" s="52">
        <f t="shared" si="3"/>
        <v>0</v>
      </c>
      <c r="M16" s="52">
        <f t="shared" si="3"/>
        <v>0</v>
      </c>
      <c r="N16" s="52">
        <f t="shared" si="3"/>
        <v>0</v>
      </c>
      <c r="O16" s="52">
        <f t="shared" si="3"/>
        <v>0</v>
      </c>
      <c r="P16" s="52">
        <f t="shared" si="3"/>
        <v>0</v>
      </c>
      <c r="Q16" s="52">
        <f t="shared" si="4"/>
        <v>0</v>
      </c>
      <c r="R16" s="52">
        <f t="shared" si="4"/>
        <v>0</v>
      </c>
      <c r="S16" s="52">
        <f t="shared" si="4"/>
        <v>0</v>
      </c>
      <c r="T16" s="52">
        <f t="shared" si="4"/>
        <v>0</v>
      </c>
      <c r="U16" s="52">
        <f t="shared" si="4"/>
        <v>0</v>
      </c>
      <c r="V16" s="52">
        <f t="shared" si="4"/>
        <v>0</v>
      </c>
      <c r="W16" s="52">
        <f t="shared" si="4"/>
        <v>0</v>
      </c>
      <c r="X16" s="53">
        <f t="shared" si="4"/>
        <v>0</v>
      </c>
    </row>
    <row r="17" spans="2:24" x14ac:dyDescent="0.35">
      <c r="B17" s="2">
        <f t="shared" si="5"/>
        <v>6</v>
      </c>
      <c r="C17" s="20"/>
      <c r="D17" s="71"/>
      <c r="E17" s="72"/>
      <c r="F17" s="46">
        <f t="shared" si="2"/>
        <v>0</v>
      </c>
      <c r="G17" s="52">
        <f t="shared" si="3"/>
        <v>0</v>
      </c>
      <c r="H17" s="52">
        <f t="shared" si="3"/>
        <v>0</v>
      </c>
      <c r="I17" s="52">
        <f t="shared" si="3"/>
        <v>0</v>
      </c>
      <c r="J17" s="52">
        <f t="shared" si="3"/>
        <v>0</v>
      </c>
      <c r="K17" s="52">
        <f t="shared" si="3"/>
        <v>0</v>
      </c>
      <c r="L17" s="52">
        <f t="shared" si="3"/>
        <v>0</v>
      </c>
      <c r="M17" s="52">
        <f t="shared" si="3"/>
        <v>0</v>
      </c>
      <c r="N17" s="52">
        <f t="shared" si="3"/>
        <v>0</v>
      </c>
      <c r="O17" s="52">
        <f t="shared" si="3"/>
        <v>0</v>
      </c>
      <c r="P17" s="52">
        <f t="shared" si="3"/>
        <v>0</v>
      </c>
      <c r="Q17" s="52">
        <f t="shared" si="4"/>
        <v>0</v>
      </c>
      <c r="R17" s="52">
        <f t="shared" si="4"/>
        <v>0</v>
      </c>
      <c r="S17" s="52">
        <f t="shared" si="4"/>
        <v>0</v>
      </c>
      <c r="T17" s="52">
        <f t="shared" si="4"/>
        <v>0</v>
      </c>
      <c r="U17" s="52">
        <f t="shared" si="4"/>
        <v>0</v>
      </c>
      <c r="V17" s="52">
        <f t="shared" si="4"/>
        <v>0</v>
      </c>
      <c r="W17" s="52">
        <f t="shared" si="4"/>
        <v>0</v>
      </c>
      <c r="X17" s="53">
        <f t="shared" si="4"/>
        <v>0</v>
      </c>
    </row>
    <row r="18" spans="2:24" x14ac:dyDescent="0.35">
      <c r="B18" s="2">
        <f t="shared" si="5"/>
        <v>7</v>
      </c>
      <c r="C18" s="20"/>
      <c r="D18" s="71"/>
      <c r="E18" s="72"/>
      <c r="F18" s="46">
        <f t="shared" si="2"/>
        <v>0</v>
      </c>
      <c r="G18" s="52">
        <f t="shared" si="3"/>
        <v>0</v>
      </c>
      <c r="H18" s="52">
        <f t="shared" si="3"/>
        <v>0</v>
      </c>
      <c r="I18" s="52">
        <f t="shared" si="3"/>
        <v>0</v>
      </c>
      <c r="J18" s="52">
        <f t="shared" si="3"/>
        <v>0</v>
      </c>
      <c r="K18" s="52">
        <f t="shared" si="3"/>
        <v>0</v>
      </c>
      <c r="L18" s="52">
        <f t="shared" si="3"/>
        <v>0</v>
      </c>
      <c r="M18" s="52">
        <f t="shared" si="3"/>
        <v>0</v>
      </c>
      <c r="N18" s="52">
        <f t="shared" si="3"/>
        <v>0</v>
      </c>
      <c r="O18" s="52">
        <f t="shared" si="3"/>
        <v>0</v>
      </c>
      <c r="P18" s="52">
        <f t="shared" si="3"/>
        <v>0</v>
      </c>
      <c r="Q18" s="52">
        <f t="shared" si="4"/>
        <v>0</v>
      </c>
      <c r="R18" s="52">
        <f t="shared" si="4"/>
        <v>0</v>
      </c>
      <c r="S18" s="52">
        <f t="shared" si="4"/>
        <v>0</v>
      </c>
      <c r="T18" s="52">
        <f t="shared" si="4"/>
        <v>0</v>
      </c>
      <c r="U18" s="52">
        <f t="shared" si="4"/>
        <v>0</v>
      </c>
      <c r="V18" s="52">
        <f t="shared" si="4"/>
        <v>0</v>
      </c>
      <c r="W18" s="52">
        <f t="shared" si="4"/>
        <v>0</v>
      </c>
      <c r="X18" s="53">
        <f t="shared" si="4"/>
        <v>0</v>
      </c>
    </row>
    <row r="19" spans="2:24" x14ac:dyDescent="0.35">
      <c r="B19" s="2">
        <f t="shared" si="5"/>
        <v>8</v>
      </c>
      <c r="C19" s="20"/>
      <c r="D19" s="71"/>
      <c r="E19" s="72"/>
      <c r="F19" s="46">
        <f t="shared" si="2"/>
        <v>0</v>
      </c>
      <c r="G19" s="52">
        <f t="shared" si="3"/>
        <v>0</v>
      </c>
      <c r="H19" s="52">
        <f t="shared" si="3"/>
        <v>0</v>
      </c>
      <c r="I19" s="52">
        <f t="shared" si="3"/>
        <v>0</v>
      </c>
      <c r="J19" s="52">
        <f t="shared" si="3"/>
        <v>0</v>
      </c>
      <c r="K19" s="52">
        <f t="shared" si="3"/>
        <v>0</v>
      </c>
      <c r="L19" s="52">
        <f t="shared" si="3"/>
        <v>0</v>
      </c>
      <c r="M19" s="52">
        <f t="shared" si="3"/>
        <v>0</v>
      </c>
      <c r="N19" s="52">
        <f t="shared" si="3"/>
        <v>0</v>
      </c>
      <c r="O19" s="52">
        <f t="shared" si="3"/>
        <v>0</v>
      </c>
      <c r="P19" s="52">
        <f t="shared" si="3"/>
        <v>0</v>
      </c>
      <c r="Q19" s="52">
        <f t="shared" si="4"/>
        <v>0</v>
      </c>
      <c r="R19" s="52">
        <f t="shared" si="4"/>
        <v>0</v>
      </c>
      <c r="S19" s="52">
        <f t="shared" si="4"/>
        <v>0</v>
      </c>
      <c r="T19" s="52">
        <f t="shared" si="4"/>
        <v>0</v>
      </c>
      <c r="U19" s="52">
        <f t="shared" si="4"/>
        <v>0</v>
      </c>
      <c r="V19" s="52">
        <f t="shared" si="4"/>
        <v>0</v>
      </c>
      <c r="W19" s="52">
        <f t="shared" si="4"/>
        <v>0</v>
      </c>
      <c r="X19" s="53">
        <f t="shared" si="4"/>
        <v>0</v>
      </c>
    </row>
    <row r="20" spans="2:24" x14ac:dyDescent="0.35">
      <c r="B20" s="2">
        <f t="shared" si="5"/>
        <v>9</v>
      </c>
      <c r="C20" s="20"/>
      <c r="D20" s="71"/>
      <c r="E20" s="72"/>
      <c r="F20" s="46">
        <f t="shared" si="2"/>
        <v>0</v>
      </c>
      <c r="G20" s="52">
        <f t="shared" si="3"/>
        <v>0</v>
      </c>
      <c r="H20" s="52">
        <f t="shared" si="3"/>
        <v>0</v>
      </c>
      <c r="I20" s="52">
        <f t="shared" si="3"/>
        <v>0</v>
      </c>
      <c r="J20" s="52">
        <f t="shared" si="3"/>
        <v>0</v>
      </c>
      <c r="K20" s="52">
        <f t="shared" si="3"/>
        <v>0</v>
      </c>
      <c r="L20" s="52">
        <f t="shared" si="3"/>
        <v>0</v>
      </c>
      <c r="M20" s="52">
        <f t="shared" si="3"/>
        <v>0</v>
      </c>
      <c r="N20" s="52">
        <f t="shared" si="3"/>
        <v>0</v>
      </c>
      <c r="O20" s="52">
        <f t="shared" si="3"/>
        <v>0</v>
      </c>
      <c r="P20" s="52">
        <f t="shared" si="3"/>
        <v>0</v>
      </c>
      <c r="Q20" s="52">
        <f t="shared" si="4"/>
        <v>0</v>
      </c>
      <c r="R20" s="52">
        <f t="shared" si="4"/>
        <v>0</v>
      </c>
      <c r="S20" s="52">
        <f t="shared" si="4"/>
        <v>0</v>
      </c>
      <c r="T20" s="52">
        <f t="shared" si="4"/>
        <v>0</v>
      </c>
      <c r="U20" s="52">
        <f t="shared" si="4"/>
        <v>0</v>
      </c>
      <c r="V20" s="52">
        <f t="shared" si="4"/>
        <v>0</v>
      </c>
      <c r="W20" s="52">
        <f t="shared" si="4"/>
        <v>0</v>
      </c>
      <c r="X20" s="53">
        <f t="shared" si="4"/>
        <v>0</v>
      </c>
    </row>
    <row r="21" spans="2:24" x14ac:dyDescent="0.35">
      <c r="B21" s="10">
        <f t="shared" si="5"/>
        <v>10</v>
      </c>
      <c r="C21" s="22"/>
      <c r="D21" s="73"/>
      <c r="E21" s="74"/>
      <c r="F21" s="47">
        <f t="shared" si="2"/>
        <v>0</v>
      </c>
      <c r="G21" s="54">
        <f t="shared" si="3"/>
        <v>0</v>
      </c>
      <c r="H21" s="54">
        <f t="shared" si="3"/>
        <v>0</v>
      </c>
      <c r="I21" s="54">
        <f t="shared" si="3"/>
        <v>0</v>
      </c>
      <c r="J21" s="54">
        <f t="shared" si="3"/>
        <v>0</v>
      </c>
      <c r="K21" s="54">
        <f t="shared" si="3"/>
        <v>0</v>
      </c>
      <c r="L21" s="54">
        <f t="shared" si="3"/>
        <v>0</v>
      </c>
      <c r="M21" s="54">
        <f t="shared" si="3"/>
        <v>0</v>
      </c>
      <c r="N21" s="54">
        <f t="shared" si="3"/>
        <v>0</v>
      </c>
      <c r="O21" s="54">
        <f t="shared" si="3"/>
        <v>0</v>
      </c>
      <c r="P21" s="54">
        <f t="shared" si="3"/>
        <v>0</v>
      </c>
      <c r="Q21" s="54">
        <f t="shared" si="4"/>
        <v>0</v>
      </c>
      <c r="R21" s="54">
        <f t="shared" si="4"/>
        <v>0</v>
      </c>
      <c r="S21" s="54">
        <f t="shared" si="4"/>
        <v>0</v>
      </c>
      <c r="T21" s="54">
        <f t="shared" si="4"/>
        <v>0</v>
      </c>
      <c r="U21" s="54">
        <f t="shared" si="4"/>
        <v>0</v>
      </c>
      <c r="V21" s="54">
        <f t="shared" si="4"/>
        <v>0</v>
      </c>
      <c r="W21" s="54">
        <f t="shared" si="4"/>
        <v>0</v>
      </c>
      <c r="X21" s="55">
        <f t="shared" si="4"/>
        <v>0</v>
      </c>
    </row>
    <row r="22" spans="2:24" x14ac:dyDescent="0.35">
      <c r="B22" s="202" t="s">
        <v>77</v>
      </c>
      <c r="C22" s="203"/>
      <c r="D22" s="203"/>
      <c r="E22" s="204"/>
      <c r="F22" s="75">
        <f>SUM(F12:F21)</f>
        <v>80.999789999999976</v>
      </c>
      <c r="G22" s="76">
        <f>SUM(G12:G21)</f>
        <v>0.99999000000000005</v>
      </c>
      <c r="H22" s="76">
        <f t="shared" ref="H22:X22" si="6">SUM(H12:H21)</f>
        <v>2.4999899999999999</v>
      </c>
      <c r="I22" s="76">
        <f t="shared" si="6"/>
        <v>16.733229999999999</v>
      </c>
      <c r="J22" s="76">
        <f t="shared" si="6"/>
        <v>7.18323</v>
      </c>
      <c r="K22" s="76">
        <f t="shared" si="6"/>
        <v>15.986180000000001</v>
      </c>
      <c r="L22" s="76">
        <f t="shared" si="6"/>
        <v>9.5972299999999997</v>
      </c>
      <c r="M22" s="76">
        <f t="shared" si="6"/>
        <v>17.24999</v>
      </c>
      <c r="N22" s="76">
        <f t="shared" si="6"/>
        <v>3.7499899999999999</v>
      </c>
      <c r="O22" s="76">
        <f t="shared" si="6"/>
        <v>0.99999000000000005</v>
      </c>
      <c r="P22" s="76">
        <f t="shared" si="6"/>
        <v>3.9999899999999999</v>
      </c>
      <c r="Q22" s="76">
        <f t="shared" si="6"/>
        <v>0.99999000000000005</v>
      </c>
      <c r="R22" s="76">
        <f t="shared" si="6"/>
        <v>0.99999000000000005</v>
      </c>
      <c r="S22" s="76">
        <f t="shared" si="6"/>
        <v>0</v>
      </c>
      <c r="T22" s="76">
        <f t="shared" si="6"/>
        <v>0</v>
      </c>
      <c r="U22" s="76">
        <f t="shared" si="6"/>
        <v>0</v>
      </c>
      <c r="V22" s="76">
        <f t="shared" si="6"/>
        <v>0</v>
      </c>
      <c r="W22" s="76">
        <f t="shared" si="6"/>
        <v>0</v>
      </c>
      <c r="X22" s="77">
        <f t="shared" si="6"/>
        <v>0</v>
      </c>
    </row>
    <row r="23" spans="2:24" x14ac:dyDescent="0.35">
      <c r="G23" s="78"/>
    </row>
    <row r="24" spans="2:24" x14ac:dyDescent="0.35">
      <c r="B24" s="79" t="s">
        <v>78</v>
      </c>
      <c r="C24" s="79"/>
      <c r="D24" s="79"/>
      <c r="G24" s="78"/>
    </row>
    <row r="25" spans="2:24" ht="15" customHeight="1" x14ac:dyDescent="0.35">
      <c r="B25" s="80" t="s">
        <v>79</v>
      </c>
      <c r="C25" s="51" t="s">
        <v>37</v>
      </c>
      <c r="D25" s="81" t="s">
        <v>80</v>
      </c>
      <c r="E25" s="82"/>
      <c r="F25" s="82"/>
      <c r="G25" s="83"/>
      <c r="H25" s="83"/>
      <c r="I25" s="83"/>
      <c r="J25" s="83"/>
      <c r="K25" s="83"/>
      <c r="L25" s="83"/>
      <c r="M25" s="83"/>
      <c r="N25" s="83"/>
      <c r="O25" s="83"/>
      <c r="P25" s="83"/>
      <c r="Q25" s="83"/>
      <c r="R25" s="83"/>
      <c r="S25" s="83"/>
      <c r="T25" s="83"/>
      <c r="U25" s="83"/>
      <c r="V25" s="83"/>
      <c r="W25" s="83"/>
      <c r="X25" s="83"/>
    </row>
    <row r="26" spans="2:24" ht="14" customHeight="1" x14ac:dyDescent="0.35">
      <c r="B26" s="48" t="s">
        <v>81</v>
      </c>
      <c r="C26" s="49" t="s">
        <v>82</v>
      </c>
      <c r="D26" s="84" cm="1">
        <f t="array" ref="D26">IFERROR(SUM(_xlfn._xlws.FILTER(manday,effort="A")),0)</f>
        <v>7</v>
      </c>
      <c r="E26" s="85"/>
      <c r="F26" s="85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  <c r="S26" s="86"/>
      <c r="T26" s="86"/>
      <c r="U26" s="86"/>
      <c r="V26" s="86"/>
      <c r="W26" s="86"/>
      <c r="X26" s="86"/>
    </row>
    <row r="27" spans="2:24" ht="13" customHeight="1" x14ac:dyDescent="0.35">
      <c r="B27" s="2" t="s">
        <v>73</v>
      </c>
      <c r="C27" s="20" t="s">
        <v>83</v>
      </c>
      <c r="D27" s="87" cm="1">
        <f t="array" ref="D27">IFERROR(SUM(_xlfn._xlws.FILTER(_xlfn.CHOOSECOLS(manday,_xlfn._xlws.FILTER(members,EffortType="Implement")),effort="B")),0)</f>
        <v>0</v>
      </c>
      <c r="E27" s="88"/>
      <c r="F27" s="88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</row>
    <row r="28" spans="2:24" ht="13" customHeight="1" x14ac:dyDescent="0.35">
      <c r="B28" s="2" t="s">
        <v>84</v>
      </c>
      <c r="C28" s="20" t="s">
        <v>85</v>
      </c>
      <c r="D28" s="87" cm="1">
        <f t="array" ref="D28">IFERROR(SUM(_xlfn._xlws.FILTER(_xlfn.CHOOSECOLS(manday,_xlfn._xlws.FILTER(members,EffortType="Manage")),effort&lt;&gt;"A")),0)</f>
        <v>74</v>
      </c>
      <c r="E28" s="88"/>
      <c r="F28" s="88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</row>
    <row r="29" spans="2:24" x14ac:dyDescent="0.35">
      <c r="B29" s="2" t="s">
        <v>72</v>
      </c>
      <c r="C29" s="20" t="s">
        <v>86</v>
      </c>
      <c r="D29" s="87" cm="1">
        <f t="array" ref="D29">IFERROR(SUM(_xlfn._xlws.FILTER(_xlfn.CHOOSECOLS(manday,_xlfn._xlws.FILTER(members,EffortType="Implement")),effort="D")),0)</f>
        <v>0</v>
      </c>
      <c r="E29" s="88"/>
      <c r="F29" s="88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  <c r="S29" s="86"/>
      <c r="T29" s="86"/>
      <c r="U29" s="86"/>
      <c r="V29" s="86"/>
      <c r="W29" s="86"/>
      <c r="X29" s="86"/>
    </row>
    <row r="30" spans="2:24" x14ac:dyDescent="0.35">
      <c r="B30" s="9" t="s">
        <v>87</v>
      </c>
      <c r="C30" s="21" t="s">
        <v>88</v>
      </c>
      <c r="D30" s="89" cm="1">
        <f t="array" ref="D30">IFERROR(SUM(_xlfn._xlws.FILTER(_xlfn.CHOOSECOLS(manday,_xlfn._xlws.FILTER(members,EffortType="Implement")),effort="E")),0)</f>
        <v>0</v>
      </c>
      <c r="E30" s="88"/>
      <c r="F30" s="88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  <c r="S30" s="86"/>
      <c r="T30" s="86"/>
      <c r="U30" s="86"/>
      <c r="V30" s="86"/>
      <c r="W30" s="86"/>
      <c r="X30" s="86"/>
    </row>
    <row r="31" spans="2:24" ht="14" customHeight="1" x14ac:dyDescent="0.35">
      <c r="B31" s="205" t="s">
        <v>89</v>
      </c>
      <c r="C31" s="206"/>
      <c r="D31" s="90">
        <f>SUM(D26:D30)</f>
        <v>81</v>
      </c>
      <c r="E31" s="88"/>
      <c r="F31" s="88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  <c r="S31" s="86"/>
      <c r="T31" s="86"/>
      <c r="U31" s="86"/>
      <c r="V31" s="86"/>
      <c r="W31" s="86"/>
      <c r="X31" s="86"/>
    </row>
    <row r="32" spans="2:24" ht="14" customHeight="1" x14ac:dyDescent="0.35">
      <c r="B32" s="207" t="s">
        <v>90</v>
      </c>
      <c r="C32" s="208"/>
      <c r="D32" s="91">
        <f>SUM(D26:D30)</f>
        <v>81</v>
      </c>
      <c r="E32" s="88"/>
      <c r="F32" s="88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  <c r="S32" s="86"/>
      <c r="T32" s="86"/>
      <c r="U32" s="86"/>
      <c r="V32" s="86"/>
      <c r="W32" s="86"/>
      <c r="X32" s="86"/>
    </row>
  </sheetData>
  <mergeCells count="8">
    <mergeCell ref="E10:E11"/>
    <mergeCell ref="F10:F11"/>
    <mergeCell ref="B22:E22"/>
    <mergeCell ref="B31:C31"/>
    <mergeCell ref="B32:C32"/>
    <mergeCell ref="B10:B11"/>
    <mergeCell ref="C10:C11"/>
    <mergeCell ref="D10:D11"/>
  </mergeCells>
  <dataValidations count="4">
    <dataValidation allowBlank="1" showErrorMessage="1" sqref="C5:C8 D12:D21 D26:D32 E25:X32" xr:uid="{600ADF87-0462-444D-9233-11054CD2FA0A}"/>
    <dataValidation type="date" allowBlank="1" showErrorMessage="1" sqref="D12 D26" xr:uid="{EFC6ED89-7A33-4823-A70C-4E22BFA6AA35}">
      <formula1>45292</formula1>
      <formula2>54789</formula2>
    </dataValidation>
    <dataValidation type="list" allowBlank="1" showInputMessage="1" showErrorMessage="1" sqref="E12:E21" xr:uid="{0BB9FDB1-771D-4DE6-8785-1140BCBCF6DE}">
      <formula1>"Manage,Implement"</formula1>
    </dataValidation>
    <dataValidation type="whole" allowBlank="1" showErrorMessage="1" sqref="F12:F21" xr:uid="{07560B20-B3F6-488F-AC1E-57304D214186}">
      <formula1>0</formula1>
      <formula2>1000</formula2>
    </dataValidation>
  </dataValidations>
  <pageMargins left="0.7" right="0.7" top="0.75" bottom="0.75" header="0.3" footer="0.3"/>
  <pageSetup paperSize="9" orientation="portrait" r:id="rId1"/>
  <headerFooter>
    <oddFooter>&amp;R_x000D_&amp;1#&amp;"Calibri"&amp;9&amp;K000000 Internal Use Only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5B88D-68E8-48DD-9D2A-47788D92CF92}">
  <sheetPr codeName="Sheet1"/>
  <dimension ref="A1:Y47"/>
  <sheetViews>
    <sheetView workbookViewId="0">
      <selection activeCell="F55" sqref="F55"/>
    </sheetView>
  </sheetViews>
  <sheetFormatPr defaultColWidth="8.6328125" defaultRowHeight="13" x14ac:dyDescent="0.3"/>
  <cols>
    <col min="1" max="16384" width="8.6328125" style="185"/>
  </cols>
  <sheetData>
    <row r="1" spans="1:25" x14ac:dyDescent="0.3">
      <c r="A1" s="185" t="s">
        <v>331</v>
      </c>
      <c r="B1" s="185" t="s">
        <v>326</v>
      </c>
    </row>
    <row r="2" spans="1:25" x14ac:dyDescent="0.3">
      <c r="A2" s="185" t="s">
        <v>323</v>
      </c>
      <c r="B2" s="185">
        <v>1</v>
      </c>
      <c r="C2" s="185">
        <v>1</v>
      </c>
      <c r="D2" s="185" t="b">
        <v>0</v>
      </c>
      <c r="E2" s="185" t="s">
        <v>324</v>
      </c>
      <c r="F2" s="185" t="s">
        <v>332</v>
      </c>
      <c r="G2" s="185" t="s">
        <v>333</v>
      </c>
      <c r="H2" s="185" t="s">
        <v>334</v>
      </c>
      <c r="I2" s="185" t="s">
        <v>335</v>
      </c>
      <c r="J2" s="185" t="s">
        <v>336</v>
      </c>
      <c r="K2" s="185" t="s">
        <v>325</v>
      </c>
      <c r="L2" s="185" t="s">
        <v>337</v>
      </c>
      <c r="M2" s="185" t="s">
        <v>338</v>
      </c>
      <c r="N2" s="185" t="s">
        <v>339</v>
      </c>
      <c r="O2" s="185" t="s">
        <v>340</v>
      </c>
      <c r="P2" s="185" t="s">
        <v>341</v>
      </c>
      <c r="Q2" s="185" t="s">
        <v>329</v>
      </c>
    </row>
    <row r="3" spans="1:25" x14ac:dyDescent="0.3">
      <c r="A3" s="185" t="s">
        <v>323</v>
      </c>
      <c r="B3" s="185">
        <v>1</v>
      </c>
      <c r="C3" s="185">
        <v>2</v>
      </c>
      <c r="D3" s="185" t="b">
        <v>0</v>
      </c>
      <c r="E3" s="185" t="s">
        <v>324</v>
      </c>
      <c r="F3" s="185" t="s">
        <v>332</v>
      </c>
      <c r="G3" s="185" t="s">
        <v>333</v>
      </c>
      <c r="H3" s="185" t="s">
        <v>334</v>
      </c>
      <c r="I3" s="185" t="s">
        <v>335</v>
      </c>
      <c r="J3" s="185" t="s">
        <v>336</v>
      </c>
      <c r="K3" s="185" t="s">
        <v>325</v>
      </c>
      <c r="L3" s="185" t="s">
        <v>337</v>
      </c>
      <c r="M3" s="185" t="s">
        <v>338</v>
      </c>
      <c r="N3" s="185" t="s">
        <v>339</v>
      </c>
      <c r="O3" s="185" t="s">
        <v>340</v>
      </c>
      <c r="P3" s="185" t="s">
        <v>341</v>
      </c>
      <c r="Q3" s="185" t="s">
        <v>329</v>
      </c>
    </row>
    <row r="4" spans="1:25" x14ac:dyDescent="0.3">
      <c r="A4" s="185" t="s">
        <v>323</v>
      </c>
      <c r="B4" s="185">
        <v>2</v>
      </c>
      <c r="C4" s="185">
        <v>1</v>
      </c>
      <c r="D4" s="185" t="b">
        <v>0</v>
      </c>
      <c r="E4" s="185" t="s">
        <v>324</v>
      </c>
      <c r="F4" s="185" t="s">
        <v>332</v>
      </c>
      <c r="G4" s="185" t="s">
        <v>333</v>
      </c>
      <c r="H4" s="185" t="s">
        <v>334</v>
      </c>
      <c r="I4" s="185" t="s">
        <v>335</v>
      </c>
      <c r="J4" s="185" t="s">
        <v>336</v>
      </c>
      <c r="K4" s="185" t="s">
        <v>325</v>
      </c>
      <c r="L4" s="185" t="s">
        <v>337</v>
      </c>
      <c r="M4" s="185" t="s">
        <v>338</v>
      </c>
      <c r="N4" s="185" t="s">
        <v>339</v>
      </c>
      <c r="O4" s="185" t="s">
        <v>340</v>
      </c>
      <c r="P4" s="185" t="s">
        <v>341</v>
      </c>
      <c r="Q4" s="185" t="s">
        <v>329</v>
      </c>
    </row>
    <row r="5" spans="1:25" x14ac:dyDescent="0.3">
      <c r="A5" s="185" t="s">
        <v>323</v>
      </c>
      <c r="B5" s="185">
        <v>2</v>
      </c>
      <c r="C5" s="185">
        <v>2</v>
      </c>
      <c r="D5" s="185" t="b">
        <v>0</v>
      </c>
      <c r="E5" s="185" t="s">
        <v>324</v>
      </c>
      <c r="F5" s="185" t="s">
        <v>332</v>
      </c>
      <c r="G5" s="185" t="s">
        <v>333</v>
      </c>
      <c r="H5" s="185" t="s">
        <v>334</v>
      </c>
      <c r="I5" s="185" t="s">
        <v>335</v>
      </c>
      <c r="J5" s="185" t="s">
        <v>336</v>
      </c>
      <c r="K5" s="185" t="s">
        <v>325</v>
      </c>
      <c r="L5" s="185" t="s">
        <v>337</v>
      </c>
      <c r="M5" s="185" t="s">
        <v>338</v>
      </c>
      <c r="N5" s="185" t="s">
        <v>339</v>
      </c>
      <c r="O5" s="185" t="s">
        <v>340</v>
      </c>
      <c r="P5" s="185" t="s">
        <v>341</v>
      </c>
      <c r="Q5" s="185" t="s">
        <v>329</v>
      </c>
    </row>
    <row r="6" spans="1:25" x14ac:dyDescent="0.3">
      <c r="A6" s="185" t="s">
        <v>294</v>
      </c>
      <c r="B6" s="185" t="s">
        <v>295</v>
      </c>
      <c r="C6" s="185" t="s">
        <v>296</v>
      </c>
      <c r="D6" s="185" t="s">
        <v>297</v>
      </c>
      <c r="E6" s="185" t="s">
        <v>298</v>
      </c>
    </row>
    <row r="7" spans="1:25" x14ac:dyDescent="0.3">
      <c r="A7" s="185" t="s">
        <v>299</v>
      </c>
      <c r="B7" s="185" t="s">
        <v>300</v>
      </c>
      <c r="C7" s="185" t="s">
        <v>301</v>
      </c>
      <c r="D7" s="185" t="s">
        <v>302</v>
      </c>
      <c r="E7" s="185" t="s">
        <v>303</v>
      </c>
      <c r="F7" s="185" t="s">
        <v>304</v>
      </c>
      <c r="G7" s="185" t="s">
        <v>305</v>
      </c>
    </row>
    <row r="8" spans="1:25" x14ac:dyDescent="0.3">
      <c r="A8" s="185" t="s">
        <v>202</v>
      </c>
      <c r="B8" s="185" t="s">
        <v>306</v>
      </c>
      <c r="C8" s="185">
        <v>1</v>
      </c>
      <c r="D8" s="185" t="s">
        <v>307</v>
      </c>
      <c r="E8" s="185" t="s">
        <v>308</v>
      </c>
      <c r="F8" s="185" t="s">
        <v>309</v>
      </c>
      <c r="G8" s="185" t="s">
        <v>310</v>
      </c>
      <c r="H8" s="185" t="s">
        <v>342</v>
      </c>
      <c r="I8" s="185" t="s">
        <v>357</v>
      </c>
      <c r="J8" s="185" t="s">
        <v>356</v>
      </c>
      <c r="K8" s="185" t="s">
        <v>343</v>
      </c>
      <c r="L8" s="185" t="s">
        <v>311</v>
      </c>
      <c r="M8" s="185" t="s">
        <v>208</v>
      </c>
      <c r="N8" s="185" t="s">
        <v>330</v>
      </c>
      <c r="O8" s="185" t="s">
        <v>328</v>
      </c>
      <c r="P8" s="185" t="s">
        <v>344</v>
      </c>
      <c r="Q8" s="185" t="s">
        <v>345</v>
      </c>
      <c r="R8" s="185" t="s">
        <v>346</v>
      </c>
      <c r="S8" s="185" t="s">
        <v>347</v>
      </c>
      <c r="T8" s="185" t="s">
        <v>348</v>
      </c>
      <c r="U8" s="185" t="s">
        <v>349</v>
      </c>
      <c r="V8" s="185" t="s">
        <v>350</v>
      </c>
      <c r="W8" s="185" t="s">
        <v>351</v>
      </c>
      <c r="X8" s="185" t="s">
        <v>352</v>
      </c>
      <c r="Y8" s="185" t="s">
        <v>353</v>
      </c>
    </row>
    <row r="9" spans="1:25" x14ac:dyDescent="0.3">
      <c r="A9" s="185" t="s">
        <v>202</v>
      </c>
      <c r="B9" s="185" t="s">
        <v>306</v>
      </c>
      <c r="C9" s="185">
        <v>2</v>
      </c>
      <c r="D9" s="185" t="s">
        <v>312</v>
      </c>
      <c r="E9" s="185" t="s">
        <v>313</v>
      </c>
      <c r="F9" s="185" t="s">
        <v>314</v>
      </c>
      <c r="G9" s="185" t="s">
        <v>310</v>
      </c>
      <c r="H9" s="185" t="s">
        <v>342</v>
      </c>
      <c r="I9" s="185" t="s">
        <v>357</v>
      </c>
      <c r="J9" s="185" t="s">
        <v>356</v>
      </c>
      <c r="K9" s="185" t="s">
        <v>343</v>
      </c>
      <c r="L9" s="185" t="s">
        <v>311</v>
      </c>
      <c r="M9" s="185" t="s">
        <v>208</v>
      </c>
      <c r="N9" s="185" t="s">
        <v>330</v>
      </c>
      <c r="O9" s="185" t="s">
        <v>328</v>
      </c>
      <c r="P9" s="185" t="s">
        <v>344</v>
      </c>
      <c r="Q9" s="185" t="s">
        <v>345</v>
      </c>
      <c r="R9" s="185" t="s">
        <v>346</v>
      </c>
      <c r="S9" s="185" t="s">
        <v>347</v>
      </c>
      <c r="T9" s="185" t="s">
        <v>348</v>
      </c>
      <c r="U9" s="185" t="s">
        <v>349</v>
      </c>
      <c r="V9" s="185" t="s">
        <v>350</v>
      </c>
      <c r="W9" s="185" t="s">
        <v>351</v>
      </c>
      <c r="X9" s="185" t="s">
        <v>352</v>
      </c>
      <c r="Y9" s="185" t="s">
        <v>353</v>
      </c>
    </row>
    <row r="10" spans="1:25" x14ac:dyDescent="0.3">
      <c r="A10" s="185" t="s">
        <v>202</v>
      </c>
      <c r="B10" s="185" t="s">
        <v>306</v>
      </c>
      <c r="C10" s="185">
        <v>3</v>
      </c>
      <c r="D10" s="185" t="s">
        <v>315</v>
      </c>
      <c r="E10" s="185" t="s">
        <v>316</v>
      </c>
      <c r="F10" s="185" t="s">
        <v>314</v>
      </c>
      <c r="G10" s="185" t="s">
        <v>310</v>
      </c>
      <c r="H10" s="185" t="s">
        <v>342</v>
      </c>
      <c r="I10" s="185" t="s">
        <v>357</v>
      </c>
      <c r="J10" s="185" t="s">
        <v>356</v>
      </c>
      <c r="K10" s="185" t="s">
        <v>343</v>
      </c>
      <c r="L10" s="185" t="s">
        <v>311</v>
      </c>
      <c r="M10" s="185" t="s">
        <v>208</v>
      </c>
      <c r="N10" s="185" t="s">
        <v>330</v>
      </c>
      <c r="O10" s="185" t="s">
        <v>328</v>
      </c>
      <c r="P10" s="185" t="s">
        <v>344</v>
      </c>
      <c r="Q10" s="185" t="s">
        <v>345</v>
      </c>
      <c r="R10" s="185" t="s">
        <v>346</v>
      </c>
      <c r="S10" s="185" t="s">
        <v>347</v>
      </c>
      <c r="T10" s="185" t="s">
        <v>348</v>
      </c>
      <c r="U10" s="185" t="s">
        <v>349</v>
      </c>
      <c r="V10" s="185" t="s">
        <v>350</v>
      </c>
      <c r="W10" s="185" t="s">
        <v>351</v>
      </c>
      <c r="X10" s="185" t="s">
        <v>352</v>
      </c>
      <c r="Y10" s="185" t="s">
        <v>353</v>
      </c>
    </row>
    <row r="11" spans="1:25" x14ac:dyDescent="0.3">
      <c r="A11" s="185" t="s">
        <v>202</v>
      </c>
      <c r="B11" s="185" t="s">
        <v>306</v>
      </c>
      <c r="C11" s="185">
        <v>4</v>
      </c>
      <c r="D11" s="185" t="s">
        <v>317</v>
      </c>
      <c r="E11" s="185" t="s">
        <v>318</v>
      </c>
      <c r="F11" s="185" t="s">
        <v>314</v>
      </c>
      <c r="G11" s="185" t="s">
        <v>310</v>
      </c>
      <c r="H11" s="185" t="s">
        <v>342</v>
      </c>
      <c r="I11" s="185" t="s">
        <v>357</v>
      </c>
      <c r="J11" s="185" t="s">
        <v>356</v>
      </c>
      <c r="K11" s="185" t="s">
        <v>343</v>
      </c>
      <c r="L11" s="185" t="s">
        <v>311</v>
      </c>
      <c r="M11" s="185" t="s">
        <v>208</v>
      </c>
      <c r="N11" s="185" t="s">
        <v>330</v>
      </c>
      <c r="O11" s="185" t="s">
        <v>328</v>
      </c>
      <c r="P11" s="185" t="s">
        <v>344</v>
      </c>
      <c r="Q11" s="185" t="s">
        <v>345</v>
      </c>
      <c r="R11" s="185" t="s">
        <v>346</v>
      </c>
      <c r="S11" s="185" t="s">
        <v>347</v>
      </c>
      <c r="T11" s="185" t="s">
        <v>348</v>
      </c>
      <c r="U11" s="185" t="s">
        <v>349</v>
      </c>
      <c r="V11" s="185" t="s">
        <v>350</v>
      </c>
      <c r="W11" s="185" t="s">
        <v>351</v>
      </c>
      <c r="X11" s="185" t="s">
        <v>352</v>
      </c>
      <c r="Y11" s="185" t="s">
        <v>353</v>
      </c>
    </row>
    <row r="12" spans="1:25" x14ac:dyDescent="0.3">
      <c r="A12" s="185" t="s">
        <v>202</v>
      </c>
      <c r="B12" s="185" t="s">
        <v>306</v>
      </c>
      <c r="C12" s="185">
        <v>5</v>
      </c>
      <c r="D12" s="185" t="s">
        <v>319</v>
      </c>
      <c r="E12" s="185" t="s">
        <v>320</v>
      </c>
      <c r="F12" s="185" t="s">
        <v>314</v>
      </c>
      <c r="G12" s="185" t="s">
        <v>310</v>
      </c>
      <c r="H12" s="185" t="s">
        <v>342</v>
      </c>
      <c r="I12" s="185" t="s">
        <v>357</v>
      </c>
      <c r="J12" s="185" t="s">
        <v>356</v>
      </c>
      <c r="K12" s="185" t="s">
        <v>343</v>
      </c>
      <c r="L12" s="185" t="s">
        <v>311</v>
      </c>
      <c r="M12" s="185" t="s">
        <v>208</v>
      </c>
      <c r="N12" s="185" t="s">
        <v>330</v>
      </c>
      <c r="O12" s="185" t="s">
        <v>328</v>
      </c>
      <c r="P12" s="185" t="s">
        <v>344</v>
      </c>
      <c r="Q12" s="185" t="s">
        <v>345</v>
      </c>
      <c r="R12" s="185" t="s">
        <v>346</v>
      </c>
      <c r="S12" s="185" t="s">
        <v>347</v>
      </c>
      <c r="T12" s="185" t="s">
        <v>348</v>
      </c>
      <c r="U12" s="185" t="s">
        <v>349</v>
      </c>
      <c r="V12" s="185" t="s">
        <v>350</v>
      </c>
      <c r="W12" s="185" t="s">
        <v>351</v>
      </c>
      <c r="X12" s="185" t="s">
        <v>352</v>
      </c>
      <c r="Y12" s="185" t="s">
        <v>353</v>
      </c>
    </row>
    <row r="13" spans="1:25" x14ac:dyDescent="0.3">
      <c r="A13" s="185" t="s">
        <v>202</v>
      </c>
      <c r="B13" s="185" t="s">
        <v>306</v>
      </c>
      <c r="C13" s="185">
        <v>6</v>
      </c>
      <c r="D13" s="185" t="s">
        <v>321</v>
      </c>
      <c r="E13" s="185" t="s">
        <v>322</v>
      </c>
      <c r="F13" s="185" t="s">
        <v>314</v>
      </c>
      <c r="G13" s="185" t="s">
        <v>310</v>
      </c>
      <c r="H13" s="185" t="s">
        <v>342</v>
      </c>
      <c r="I13" s="185" t="s">
        <v>357</v>
      </c>
      <c r="J13" s="185" t="s">
        <v>356</v>
      </c>
      <c r="K13" s="185" t="s">
        <v>343</v>
      </c>
      <c r="L13" s="185" t="s">
        <v>311</v>
      </c>
      <c r="M13" s="185" t="s">
        <v>208</v>
      </c>
      <c r="N13" s="185" t="s">
        <v>330</v>
      </c>
      <c r="O13" s="185" t="s">
        <v>328</v>
      </c>
      <c r="P13" s="185" t="s">
        <v>344</v>
      </c>
      <c r="Q13" s="185" t="s">
        <v>345</v>
      </c>
      <c r="R13" s="185" t="s">
        <v>346</v>
      </c>
      <c r="S13" s="185" t="s">
        <v>347</v>
      </c>
      <c r="T13" s="185" t="s">
        <v>348</v>
      </c>
      <c r="U13" s="185" t="s">
        <v>349</v>
      </c>
      <c r="V13" s="185" t="s">
        <v>350</v>
      </c>
      <c r="W13" s="185" t="s">
        <v>351</v>
      </c>
      <c r="X13" s="185" t="s">
        <v>352</v>
      </c>
      <c r="Y13" s="185" t="s">
        <v>353</v>
      </c>
    </row>
    <row r="14" spans="1:25" x14ac:dyDescent="0.3">
      <c r="A14" s="185" t="s">
        <v>202</v>
      </c>
      <c r="B14" s="185" t="s">
        <v>201</v>
      </c>
      <c r="C14" s="185">
        <v>1</v>
      </c>
      <c r="D14" s="185" t="s">
        <v>203</v>
      </c>
      <c r="E14" s="185" t="s">
        <v>204</v>
      </c>
      <c r="F14" s="185" t="s">
        <v>205</v>
      </c>
      <c r="G14" s="185" t="s">
        <v>206</v>
      </c>
      <c r="H14" s="185" t="s">
        <v>342</v>
      </c>
      <c r="I14" s="185" t="s">
        <v>357</v>
      </c>
      <c r="J14" s="185" t="s">
        <v>356</v>
      </c>
      <c r="K14" s="185" t="s">
        <v>343</v>
      </c>
      <c r="L14" s="185" t="s">
        <v>207</v>
      </c>
      <c r="M14" s="185" t="s">
        <v>208</v>
      </c>
      <c r="N14" s="185" t="s">
        <v>330</v>
      </c>
      <c r="O14" s="185" t="s">
        <v>354</v>
      </c>
      <c r="P14" s="185" t="s">
        <v>344</v>
      </c>
      <c r="Q14" s="185" t="s">
        <v>345</v>
      </c>
      <c r="R14" s="185" t="s">
        <v>346</v>
      </c>
      <c r="S14" s="185" t="s">
        <v>347</v>
      </c>
      <c r="T14" s="185" t="s">
        <v>348</v>
      </c>
      <c r="U14" s="185" t="s">
        <v>349</v>
      </c>
      <c r="V14" s="185" t="s">
        <v>350</v>
      </c>
      <c r="W14" s="185" t="s">
        <v>351</v>
      </c>
      <c r="X14" s="185" t="s">
        <v>352</v>
      </c>
      <c r="Y14" s="185" t="s">
        <v>353</v>
      </c>
    </row>
    <row r="15" spans="1:25" x14ac:dyDescent="0.3">
      <c r="A15" s="185" t="s">
        <v>202</v>
      </c>
      <c r="B15" s="185" t="s">
        <v>201</v>
      </c>
      <c r="C15" s="185">
        <v>2</v>
      </c>
      <c r="D15" s="185" t="s">
        <v>209</v>
      </c>
      <c r="E15" s="185" t="s">
        <v>210</v>
      </c>
      <c r="F15" s="185" t="s">
        <v>211</v>
      </c>
      <c r="G15" s="185" t="s">
        <v>212</v>
      </c>
      <c r="H15" s="185" t="s">
        <v>342</v>
      </c>
      <c r="I15" s="185" t="s">
        <v>357</v>
      </c>
      <c r="J15" s="185" t="s">
        <v>356</v>
      </c>
      <c r="K15" s="185" t="s">
        <v>343</v>
      </c>
      <c r="L15" s="185" t="s">
        <v>213</v>
      </c>
      <c r="M15" s="185" t="s">
        <v>214</v>
      </c>
      <c r="N15" s="185" t="s">
        <v>330</v>
      </c>
      <c r="O15" s="185" t="s">
        <v>354</v>
      </c>
      <c r="P15" s="185" t="s">
        <v>344</v>
      </c>
      <c r="Q15" s="185" t="s">
        <v>345</v>
      </c>
      <c r="R15" s="185" t="s">
        <v>346</v>
      </c>
      <c r="S15" s="185" t="s">
        <v>347</v>
      </c>
      <c r="T15" s="185" t="s">
        <v>348</v>
      </c>
      <c r="U15" s="185" t="s">
        <v>349</v>
      </c>
      <c r="V15" s="185" t="s">
        <v>350</v>
      </c>
      <c r="W15" s="185" t="s">
        <v>351</v>
      </c>
      <c r="X15" s="185" t="s">
        <v>352</v>
      </c>
      <c r="Y15" s="185" t="s">
        <v>353</v>
      </c>
    </row>
    <row r="16" spans="1:25" x14ac:dyDescent="0.3">
      <c r="A16" s="185" t="s">
        <v>202</v>
      </c>
      <c r="B16" s="185" t="s">
        <v>201</v>
      </c>
      <c r="C16" s="185">
        <v>3</v>
      </c>
      <c r="D16" s="185" t="s">
        <v>215</v>
      </c>
      <c r="E16" s="185" t="s">
        <v>210</v>
      </c>
      <c r="F16" s="185" t="s">
        <v>216</v>
      </c>
      <c r="G16" s="185" t="s">
        <v>212</v>
      </c>
      <c r="H16" s="185" t="s">
        <v>342</v>
      </c>
      <c r="I16" s="185" t="s">
        <v>357</v>
      </c>
      <c r="J16" s="185" t="s">
        <v>356</v>
      </c>
      <c r="K16" s="185" t="s">
        <v>343</v>
      </c>
      <c r="L16" s="185" t="s">
        <v>213</v>
      </c>
      <c r="M16" s="185" t="s">
        <v>214</v>
      </c>
      <c r="N16" s="185" t="s">
        <v>330</v>
      </c>
      <c r="O16" s="185" t="s">
        <v>354</v>
      </c>
      <c r="P16" s="185" t="s">
        <v>344</v>
      </c>
      <c r="Q16" s="185" t="s">
        <v>345</v>
      </c>
      <c r="R16" s="185" t="s">
        <v>346</v>
      </c>
      <c r="S16" s="185" t="s">
        <v>347</v>
      </c>
      <c r="T16" s="185" t="s">
        <v>348</v>
      </c>
      <c r="U16" s="185" t="s">
        <v>349</v>
      </c>
      <c r="V16" s="185" t="s">
        <v>350</v>
      </c>
      <c r="W16" s="185" t="s">
        <v>351</v>
      </c>
      <c r="X16" s="185" t="s">
        <v>352</v>
      </c>
      <c r="Y16" s="185" t="s">
        <v>353</v>
      </c>
    </row>
    <row r="17" spans="1:25" x14ac:dyDescent="0.3">
      <c r="A17" s="185" t="s">
        <v>202</v>
      </c>
      <c r="B17" s="185" t="s">
        <v>201</v>
      </c>
      <c r="C17" s="185">
        <v>5</v>
      </c>
      <c r="D17" s="185" t="s">
        <v>217</v>
      </c>
      <c r="E17" s="185" t="s">
        <v>218</v>
      </c>
      <c r="F17" s="185" t="s">
        <v>219</v>
      </c>
      <c r="G17" s="185" t="s">
        <v>220</v>
      </c>
      <c r="H17" s="185" t="s">
        <v>342</v>
      </c>
      <c r="I17" s="185" t="s">
        <v>357</v>
      </c>
      <c r="J17" s="185" t="s">
        <v>356</v>
      </c>
      <c r="K17" s="185" t="s">
        <v>343</v>
      </c>
      <c r="L17" s="185" t="s">
        <v>213</v>
      </c>
      <c r="M17" s="185" t="s">
        <v>214</v>
      </c>
      <c r="N17" s="185" t="s">
        <v>330</v>
      </c>
      <c r="O17" s="185" t="s">
        <v>354</v>
      </c>
      <c r="P17" s="185" t="s">
        <v>344</v>
      </c>
      <c r="Q17" s="185" t="s">
        <v>345</v>
      </c>
      <c r="R17" s="185" t="s">
        <v>346</v>
      </c>
      <c r="S17" s="185" t="s">
        <v>347</v>
      </c>
      <c r="T17" s="185" t="s">
        <v>348</v>
      </c>
      <c r="U17" s="185" t="s">
        <v>349</v>
      </c>
      <c r="V17" s="185" t="s">
        <v>350</v>
      </c>
      <c r="W17" s="185" t="s">
        <v>351</v>
      </c>
      <c r="X17" s="185" t="s">
        <v>352</v>
      </c>
      <c r="Y17" s="185" t="s">
        <v>353</v>
      </c>
    </row>
    <row r="18" spans="1:25" x14ac:dyDescent="0.3">
      <c r="A18" s="185" t="s">
        <v>202</v>
      </c>
      <c r="B18" s="185" t="s">
        <v>201</v>
      </c>
      <c r="C18" s="185">
        <v>6</v>
      </c>
      <c r="D18" s="185" t="s">
        <v>221</v>
      </c>
      <c r="E18" s="185" t="s">
        <v>222</v>
      </c>
      <c r="F18" s="185" t="s">
        <v>223</v>
      </c>
      <c r="G18" s="185" t="s">
        <v>212</v>
      </c>
      <c r="H18" s="185" t="s">
        <v>342</v>
      </c>
      <c r="I18" s="185" t="s">
        <v>357</v>
      </c>
      <c r="J18" s="185" t="s">
        <v>356</v>
      </c>
      <c r="K18" s="185" t="s">
        <v>343</v>
      </c>
      <c r="L18" s="185" t="s">
        <v>213</v>
      </c>
      <c r="M18" s="185" t="s">
        <v>214</v>
      </c>
      <c r="N18" s="185" t="s">
        <v>330</v>
      </c>
      <c r="O18" s="185" t="s">
        <v>354</v>
      </c>
      <c r="P18" s="185" t="s">
        <v>344</v>
      </c>
      <c r="Q18" s="185" t="s">
        <v>345</v>
      </c>
      <c r="R18" s="185" t="s">
        <v>346</v>
      </c>
      <c r="S18" s="185" t="s">
        <v>347</v>
      </c>
      <c r="T18" s="185" t="s">
        <v>348</v>
      </c>
      <c r="U18" s="185" t="s">
        <v>349</v>
      </c>
      <c r="V18" s="185" t="s">
        <v>350</v>
      </c>
      <c r="W18" s="185" t="s">
        <v>351</v>
      </c>
      <c r="X18" s="185" t="s">
        <v>352</v>
      </c>
      <c r="Y18" s="185" t="s">
        <v>353</v>
      </c>
    </row>
    <row r="19" spans="1:25" x14ac:dyDescent="0.3">
      <c r="A19" s="185" t="s">
        <v>202</v>
      </c>
      <c r="B19" s="185" t="s">
        <v>201</v>
      </c>
      <c r="C19" s="185">
        <v>7</v>
      </c>
      <c r="D19" s="185" t="s">
        <v>224</v>
      </c>
      <c r="E19" s="185" t="s">
        <v>225</v>
      </c>
      <c r="F19" s="185" t="s">
        <v>226</v>
      </c>
      <c r="G19" s="185" t="s">
        <v>227</v>
      </c>
      <c r="H19" s="185" t="s">
        <v>342</v>
      </c>
      <c r="I19" s="185" t="s">
        <v>357</v>
      </c>
      <c r="J19" s="185" t="s">
        <v>356</v>
      </c>
      <c r="K19" s="185" t="s">
        <v>343</v>
      </c>
      <c r="L19" s="185" t="s">
        <v>207</v>
      </c>
      <c r="M19" s="185" t="s">
        <v>208</v>
      </c>
      <c r="N19" s="185" t="s">
        <v>330</v>
      </c>
      <c r="O19" s="185" t="s">
        <v>354</v>
      </c>
      <c r="P19" s="185" t="s">
        <v>344</v>
      </c>
      <c r="Q19" s="185" t="s">
        <v>345</v>
      </c>
      <c r="R19" s="185" t="s">
        <v>346</v>
      </c>
      <c r="S19" s="185" t="s">
        <v>347</v>
      </c>
      <c r="T19" s="185" t="s">
        <v>348</v>
      </c>
      <c r="U19" s="185" t="s">
        <v>349</v>
      </c>
      <c r="V19" s="185" t="s">
        <v>350</v>
      </c>
      <c r="W19" s="185" t="s">
        <v>351</v>
      </c>
      <c r="X19" s="185" t="s">
        <v>352</v>
      </c>
      <c r="Y19" s="185" t="s">
        <v>353</v>
      </c>
    </row>
    <row r="20" spans="1:25" x14ac:dyDescent="0.3">
      <c r="A20" s="185" t="s">
        <v>202</v>
      </c>
      <c r="B20" s="185" t="s">
        <v>201</v>
      </c>
      <c r="C20" s="185">
        <v>8</v>
      </c>
      <c r="D20" s="185" t="s">
        <v>228</v>
      </c>
      <c r="E20" s="185" t="s">
        <v>229</v>
      </c>
      <c r="F20" s="185" t="s">
        <v>230</v>
      </c>
      <c r="G20" s="185" t="s">
        <v>231</v>
      </c>
      <c r="H20" s="185" t="s">
        <v>342</v>
      </c>
      <c r="I20" s="185" t="s">
        <v>357</v>
      </c>
      <c r="J20" s="185" t="s">
        <v>356</v>
      </c>
      <c r="K20" s="185" t="s">
        <v>343</v>
      </c>
      <c r="L20" s="185" t="s">
        <v>213</v>
      </c>
      <c r="M20" s="185" t="s">
        <v>214</v>
      </c>
      <c r="N20" s="185" t="s">
        <v>330</v>
      </c>
      <c r="O20" s="185" t="s">
        <v>354</v>
      </c>
      <c r="P20" s="185" t="s">
        <v>344</v>
      </c>
      <c r="Q20" s="185" t="s">
        <v>345</v>
      </c>
      <c r="R20" s="185" t="s">
        <v>346</v>
      </c>
      <c r="S20" s="185" t="s">
        <v>347</v>
      </c>
      <c r="T20" s="185" t="s">
        <v>348</v>
      </c>
      <c r="U20" s="185" t="s">
        <v>349</v>
      </c>
      <c r="V20" s="185" t="s">
        <v>350</v>
      </c>
      <c r="W20" s="185" t="s">
        <v>351</v>
      </c>
      <c r="X20" s="185" t="s">
        <v>352</v>
      </c>
      <c r="Y20" s="185" t="s">
        <v>353</v>
      </c>
    </row>
    <row r="21" spans="1:25" x14ac:dyDescent="0.3">
      <c r="A21" s="185" t="s">
        <v>202</v>
      </c>
      <c r="B21" s="185" t="s">
        <v>201</v>
      </c>
      <c r="C21" s="185">
        <v>21</v>
      </c>
      <c r="D21" s="185" t="s">
        <v>232</v>
      </c>
      <c r="E21" s="185" t="s">
        <v>233</v>
      </c>
      <c r="F21" s="185" t="s">
        <v>234</v>
      </c>
      <c r="G21" s="185" t="s">
        <v>212</v>
      </c>
      <c r="H21" s="185" t="s">
        <v>342</v>
      </c>
      <c r="I21" s="185" t="s">
        <v>357</v>
      </c>
      <c r="J21" s="185" t="s">
        <v>356</v>
      </c>
      <c r="K21" s="185" t="s">
        <v>343</v>
      </c>
      <c r="L21" s="185" t="s">
        <v>213</v>
      </c>
      <c r="M21" s="185" t="s">
        <v>214</v>
      </c>
      <c r="N21" s="185" t="s">
        <v>330</v>
      </c>
      <c r="O21" s="185" t="s">
        <v>354</v>
      </c>
      <c r="P21" s="185" t="s">
        <v>344</v>
      </c>
      <c r="Q21" s="185" t="s">
        <v>345</v>
      </c>
      <c r="R21" s="185" t="s">
        <v>346</v>
      </c>
      <c r="S21" s="185" t="s">
        <v>347</v>
      </c>
      <c r="T21" s="185" t="s">
        <v>348</v>
      </c>
      <c r="U21" s="185" t="s">
        <v>349</v>
      </c>
      <c r="V21" s="185" t="s">
        <v>350</v>
      </c>
      <c r="W21" s="185" t="s">
        <v>351</v>
      </c>
      <c r="X21" s="185" t="s">
        <v>352</v>
      </c>
      <c r="Y21" s="185" t="s">
        <v>353</v>
      </c>
    </row>
    <row r="22" spans="1:25" x14ac:dyDescent="0.3">
      <c r="A22" s="185" t="s">
        <v>202</v>
      </c>
      <c r="B22" s="185" t="s">
        <v>201</v>
      </c>
      <c r="C22" s="185">
        <v>24</v>
      </c>
      <c r="D22" s="185" t="s">
        <v>235</v>
      </c>
      <c r="E22" s="185" t="s">
        <v>236</v>
      </c>
      <c r="F22" s="185" t="s">
        <v>237</v>
      </c>
      <c r="G22" s="185" t="s">
        <v>238</v>
      </c>
      <c r="H22" s="185" t="s">
        <v>342</v>
      </c>
      <c r="I22" s="185" t="s">
        <v>357</v>
      </c>
      <c r="J22" s="185" t="s">
        <v>356</v>
      </c>
      <c r="K22" s="185" t="s">
        <v>343</v>
      </c>
      <c r="L22" s="185" t="s">
        <v>213</v>
      </c>
      <c r="M22" s="185" t="s">
        <v>214</v>
      </c>
      <c r="N22" s="185" t="s">
        <v>330</v>
      </c>
      <c r="O22" s="185" t="s">
        <v>354</v>
      </c>
      <c r="P22" s="185" t="s">
        <v>344</v>
      </c>
      <c r="Q22" s="185" t="s">
        <v>345</v>
      </c>
      <c r="R22" s="185" t="s">
        <v>346</v>
      </c>
      <c r="S22" s="185" t="s">
        <v>347</v>
      </c>
      <c r="T22" s="185" t="s">
        <v>348</v>
      </c>
      <c r="U22" s="185" t="s">
        <v>349</v>
      </c>
      <c r="V22" s="185" t="s">
        <v>350</v>
      </c>
      <c r="W22" s="185" t="s">
        <v>351</v>
      </c>
      <c r="X22" s="185" t="s">
        <v>352</v>
      </c>
      <c r="Y22" s="185" t="s">
        <v>353</v>
      </c>
    </row>
    <row r="23" spans="1:25" x14ac:dyDescent="0.3">
      <c r="A23" s="185" t="s">
        <v>202</v>
      </c>
      <c r="B23" s="185" t="s">
        <v>201</v>
      </c>
      <c r="C23" s="185">
        <v>30</v>
      </c>
      <c r="D23" s="185" t="s">
        <v>239</v>
      </c>
      <c r="E23" s="185" t="s">
        <v>240</v>
      </c>
      <c r="F23" s="185" t="s">
        <v>241</v>
      </c>
      <c r="G23" s="185" t="s">
        <v>206</v>
      </c>
      <c r="H23" s="185" t="s">
        <v>342</v>
      </c>
      <c r="I23" s="185" t="s">
        <v>357</v>
      </c>
      <c r="J23" s="185" t="s">
        <v>356</v>
      </c>
      <c r="K23" s="185" t="s">
        <v>343</v>
      </c>
      <c r="L23" s="185" t="s">
        <v>207</v>
      </c>
      <c r="M23" s="185" t="s">
        <v>208</v>
      </c>
      <c r="N23" s="185" t="s">
        <v>330</v>
      </c>
      <c r="O23" s="185" t="s">
        <v>354</v>
      </c>
      <c r="P23" s="185" t="s">
        <v>344</v>
      </c>
      <c r="Q23" s="185" t="s">
        <v>345</v>
      </c>
      <c r="R23" s="185" t="s">
        <v>346</v>
      </c>
      <c r="S23" s="185" t="s">
        <v>347</v>
      </c>
      <c r="T23" s="185" t="s">
        <v>348</v>
      </c>
      <c r="U23" s="185" t="s">
        <v>349</v>
      </c>
      <c r="V23" s="185" t="s">
        <v>350</v>
      </c>
      <c r="W23" s="185" t="s">
        <v>351</v>
      </c>
      <c r="X23" s="185" t="s">
        <v>352</v>
      </c>
      <c r="Y23" s="185" t="s">
        <v>353</v>
      </c>
    </row>
    <row r="24" spans="1:25" x14ac:dyDescent="0.3">
      <c r="A24" s="185" t="s">
        <v>202</v>
      </c>
      <c r="B24" s="185" t="s">
        <v>201</v>
      </c>
      <c r="C24" s="185">
        <v>32</v>
      </c>
      <c r="D24" s="185" t="s">
        <v>242</v>
      </c>
      <c r="E24" s="185" t="s">
        <v>243</v>
      </c>
      <c r="F24" s="185" t="s">
        <v>244</v>
      </c>
      <c r="G24" s="185" t="s">
        <v>212</v>
      </c>
      <c r="H24" s="185" t="s">
        <v>342</v>
      </c>
      <c r="I24" s="185" t="s">
        <v>357</v>
      </c>
      <c r="J24" s="185" t="s">
        <v>356</v>
      </c>
      <c r="K24" s="185" t="s">
        <v>343</v>
      </c>
      <c r="L24" s="185" t="s">
        <v>213</v>
      </c>
      <c r="M24" s="185" t="s">
        <v>214</v>
      </c>
      <c r="N24" s="185" t="s">
        <v>330</v>
      </c>
      <c r="O24" s="185" t="s">
        <v>354</v>
      </c>
      <c r="P24" s="185" t="s">
        <v>344</v>
      </c>
      <c r="Q24" s="185" t="s">
        <v>345</v>
      </c>
      <c r="R24" s="185" t="s">
        <v>346</v>
      </c>
      <c r="S24" s="185" t="s">
        <v>347</v>
      </c>
      <c r="T24" s="185" t="s">
        <v>348</v>
      </c>
      <c r="U24" s="185" t="s">
        <v>349</v>
      </c>
      <c r="V24" s="185" t="s">
        <v>350</v>
      </c>
      <c r="W24" s="185" t="s">
        <v>351</v>
      </c>
      <c r="X24" s="185" t="s">
        <v>352</v>
      </c>
      <c r="Y24" s="185" t="s">
        <v>353</v>
      </c>
    </row>
    <row r="25" spans="1:25" x14ac:dyDescent="0.3">
      <c r="A25" s="185" t="s">
        <v>202</v>
      </c>
      <c r="B25" s="185" t="s">
        <v>201</v>
      </c>
      <c r="C25" s="185">
        <v>33</v>
      </c>
      <c r="D25" s="185" t="s">
        <v>245</v>
      </c>
      <c r="E25" s="185" t="s">
        <v>246</v>
      </c>
      <c r="F25" s="185" t="s">
        <v>247</v>
      </c>
      <c r="G25" s="185" t="s">
        <v>212</v>
      </c>
      <c r="H25" s="185" t="s">
        <v>342</v>
      </c>
      <c r="I25" s="185" t="s">
        <v>357</v>
      </c>
      <c r="J25" s="185" t="s">
        <v>356</v>
      </c>
      <c r="K25" s="185" t="s">
        <v>343</v>
      </c>
      <c r="L25" s="185" t="s">
        <v>213</v>
      </c>
      <c r="M25" s="185" t="s">
        <v>214</v>
      </c>
      <c r="N25" s="185" t="s">
        <v>330</v>
      </c>
      <c r="O25" s="185" t="s">
        <v>354</v>
      </c>
      <c r="P25" s="185" t="s">
        <v>344</v>
      </c>
      <c r="Q25" s="185" t="s">
        <v>345</v>
      </c>
      <c r="R25" s="185" t="s">
        <v>346</v>
      </c>
      <c r="S25" s="185" t="s">
        <v>347</v>
      </c>
      <c r="T25" s="185" t="s">
        <v>348</v>
      </c>
      <c r="U25" s="185" t="s">
        <v>349</v>
      </c>
      <c r="V25" s="185" t="s">
        <v>350</v>
      </c>
      <c r="W25" s="185" t="s">
        <v>351</v>
      </c>
      <c r="X25" s="185" t="s">
        <v>352</v>
      </c>
      <c r="Y25" s="185" t="s">
        <v>353</v>
      </c>
    </row>
    <row r="26" spans="1:25" x14ac:dyDescent="0.3">
      <c r="A26" s="185" t="s">
        <v>202</v>
      </c>
      <c r="B26" s="185" t="s">
        <v>201</v>
      </c>
      <c r="C26" s="185">
        <v>34</v>
      </c>
      <c r="D26" s="185" t="s">
        <v>248</v>
      </c>
      <c r="E26" s="185" t="s">
        <v>249</v>
      </c>
      <c r="F26" s="185" t="s">
        <v>250</v>
      </c>
      <c r="G26" s="185" t="s">
        <v>212</v>
      </c>
      <c r="H26" s="185" t="s">
        <v>342</v>
      </c>
      <c r="I26" s="185" t="s">
        <v>357</v>
      </c>
      <c r="J26" s="185" t="s">
        <v>356</v>
      </c>
      <c r="K26" s="185" t="s">
        <v>343</v>
      </c>
      <c r="L26" s="185" t="s">
        <v>213</v>
      </c>
      <c r="M26" s="185" t="s">
        <v>214</v>
      </c>
      <c r="N26" s="185" t="s">
        <v>330</v>
      </c>
      <c r="O26" s="185" t="s">
        <v>354</v>
      </c>
      <c r="P26" s="185" t="s">
        <v>344</v>
      </c>
      <c r="Q26" s="185" t="s">
        <v>345</v>
      </c>
      <c r="R26" s="185" t="s">
        <v>346</v>
      </c>
      <c r="S26" s="185" t="s">
        <v>347</v>
      </c>
      <c r="T26" s="185" t="s">
        <v>348</v>
      </c>
      <c r="U26" s="185" t="s">
        <v>349</v>
      </c>
      <c r="V26" s="185" t="s">
        <v>350</v>
      </c>
      <c r="W26" s="185" t="s">
        <v>351</v>
      </c>
      <c r="X26" s="185" t="s">
        <v>352</v>
      </c>
      <c r="Y26" s="185" t="s">
        <v>353</v>
      </c>
    </row>
    <row r="27" spans="1:25" x14ac:dyDescent="0.3">
      <c r="A27" s="185" t="s">
        <v>202</v>
      </c>
      <c r="B27" s="185" t="s">
        <v>201</v>
      </c>
      <c r="C27" s="185">
        <v>35</v>
      </c>
      <c r="D27" s="185" t="s">
        <v>251</v>
      </c>
      <c r="E27" s="185" t="s">
        <v>252</v>
      </c>
      <c r="F27" s="185" t="s">
        <v>253</v>
      </c>
      <c r="G27" s="185" t="s">
        <v>206</v>
      </c>
      <c r="H27" s="185" t="s">
        <v>342</v>
      </c>
      <c r="I27" s="185" t="s">
        <v>357</v>
      </c>
      <c r="J27" s="185" t="s">
        <v>356</v>
      </c>
      <c r="K27" s="185" t="s">
        <v>343</v>
      </c>
      <c r="L27" s="185" t="s">
        <v>207</v>
      </c>
      <c r="M27" s="185" t="s">
        <v>208</v>
      </c>
      <c r="N27" s="185" t="s">
        <v>330</v>
      </c>
      <c r="O27" s="185" t="s">
        <v>354</v>
      </c>
      <c r="P27" s="185" t="s">
        <v>344</v>
      </c>
      <c r="Q27" s="185" t="s">
        <v>345</v>
      </c>
      <c r="R27" s="185" t="s">
        <v>346</v>
      </c>
      <c r="S27" s="185" t="s">
        <v>347</v>
      </c>
      <c r="T27" s="185" t="s">
        <v>348</v>
      </c>
      <c r="U27" s="185" t="s">
        <v>349</v>
      </c>
      <c r="V27" s="185" t="s">
        <v>350</v>
      </c>
      <c r="W27" s="185" t="s">
        <v>351</v>
      </c>
      <c r="X27" s="185" t="s">
        <v>352</v>
      </c>
      <c r="Y27" s="185" t="s">
        <v>353</v>
      </c>
    </row>
    <row r="28" spans="1:25" x14ac:dyDescent="0.3">
      <c r="A28" s="185" t="s">
        <v>202</v>
      </c>
      <c r="B28" s="185" t="s">
        <v>201</v>
      </c>
      <c r="C28" s="185">
        <v>38</v>
      </c>
      <c r="D28" s="185" t="s">
        <v>254</v>
      </c>
      <c r="E28" s="185" t="s">
        <v>255</v>
      </c>
      <c r="F28" s="185" t="s">
        <v>256</v>
      </c>
      <c r="G28" s="185" t="s">
        <v>212</v>
      </c>
      <c r="H28" s="185" t="s">
        <v>342</v>
      </c>
      <c r="I28" s="185" t="s">
        <v>357</v>
      </c>
      <c r="J28" s="185" t="s">
        <v>356</v>
      </c>
      <c r="K28" s="185" t="s">
        <v>343</v>
      </c>
      <c r="L28" s="185" t="s">
        <v>213</v>
      </c>
      <c r="M28" s="185" t="s">
        <v>214</v>
      </c>
      <c r="N28" s="185" t="s">
        <v>330</v>
      </c>
      <c r="O28" s="185" t="s">
        <v>354</v>
      </c>
      <c r="P28" s="185" t="s">
        <v>344</v>
      </c>
      <c r="Q28" s="185" t="s">
        <v>345</v>
      </c>
      <c r="R28" s="185" t="s">
        <v>346</v>
      </c>
      <c r="S28" s="185" t="s">
        <v>347</v>
      </c>
      <c r="T28" s="185" t="s">
        <v>348</v>
      </c>
      <c r="U28" s="185" t="s">
        <v>349</v>
      </c>
      <c r="V28" s="185" t="s">
        <v>350</v>
      </c>
      <c r="W28" s="185" t="s">
        <v>351</v>
      </c>
      <c r="X28" s="185" t="s">
        <v>352</v>
      </c>
      <c r="Y28" s="185" t="s">
        <v>353</v>
      </c>
    </row>
    <row r="29" spans="1:25" x14ac:dyDescent="0.3">
      <c r="A29" s="185" t="s">
        <v>202</v>
      </c>
      <c r="B29" s="185" t="s">
        <v>201</v>
      </c>
      <c r="C29" s="185">
        <v>39</v>
      </c>
      <c r="D29" s="185" t="s">
        <v>257</v>
      </c>
      <c r="E29" s="185" t="s">
        <v>255</v>
      </c>
      <c r="F29" s="185" t="s">
        <v>258</v>
      </c>
      <c r="G29" s="185" t="s">
        <v>212</v>
      </c>
      <c r="H29" s="185" t="s">
        <v>342</v>
      </c>
      <c r="I29" s="185" t="s">
        <v>357</v>
      </c>
      <c r="J29" s="185" t="s">
        <v>356</v>
      </c>
      <c r="K29" s="185" t="s">
        <v>343</v>
      </c>
      <c r="L29" s="185" t="s">
        <v>213</v>
      </c>
      <c r="M29" s="185" t="s">
        <v>214</v>
      </c>
      <c r="N29" s="185" t="s">
        <v>330</v>
      </c>
      <c r="O29" s="185" t="s">
        <v>354</v>
      </c>
      <c r="P29" s="185" t="s">
        <v>344</v>
      </c>
      <c r="Q29" s="185" t="s">
        <v>345</v>
      </c>
      <c r="R29" s="185" t="s">
        <v>346</v>
      </c>
      <c r="S29" s="185" t="s">
        <v>347</v>
      </c>
      <c r="T29" s="185" t="s">
        <v>348</v>
      </c>
      <c r="U29" s="185" t="s">
        <v>349</v>
      </c>
      <c r="V29" s="185" t="s">
        <v>350</v>
      </c>
      <c r="W29" s="185" t="s">
        <v>351</v>
      </c>
      <c r="X29" s="185" t="s">
        <v>352</v>
      </c>
      <c r="Y29" s="185" t="s">
        <v>353</v>
      </c>
    </row>
    <row r="30" spans="1:25" x14ac:dyDescent="0.3">
      <c r="A30" s="185" t="s">
        <v>202</v>
      </c>
      <c r="B30" s="185" t="s">
        <v>201</v>
      </c>
      <c r="C30" s="185">
        <v>40</v>
      </c>
      <c r="D30" s="185" t="s">
        <v>259</v>
      </c>
      <c r="E30" s="185" t="s">
        <v>260</v>
      </c>
      <c r="F30" s="185" t="s">
        <v>261</v>
      </c>
      <c r="G30" s="185" t="s">
        <v>238</v>
      </c>
      <c r="H30" s="185" t="s">
        <v>342</v>
      </c>
      <c r="I30" s="185" t="s">
        <v>357</v>
      </c>
      <c r="J30" s="185" t="s">
        <v>356</v>
      </c>
      <c r="K30" s="185" t="s">
        <v>343</v>
      </c>
      <c r="L30" s="185" t="s">
        <v>213</v>
      </c>
      <c r="M30" s="185" t="s">
        <v>214</v>
      </c>
      <c r="N30" s="185" t="s">
        <v>330</v>
      </c>
      <c r="O30" s="185" t="s">
        <v>354</v>
      </c>
      <c r="P30" s="185" t="s">
        <v>344</v>
      </c>
      <c r="Q30" s="185" t="s">
        <v>345</v>
      </c>
      <c r="R30" s="185" t="s">
        <v>346</v>
      </c>
      <c r="S30" s="185" t="s">
        <v>347</v>
      </c>
      <c r="T30" s="185" t="s">
        <v>348</v>
      </c>
      <c r="U30" s="185" t="s">
        <v>349</v>
      </c>
      <c r="V30" s="185" t="s">
        <v>350</v>
      </c>
      <c r="W30" s="185" t="s">
        <v>351</v>
      </c>
      <c r="X30" s="185" t="s">
        <v>352</v>
      </c>
      <c r="Y30" s="185" t="s">
        <v>353</v>
      </c>
    </row>
    <row r="31" spans="1:25" x14ac:dyDescent="0.3">
      <c r="A31" s="185" t="s">
        <v>202</v>
      </c>
      <c r="B31" s="185" t="s">
        <v>201</v>
      </c>
      <c r="C31" s="185">
        <v>41</v>
      </c>
      <c r="D31" s="185" t="s">
        <v>262</v>
      </c>
      <c r="E31" s="185" t="s">
        <v>263</v>
      </c>
      <c r="F31" s="185" t="s">
        <v>264</v>
      </c>
      <c r="G31" s="185" t="s">
        <v>212</v>
      </c>
      <c r="H31" s="185" t="s">
        <v>342</v>
      </c>
      <c r="I31" s="185" t="s">
        <v>357</v>
      </c>
      <c r="J31" s="185" t="s">
        <v>356</v>
      </c>
      <c r="K31" s="185" t="s">
        <v>343</v>
      </c>
      <c r="L31" s="185" t="s">
        <v>213</v>
      </c>
      <c r="M31" s="185" t="s">
        <v>214</v>
      </c>
      <c r="N31" s="185" t="s">
        <v>330</v>
      </c>
      <c r="O31" s="185" t="s">
        <v>354</v>
      </c>
      <c r="P31" s="185" t="s">
        <v>344</v>
      </c>
      <c r="Q31" s="185" t="s">
        <v>345</v>
      </c>
      <c r="R31" s="185" t="s">
        <v>346</v>
      </c>
      <c r="S31" s="185" t="s">
        <v>347</v>
      </c>
      <c r="T31" s="185" t="s">
        <v>348</v>
      </c>
      <c r="U31" s="185" t="s">
        <v>349</v>
      </c>
      <c r="V31" s="185" t="s">
        <v>350</v>
      </c>
      <c r="W31" s="185" t="s">
        <v>351</v>
      </c>
      <c r="X31" s="185" t="s">
        <v>352</v>
      </c>
      <c r="Y31" s="185" t="s">
        <v>353</v>
      </c>
    </row>
    <row r="32" spans="1:25" x14ac:dyDescent="0.3">
      <c r="A32" s="185" t="s">
        <v>202</v>
      </c>
      <c r="B32" s="185" t="s">
        <v>201</v>
      </c>
      <c r="C32" s="185">
        <v>42</v>
      </c>
      <c r="D32" s="185" t="s">
        <v>265</v>
      </c>
      <c r="E32" s="185" t="s">
        <v>266</v>
      </c>
      <c r="F32" s="185" t="s">
        <v>267</v>
      </c>
      <c r="G32" s="185" t="s">
        <v>206</v>
      </c>
      <c r="H32" s="185" t="s">
        <v>342</v>
      </c>
      <c r="I32" s="185" t="s">
        <v>357</v>
      </c>
      <c r="J32" s="185" t="s">
        <v>356</v>
      </c>
      <c r="K32" s="185" t="s">
        <v>343</v>
      </c>
      <c r="L32" s="185" t="s">
        <v>207</v>
      </c>
      <c r="M32" s="185" t="s">
        <v>208</v>
      </c>
      <c r="N32" s="185" t="s">
        <v>330</v>
      </c>
      <c r="O32" s="185" t="s">
        <v>354</v>
      </c>
      <c r="P32" s="185" t="s">
        <v>344</v>
      </c>
      <c r="Q32" s="185" t="s">
        <v>345</v>
      </c>
      <c r="R32" s="185" t="s">
        <v>346</v>
      </c>
      <c r="S32" s="185" t="s">
        <v>347</v>
      </c>
      <c r="T32" s="185" t="s">
        <v>348</v>
      </c>
      <c r="U32" s="185" t="s">
        <v>349</v>
      </c>
      <c r="V32" s="185" t="s">
        <v>350</v>
      </c>
      <c r="W32" s="185" t="s">
        <v>351</v>
      </c>
      <c r="X32" s="185" t="s">
        <v>352</v>
      </c>
      <c r="Y32" s="185" t="s">
        <v>353</v>
      </c>
    </row>
    <row r="33" spans="1:25" x14ac:dyDescent="0.3">
      <c r="A33" s="185" t="s">
        <v>202</v>
      </c>
      <c r="B33" s="185" t="s">
        <v>201</v>
      </c>
      <c r="C33" s="185">
        <v>44</v>
      </c>
      <c r="D33" s="185" t="s">
        <v>268</v>
      </c>
      <c r="E33" s="185" t="s">
        <v>269</v>
      </c>
      <c r="F33" s="185" t="s">
        <v>270</v>
      </c>
      <c r="G33" s="185" t="s">
        <v>212</v>
      </c>
      <c r="H33" s="185" t="s">
        <v>342</v>
      </c>
      <c r="I33" s="185" t="s">
        <v>357</v>
      </c>
      <c r="J33" s="185" t="s">
        <v>356</v>
      </c>
      <c r="K33" s="185" t="s">
        <v>343</v>
      </c>
      <c r="L33" s="185" t="s">
        <v>213</v>
      </c>
      <c r="M33" s="185" t="s">
        <v>214</v>
      </c>
      <c r="N33" s="185" t="s">
        <v>330</v>
      </c>
      <c r="O33" s="185" t="s">
        <v>354</v>
      </c>
      <c r="P33" s="185" t="s">
        <v>344</v>
      </c>
      <c r="Q33" s="185" t="s">
        <v>345</v>
      </c>
      <c r="R33" s="185" t="s">
        <v>346</v>
      </c>
      <c r="S33" s="185" t="s">
        <v>347</v>
      </c>
      <c r="T33" s="185" t="s">
        <v>348</v>
      </c>
      <c r="U33" s="185" t="s">
        <v>349</v>
      </c>
      <c r="V33" s="185" t="s">
        <v>350</v>
      </c>
      <c r="W33" s="185" t="s">
        <v>351</v>
      </c>
      <c r="X33" s="185" t="s">
        <v>352</v>
      </c>
      <c r="Y33" s="185" t="s">
        <v>353</v>
      </c>
    </row>
    <row r="34" spans="1:25" x14ac:dyDescent="0.3">
      <c r="A34" s="185" t="s">
        <v>202</v>
      </c>
      <c r="B34" s="185" t="s">
        <v>201</v>
      </c>
      <c r="C34" s="185">
        <v>45</v>
      </c>
      <c r="D34" s="185" t="s">
        <v>271</v>
      </c>
      <c r="E34" s="185" t="s">
        <v>272</v>
      </c>
      <c r="F34" s="185" t="s">
        <v>273</v>
      </c>
      <c r="G34" s="185" t="s">
        <v>212</v>
      </c>
      <c r="H34" s="185" t="s">
        <v>342</v>
      </c>
      <c r="I34" s="185" t="s">
        <v>357</v>
      </c>
      <c r="J34" s="185" t="s">
        <v>356</v>
      </c>
      <c r="K34" s="185" t="s">
        <v>343</v>
      </c>
      <c r="L34" s="185" t="s">
        <v>213</v>
      </c>
      <c r="M34" s="185" t="s">
        <v>214</v>
      </c>
      <c r="N34" s="185" t="s">
        <v>330</v>
      </c>
      <c r="O34" s="185" t="s">
        <v>354</v>
      </c>
      <c r="P34" s="185" t="s">
        <v>344</v>
      </c>
      <c r="Q34" s="185" t="s">
        <v>345</v>
      </c>
      <c r="R34" s="185" t="s">
        <v>346</v>
      </c>
      <c r="S34" s="185" t="s">
        <v>347</v>
      </c>
      <c r="T34" s="185" t="s">
        <v>348</v>
      </c>
      <c r="U34" s="185" t="s">
        <v>349</v>
      </c>
      <c r="V34" s="185" t="s">
        <v>350</v>
      </c>
      <c r="W34" s="185" t="s">
        <v>351</v>
      </c>
      <c r="X34" s="185" t="s">
        <v>352</v>
      </c>
      <c r="Y34" s="185" t="s">
        <v>353</v>
      </c>
    </row>
    <row r="35" spans="1:25" x14ac:dyDescent="0.3">
      <c r="A35" s="185" t="s">
        <v>202</v>
      </c>
      <c r="B35" s="185" t="s">
        <v>201</v>
      </c>
      <c r="C35" s="185">
        <v>46</v>
      </c>
      <c r="D35" s="185" t="s">
        <v>274</v>
      </c>
      <c r="E35" s="185" t="s">
        <v>275</v>
      </c>
      <c r="F35" s="185" t="s">
        <v>276</v>
      </c>
      <c r="G35" s="185" t="s">
        <v>212</v>
      </c>
      <c r="H35" s="185" t="s">
        <v>342</v>
      </c>
      <c r="I35" s="185" t="s">
        <v>357</v>
      </c>
      <c r="J35" s="185" t="s">
        <v>356</v>
      </c>
      <c r="K35" s="185" t="s">
        <v>343</v>
      </c>
      <c r="L35" s="185" t="s">
        <v>213</v>
      </c>
      <c r="M35" s="185" t="s">
        <v>214</v>
      </c>
      <c r="N35" s="185" t="s">
        <v>330</v>
      </c>
      <c r="O35" s="185" t="s">
        <v>354</v>
      </c>
      <c r="P35" s="185" t="s">
        <v>344</v>
      </c>
      <c r="Q35" s="185" t="s">
        <v>345</v>
      </c>
      <c r="R35" s="185" t="s">
        <v>346</v>
      </c>
      <c r="S35" s="185" t="s">
        <v>347</v>
      </c>
      <c r="T35" s="185" t="s">
        <v>348</v>
      </c>
      <c r="U35" s="185" t="s">
        <v>349</v>
      </c>
      <c r="V35" s="185" t="s">
        <v>350</v>
      </c>
      <c r="W35" s="185" t="s">
        <v>351</v>
      </c>
      <c r="X35" s="185" t="s">
        <v>352</v>
      </c>
      <c r="Y35" s="185" t="s">
        <v>353</v>
      </c>
    </row>
    <row r="36" spans="1:25" x14ac:dyDescent="0.3">
      <c r="A36" s="185" t="s">
        <v>202</v>
      </c>
      <c r="B36" s="185" t="s">
        <v>201</v>
      </c>
      <c r="C36" s="185">
        <v>47</v>
      </c>
      <c r="D36" s="185" t="s">
        <v>277</v>
      </c>
      <c r="E36" s="185" t="s">
        <v>278</v>
      </c>
      <c r="F36" s="185" t="s">
        <v>279</v>
      </c>
      <c r="G36" s="185" t="s">
        <v>212</v>
      </c>
      <c r="H36" s="185" t="s">
        <v>342</v>
      </c>
      <c r="I36" s="185" t="s">
        <v>357</v>
      </c>
      <c r="J36" s="185" t="s">
        <v>356</v>
      </c>
      <c r="K36" s="185" t="s">
        <v>343</v>
      </c>
      <c r="L36" s="185" t="s">
        <v>213</v>
      </c>
      <c r="M36" s="185" t="s">
        <v>214</v>
      </c>
      <c r="N36" s="185" t="s">
        <v>330</v>
      </c>
      <c r="O36" s="185" t="s">
        <v>354</v>
      </c>
      <c r="P36" s="185" t="s">
        <v>344</v>
      </c>
      <c r="Q36" s="185" t="s">
        <v>345</v>
      </c>
      <c r="R36" s="185" t="s">
        <v>346</v>
      </c>
      <c r="S36" s="185" t="s">
        <v>347</v>
      </c>
      <c r="T36" s="185" t="s">
        <v>348</v>
      </c>
      <c r="U36" s="185" t="s">
        <v>349</v>
      </c>
      <c r="V36" s="185" t="s">
        <v>350</v>
      </c>
      <c r="W36" s="185" t="s">
        <v>351</v>
      </c>
      <c r="X36" s="185" t="s">
        <v>352</v>
      </c>
      <c r="Y36" s="185" t="s">
        <v>353</v>
      </c>
    </row>
    <row r="37" spans="1:25" x14ac:dyDescent="0.3">
      <c r="A37" s="185" t="s">
        <v>202</v>
      </c>
      <c r="B37" s="185" t="s">
        <v>201</v>
      </c>
      <c r="C37" s="185">
        <v>48</v>
      </c>
      <c r="D37" s="185" t="s">
        <v>280</v>
      </c>
      <c r="E37" s="185" t="s">
        <v>281</v>
      </c>
      <c r="F37" s="185" t="s">
        <v>282</v>
      </c>
      <c r="G37" s="185" t="s">
        <v>206</v>
      </c>
      <c r="H37" s="185" t="s">
        <v>342</v>
      </c>
      <c r="I37" s="185" t="s">
        <v>357</v>
      </c>
      <c r="J37" s="185" t="s">
        <v>356</v>
      </c>
      <c r="K37" s="185" t="s">
        <v>343</v>
      </c>
      <c r="L37" s="185" t="s">
        <v>207</v>
      </c>
      <c r="M37" s="185" t="s">
        <v>208</v>
      </c>
      <c r="N37" s="185" t="s">
        <v>330</v>
      </c>
      <c r="O37" s="185" t="s">
        <v>354</v>
      </c>
      <c r="P37" s="185" t="s">
        <v>344</v>
      </c>
      <c r="Q37" s="185" t="s">
        <v>345</v>
      </c>
      <c r="R37" s="185" t="s">
        <v>346</v>
      </c>
      <c r="S37" s="185" t="s">
        <v>347</v>
      </c>
      <c r="T37" s="185" t="s">
        <v>348</v>
      </c>
      <c r="U37" s="185" t="s">
        <v>349</v>
      </c>
      <c r="V37" s="185" t="s">
        <v>350</v>
      </c>
      <c r="W37" s="185" t="s">
        <v>351</v>
      </c>
      <c r="X37" s="185" t="s">
        <v>352</v>
      </c>
      <c r="Y37" s="185" t="s">
        <v>353</v>
      </c>
    </row>
    <row r="38" spans="1:25" x14ac:dyDescent="0.3">
      <c r="A38" s="185" t="s">
        <v>202</v>
      </c>
      <c r="B38" s="185" t="s">
        <v>201</v>
      </c>
      <c r="C38" s="185">
        <v>49</v>
      </c>
      <c r="D38" s="185" t="s">
        <v>283</v>
      </c>
      <c r="E38" s="185" t="s">
        <v>284</v>
      </c>
      <c r="F38" s="185" t="s">
        <v>285</v>
      </c>
      <c r="G38" s="185" t="s">
        <v>212</v>
      </c>
      <c r="H38" s="185" t="s">
        <v>342</v>
      </c>
      <c r="I38" s="185" t="s">
        <v>357</v>
      </c>
      <c r="J38" s="185" t="s">
        <v>356</v>
      </c>
      <c r="K38" s="185" t="s">
        <v>343</v>
      </c>
      <c r="L38" s="185" t="s">
        <v>213</v>
      </c>
      <c r="M38" s="185" t="s">
        <v>214</v>
      </c>
      <c r="N38" s="185" t="s">
        <v>330</v>
      </c>
      <c r="O38" s="185" t="s">
        <v>354</v>
      </c>
      <c r="P38" s="185" t="s">
        <v>344</v>
      </c>
      <c r="Q38" s="185" t="s">
        <v>345</v>
      </c>
      <c r="R38" s="185" t="s">
        <v>346</v>
      </c>
      <c r="S38" s="185" t="s">
        <v>347</v>
      </c>
      <c r="T38" s="185" t="s">
        <v>348</v>
      </c>
      <c r="U38" s="185" t="s">
        <v>349</v>
      </c>
      <c r="V38" s="185" t="s">
        <v>350</v>
      </c>
      <c r="W38" s="185" t="s">
        <v>351</v>
      </c>
      <c r="X38" s="185" t="s">
        <v>352</v>
      </c>
      <c r="Y38" s="185" t="s">
        <v>353</v>
      </c>
    </row>
    <row r="39" spans="1:25" x14ac:dyDescent="0.3">
      <c r="A39" s="185" t="s">
        <v>202</v>
      </c>
      <c r="B39" s="185" t="s">
        <v>201</v>
      </c>
      <c r="C39" s="185">
        <v>51</v>
      </c>
      <c r="D39" s="185" t="s">
        <v>286</v>
      </c>
      <c r="E39" s="185" t="s">
        <v>287</v>
      </c>
      <c r="F39" s="185" t="s">
        <v>288</v>
      </c>
      <c r="G39" s="185" t="s">
        <v>212</v>
      </c>
      <c r="H39" s="185" t="s">
        <v>342</v>
      </c>
      <c r="I39" s="185" t="s">
        <v>357</v>
      </c>
      <c r="J39" s="185" t="s">
        <v>356</v>
      </c>
      <c r="K39" s="185" t="s">
        <v>343</v>
      </c>
      <c r="L39" s="185" t="s">
        <v>213</v>
      </c>
      <c r="M39" s="185" t="s">
        <v>214</v>
      </c>
      <c r="N39" s="185" t="s">
        <v>330</v>
      </c>
      <c r="O39" s="185" t="s">
        <v>354</v>
      </c>
      <c r="P39" s="185" t="s">
        <v>344</v>
      </c>
      <c r="Q39" s="185" t="s">
        <v>345</v>
      </c>
      <c r="R39" s="185" t="s">
        <v>346</v>
      </c>
      <c r="S39" s="185" t="s">
        <v>347</v>
      </c>
      <c r="T39" s="185" t="s">
        <v>348</v>
      </c>
      <c r="U39" s="185" t="s">
        <v>349</v>
      </c>
      <c r="V39" s="185" t="s">
        <v>350</v>
      </c>
      <c r="W39" s="185" t="s">
        <v>351</v>
      </c>
      <c r="X39" s="185" t="s">
        <v>352</v>
      </c>
      <c r="Y39" s="185" t="s">
        <v>353</v>
      </c>
    </row>
    <row r="40" spans="1:25" x14ac:dyDescent="0.3">
      <c r="A40" s="185" t="s">
        <v>202</v>
      </c>
      <c r="B40" s="185" t="s">
        <v>201</v>
      </c>
      <c r="C40" s="185">
        <v>52</v>
      </c>
      <c r="D40" s="185" t="s">
        <v>289</v>
      </c>
      <c r="E40" s="185" t="s">
        <v>287</v>
      </c>
      <c r="F40" s="185" t="s">
        <v>290</v>
      </c>
      <c r="G40" s="185" t="s">
        <v>212</v>
      </c>
      <c r="H40" s="185" t="s">
        <v>342</v>
      </c>
      <c r="I40" s="185" t="s">
        <v>357</v>
      </c>
      <c r="J40" s="185" t="s">
        <v>356</v>
      </c>
      <c r="K40" s="185" t="s">
        <v>343</v>
      </c>
      <c r="L40" s="185" t="s">
        <v>213</v>
      </c>
      <c r="M40" s="185" t="s">
        <v>214</v>
      </c>
      <c r="N40" s="185" t="s">
        <v>330</v>
      </c>
      <c r="O40" s="185" t="s">
        <v>354</v>
      </c>
      <c r="P40" s="185" t="s">
        <v>344</v>
      </c>
      <c r="Q40" s="185" t="s">
        <v>345</v>
      </c>
      <c r="R40" s="185" t="s">
        <v>346</v>
      </c>
      <c r="S40" s="185" t="s">
        <v>347</v>
      </c>
      <c r="T40" s="185" t="s">
        <v>348</v>
      </c>
      <c r="U40" s="185" t="s">
        <v>349</v>
      </c>
      <c r="V40" s="185" t="s">
        <v>350</v>
      </c>
      <c r="W40" s="185" t="s">
        <v>351</v>
      </c>
      <c r="X40" s="185" t="s">
        <v>352</v>
      </c>
      <c r="Y40" s="185" t="s">
        <v>353</v>
      </c>
    </row>
    <row r="41" spans="1:25" x14ac:dyDescent="0.3">
      <c r="A41" s="185" t="s">
        <v>202</v>
      </c>
      <c r="B41" s="185" t="s">
        <v>201</v>
      </c>
      <c r="C41" s="185">
        <v>53</v>
      </c>
      <c r="D41" s="185" t="s">
        <v>291</v>
      </c>
      <c r="E41" s="185" t="s">
        <v>292</v>
      </c>
      <c r="F41" s="185" t="s">
        <v>293</v>
      </c>
      <c r="G41" s="185" t="s">
        <v>212</v>
      </c>
      <c r="H41" s="185" t="s">
        <v>342</v>
      </c>
      <c r="I41" s="185" t="s">
        <v>357</v>
      </c>
      <c r="J41" s="185" t="s">
        <v>356</v>
      </c>
      <c r="K41" s="185" t="s">
        <v>343</v>
      </c>
      <c r="L41" s="185" t="s">
        <v>213</v>
      </c>
      <c r="M41" s="185" t="s">
        <v>214</v>
      </c>
      <c r="N41" s="185" t="s">
        <v>330</v>
      </c>
      <c r="O41" s="185" t="s">
        <v>354</v>
      </c>
      <c r="P41" s="185" t="s">
        <v>344</v>
      </c>
      <c r="Q41" s="185" t="s">
        <v>345</v>
      </c>
      <c r="R41" s="185" t="s">
        <v>346</v>
      </c>
      <c r="S41" s="185" t="s">
        <v>347</v>
      </c>
      <c r="T41" s="185" t="s">
        <v>348</v>
      </c>
      <c r="U41" s="185" t="s">
        <v>349</v>
      </c>
      <c r="V41" s="185" t="s">
        <v>350</v>
      </c>
      <c r="W41" s="185" t="s">
        <v>351</v>
      </c>
      <c r="X41" s="185" t="s">
        <v>352</v>
      </c>
      <c r="Y41" s="185" t="s">
        <v>353</v>
      </c>
    </row>
    <row r="42" spans="1:25" x14ac:dyDescent="0.3">
      <c r="A42" s="185" t="s">
        <v>355</v>
      </c>
      <c r="B42" s="185" t="s">
        <v>327</v>
      </c>
    </row>
    <row r="43" spans="1:25" x14ac:dyDescent="0.3">
      <c r="A43" s="185" t="s">
        <v>358</v>
      </c>
      <c r="B43" s="185" t="s">
        <v>359</v>
      </c>
      <c r="C43" s="185" t="s">
        <v>360</v>
      </c>
      <c r="D43" s="185" t="s">
        <v>361</v>
      </c>
      <c r="E43" s="185" t="s">
        <v>362</v>
      </c>
      <c r="F43" s="185" t="s">
        <v>363</v>
      </c>
      <c r="G43" s="185" t="s">
        <v>364</v>
      </c>
      <c r="H43" s="185" t="s">
        <v>365</v>
      </c>
      <c r="I43" s="185" t="s">
        <v>366</v>
      </c>
    </row>
    <row r="44" spans="1:25" x14ac:dyDescent="0.3">
      <c r="A44" s="185" t="s">
        <v>358</v>
      </c>
      <c r="B44" s="185" t="s">
        <v>43</v>
      </c>
      <c r="C44" s="185" t="s">
        <v>367</v>
      </c>
      <c r="D44" s="185" t="s">
        <v>368</v>
      </c>
      <c r="E44" s="185" t="s">
        <v>369</v>
      </c>
      <c r="F44" s="185" t="s">
        <v>370</v>
      </c>
      <c r="G44" s="185" t="s">
        <v>371</v>
      </c>
      <c r="H44" s="185" t="s">
        <v>372</v>
      </c>
      <c r="I44" s="185" t="s">
        <v>373</v>
      </c>
    </row>
    <row r="45" spans="1:25" x14ac:dyDescent="0.3">
      <c r="A45" s="185" t="s">
        <v>358</v>
      </c>
      <c r="B45" s="185" t="s">
        <v>44</v>
      </c>
      <c r="C45" s="185" t="s">
        <v>367</v>
      </c>
      <c r="D45" s="185" t="s">
        <v>368</v>
      </c>
      <c r="E45" s="185" t="s">
        <v>374</v>
      </c>
      <c r="F45" s="185" t="s">
        <v>370</v>
      </c>
      <c r="G45" s="185" t="s">
        <v>371</v>
      </c>
      <c r="H45" s="185" t="s">
        <v>372</v>
      </c>
      <c r="I45" s="185" t="s">
        <v>373</v>
      </c>
    </row>
    <row r="46" spans="1:25" x14ac:dyDescent="0.3">
      <c r="A46" s="185" t="s">
        <v>358</v>
      </c>
      <c r="B46" s="185" t="s">
        <v>47</v>
      </c>
      <c r="C46" s="185" t="s">
        <v>367</v>
      </c>
      <c r="D46" s="185" t="s">
        <v>368</v>
      </c>
      <c r="E46" s="185" t="s">
        <v>376</v>
      </c>
      <c r="F46" s="185" t="s">
        <v>370</v>
      </c>
      <c r="G46" s="185" t="s">
        <v>377</v>
      </c>
      <c r="H46" s="185" t="s">
        <v>372</v>
      </c>
      <c r="I46" s="185" t="s">
        <v>378</v>
      </c>
    </row>
    <row r="47" spans="1:25" x14ac:dyDescent="0.3">
      <c r="A47" s="185" t="s">
        <v>358</v>
      </c>
      <c r="B47" s="185" t="s">
        <v>46</v>
      </c>
      <c r="C47" s="185" t="s">
        <v>367</v>
      </c>
      <c r="D47" s="185" t="s">
        <v>368</v>
      </c>
      <c r="E47" s="185" t="s">
        <v>375</v>
      </c>
      <c r="F47" s="185" t="s">
        <v>370</v>
      </c>
      <c r="G47" s="185" t="s">
        <v>371</v>
      </c>
      <c r="H47" s="185" t="s">
        <v>372</v>
      </c>
      <c r="I47" s="185" t="s">
        <v>373</v>
      </c>
    </row>
  </sheetData>
  <pageMargins left="0.7" right="0.7" top="0.75" bottom="0.75" header="0.3" footer="0.3"/>
</worksheet>
</file>

<file path=customUI/_rels/customUI14.xml.rels>&#65279;<?xml version="1.0" encoding="utf-8"?><Relationships xmlns="http://schemas.openxmlformats.org/package/2006/relationships"><Relationship Type="http://schemas.openxmlformats.org/officeDocument/2006/relationships/image" Target="images/gantt-chart.png" Id="gantt-chart" /></Relationships>
</file>

<file path=customUI/customUI14.xml><?xml version="1.0" encoding="utf-8"?>
<customUI xmlns="http://schemas.microsoft.com/office/2009/07/customui">
  <ribbon>
    <tabs>
      <tab id="customTab" label="Gantt Chart">
        <group id="creategantt" label="Create/Update Chart">
          <button id="btnCreateGantt" label="Create Gantt Charts" onAction="ExecCommand.CreateNewChart" imageMso="Chart3DBarChart" supertip="Creates two Gantt-style charts: one detailed (GanttChart) and one summary view (Summary)."/>
          <button id="btnUpdateSummary" label="Update Summary" onAction="ExecCommand.UpdateSummaryChart" imageMso="Refresh" supertip="Updates the 'Summary' Gantt chart, refreshing marker color and layout of scatter plots."/>
          <button id="btnUpdateManDay" label="Update Man-day" onAction="ExecCommand.UpdateNames" imageMso="DistributionListUpdateMembers" supertip="Updates named ranges used for man-day calculation or scheduling."/>
        </group>
        <group id="charttemplate" label="Chart Template">
          <button id="btnSaveTemplate" label="Save as Template" onAction="ExecCommand.SaveChartTemplate" imageMso="ChartSaveTemplates" supertip="Saves the selected chart’s style and layout as a reusable template."/>
          <button id="btnApplyTemplate" label="Apply Template" onAction="ExecCommand.ApplyTemplateToChart" imageMso="GroupChartStyles" supertip="Applies a previously saved chart template to the selected chart.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3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10" baseType="lpstr">
      <vt:lpstr>PublicHolidays</vt:lpstr>
      <vt:lpstr>WorkSchedule</vt:lpstr>
      <vt:lpstr>MandaySchedule</vt:lpstr>
      <vt:lpstr>Summary</vt:lpstr>
      <vt:lpstr>duration</vt:lpstr>
      <vt:lpstr>effort</vt:lpstr>
      <vt:lpstr>EffortType</vt:lpstr>
      <vt:lpstr>holidays</vt:lpstr>
      <vt:lpstr>manday</vt:lpstr>
      <vt:lpstr>members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Danusorn Sitdhirasdr</dc:creator>
  <cp:lastModifiedBy>Micky</cp:lastModifiedBy>
  <dcterms:created xsi:type="dcterms:W3CDTF">2025-05-06T05:02:15Z</dcterms:created>
  <dcterms:modified xsi:type="dcterms:W3CDTF">2025-06-23T15:32:34Z</dcterms:modified>
</cp:coreProperties>
</file>